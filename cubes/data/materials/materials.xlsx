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SK Harddrive/CUBES/cubes/data/materials/"/>
    </mc:Choice>
  </mc:AlternateContent>
  <xr:revisionPtr revIDLastSave="0" documentId="13_ncr:1_{5AA4F513-56CA-F640-92B5-A6CF1DB275C4}" xr6:coauthVersionLast="47" xr6:coauthVersionMax="47" xr10:uidLastSave="{00000000-0000-0000-0000-000000000000}"/>
  <bookViews>
    <workbookView xWindow="0" yWindow="860" windowWidth="19200" windowHeight="222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72" i="1" l="1"/>
  <c r="J72" i="1"/>
  <c r="K71" i="1"/>
  <c r="J71" i="1"/>
  <c r="K70" i="1"/>
  <c r="J70" i="1"/>
  <c r="K69" i="1"/>
  <c r="J69" i="1"/>
  <c r="K68" i="1"/>
  <c r="J68" i="1"/>
  <c r="K67" i="1"/>
  <c r="J67" i="1"/>
  <c r="K66" i="1"/>
  <c r="J66" i="1"/>
  <c r="K65" i="1"/>
  <c r="J65" i="1"/>
  <c r="K64" i="1"/>
  <c r="J64" i="1"/>
  <c r="K63" i="1"/>
  <c r="J63" i="1"/>
  <c r="K62" i="1"/>
  <c r="J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J7" i="1"/>
  <c r="K6" i="1"/>
  <c r="J6" i="1"/>
  <c r="K5" i="1"/>
  <c r="J5" i="1"/>
  <c r="K4" i="1"/>
  <c r="J4" i="1"/>
  <c r="I4" i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3" i="1" s="1"/>
  <c r="I24" i="1" s="1"/>
  <c r="I25" i="1" s="1"/>
  <c r="I26" i="1" s="1"/>
  <c r="I27" i="1" s="1"/>
  <c r="I28" i="1" s="1"/>
  <c r="I29" i="1" s="1"/>
  <c r="I30" i="1" s="1"/>
  <c r="I31" i="1" s="1"/>
  <c r="K3" i="1"/>
  <c r="J3" i="1"/>
  <c r="I3" i="1"/>
  <c r="H3" i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3" i="1" s="1"/>
  <c r="H24" i="1" s="1"/>
  <c r="H25" i="1" s="1"/>
  <c r="H26" i="1" s="1"/>
  <c r="H27" i="1" s="1"/>
  <c r="H28" i="1" s="1"/>
  <c r="H29" i="1" s="1"/>
  <c r="H30" i="1" s="1"/>
  <c r="H31" i="1" s="1"/>
  <c r="G3" i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3" i="1" s="1"/>
  <c r="G24" i="1" s="1"/>
  <c r="G25" i="1" s="1"/>
  <c r="G26" i="1" s="1"/>
  <c r="G27" i="1" s="1"/>
  <c r="G28" i="1" s="1"/>
  <c r="G29" i="1" s="1"/>
  <c r="G30" i="1" s="1"/>
  <c r="G31" i="1" s="1"/>
  <c r="F3" i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3" i="1" s="1"/>
  <c r="F24" i="1" s="1"/>
  <c r="F25" i="1" s="1"/>
  <c r="F26" i="1" s="1"/>
  <c r="F27" i="1" s="1"/>
  <c r="F28" i="1" s="1"/>
  <c r="F29" i="1" s="1"/>
  <c r="F30" i="1" s="1"/>
  <c r="F31" i="1" s="1"/>
  <c r="K2" i="1"/>
  <c r="J2" i="1"/>
</calcChain>
</file>

<file path=xl/sharedStrings.xml><?xml version="1.0" encoding="utf-8"?>
<sst xmlns="http://schemas.openxmlformats.org/spreadsheetml/2006/main" count="185" uniqueCount="115">
  <si>
    <t>Material</t>
  </si>
  <si>
    <t>Thermal_Conductivity</t>
  </si>
  <si>
    <t>Thermal_Resistance</t>
  </si>
  <si>
    <t>Density</t>
  </si>
  <si>
    <t>Specific_Heat_Capacity</t>
  </si>
  <si>
    <t>Roughness</t>
  </si>
  <si>
    <t>Thermal_Absorptance</t>
  </si>
  <si>
    <t>Solar_Absorptance</t>
  </si>
  <si>
    <t>Visual_Absorptance</t>
  </si>
  <si>
    <t>NoMass</t>
  </si>
  <si>
    <t>AirGap</t>
  </si>
  <si>
    <t>Cement fiber slabs shredded wood</t>
  </si>
  <si>
    <t>Rough</t>
  </si>
  <si>
    <t>Asbestos fibre</t>
  </si>
  <si>
    <t>Perlite board expanded</t>
  </si>
  <si>
    <t>Rock wool</t>
  </si>
  <si>
    <t>Urea formaldehyde resin foam</t>
  </si>
  <si>
    <t>Mineral wool</t>
  </si>
  <si>
    <t>Polystyrene expanded</t>
  </si>
  <si>
    <t>Polyurethane foam</t>
  </si>
  <si>
    <t>Polyisocyanurate aged with facers</t>
  </si>
  <si>
    <t>Concrete block (dense) (exposed)</t>
  </si>
  <si>
    <t>Concrete block (dense) (protected)</t>
  </si>
  <si>
    <t>Precast concrete (dense) (exposed)</t>
  </si>
  <si>
    <t>Precast concrete (dense) (protected)</t>
  </si>
  <si>
    <t>Cast concrete 2000</t>
  </si>
  <si>
    <t>Cast concrete 1800</t>
  </si>
  <si>
    <t>Brick fired clay 2400</t>
  </si>
  <si>
    <t>Brick fired clay 2240</t>
  </si>
  <si>
    <t>Brick fired clay 2080</t>
  </si>
  <si>
    <t>Brick fired clay 1920</t>
  </si>
  <si>
    <t>Brick fired clay 1600</t>
  </si>
  <si>
    <t>Brick fired clay 1280</t>
  </si>
  <si>
    <t>Brick fired clay 1120</t>
  </si>
  <si>
    <t>Basalt</t>
  </si>
  <si>
    <t>Granite red</t>
  </si>
  <si>
    <t>Sandstone</t>
  </si>
  <si>
    <t>Limestone</t>
  </si>
  <si>
    <t>Sandstone tiles</t>
  </si>
  <si>
    <t>Oak beech ash walnut</t>
  </si>
  <si>
    <t>Maple oak and similar hardwoods</t>
  </si>
  <si>
    <t>Timber</t>
  </si>
  <si>
    <t>Clay tile - hollow - 2 cells deep - 200mm</t>
  </si>
  <si>
    <t>MediumRough</t>
  </si>
  <si>
    <t>Asphalt roll roofing</t>
  </si>
  <si>
    <t>F05 Ceiling air space resistance</t>
  </si>
  <si>
    <t>F04 Wall air space resistance</t>
  </si>
  <si>
    <t>MediumSmooth</t>
  </si>
  <si>
    <t>G07 100mm wood</t>
  </si>
  <si>
    <t>Gypsum or plaster board - 9.5mm</t>
  </si>
  <si>
    <t>Insulation: Glass fiber - organic bonded - 25mm</t>
  </si>
  <si>
    <t>VeryRough</t>
  </si>
  <si>
    <t>Concrete: Sand and gravel or stone aggregate concretes - 2080 kg/m3 - 102mm</t>
  </si>
  <si>
    <t>M11 100mm lightweight concrete</t>
  </si>
  <si>
    <t>Brick - fired clay - 2400 kg/m3 - 102mm</t>
  </si>
  <si>
    <t>Brick - fired clay - 1600 kg/m3 - 102mm</t>
  </si>
  <si>
    <t>M02 150mm lightweight concrete block</t>
  </si>
  <si>
    <t>Hardboard Medium density</t>
  </si>
  <si>
    <t>Smooth</t>
  </si>
  <si>
    <t>ROOF-RAFTERS-INSULATION</t>
  </si>
  <si>
    <t>AIR-GAP</t>
  </si>
  <si>
    <t>UPPER-FLOOR</t>
  </si>
  <si>
    <t>Singh_pInsulation</t>
  </si>
  <si>
    <t>Singh_roof_insulation</t>
  </si>
  <si>
    <t>Singh_roof_structure</t>
  </si>
  <si>
    <t>Singh_wall_plasterlayer</t>
  </si>
  <si>
    <t>Singh_wall_insulation</t>
  </si>
  <si>
    <t>Singh_wall_structure</t>
  </si>
  <si>
    <t>Singh_floor_structure</t>
  </si>
  <si>
    <t>Singh_gfloor_insulation</t>
  </si>
  <si>
    <t>Singh_floor_cementscreed</t>
  </si>
  <si>
    <t>Singh_ifloor_insulation</t>
  </si>
  <si>
    <t>Singh_plasterboard</t>
  </si>
  <si>
    <t>Singh_iwall_insulation</t>
  </si>
  <si>
    <t>Singh_roof_plaster</t>
  </si>
  <si>
    <t>Singh_Internal_Material</t>
  </si>
  <si>
    <t>Paton_cast_concrete</t>
  </si>
  <si>
    <t>Paton_timber_floor</t>
  </si>
  <si>
    <t>Paton_carpet</t>
  </si>
  <si>
    <t>Paton_brick</t>
  </si>
  <si>
    <t>Paton_gypsum</t>
  </si>
  <si>
    <t>Paton_clay_tiles</t>
  </si>
  <si>
    <t>Paton_timber_joists</t>
  </si>
  <si>
    <t>Wood_plastic_CODE</t>
  </si>
  <si>
    <t>External_rendering_CODE</t>
  </si>
  <si>
    <t>Brickwork_outer_CODE</t>
  </si>
  <si>
    <t>Expanded_polysterene_CODE</t>
  </si>
  <si>
    <t>B1_airspace_resistance_CODE</t>
  </si>
  <si>
    <t>Brick_CODE</t>
  </si>
  <si>
    <t>Plaster_dense_CODE</t>
  </si>
  <si>
    <t>Painted_plaster_CODE</t>
  </si>
  <si>
    <t>Alluvial_clay_CODE</t>
  </si>
  <si>
    <t>Joists_CODE</t>
  </si>
  <si>
    <t>Carpet_and_fibrous_pad_CODE</t>
  </si>
  <si>
    <t>Roof_deck_CODE</t>
  </si>
  <si>
    <t>Fibreglass_quilt_CODE</t>
  </si>
  <si>
    <t>F14_slate_or_tile_CODE</t>
  </si>
  <si>
    <t>Floor_boards_CODE</t>
  </si>
  <si>
    <t>Joists_with_100mm_insulation_CODE</t>
  </si>
  <si>
    <t>Floor_joists_with_120mm_insulation_CODE</t>
  </si>
  <si>
    <t>Adiabatic_insulation</t>
  </si>
  <si>
    <t>beizaee_brick_outer_leaf</t>
  </si>
  <si>
    <t>beizaee_brick_inner_leaf</t>
  </si>
  <si>
    <t>beizaee_plaster_dense</t>
  </si>
  <si>
    <t>beizaee_clay_tile</t>
  </si>
  <si>
    <t>beizaee_roofing_felt</t>
  </si>
  <si>
    <t>beizaee_polyisocyanurate</t>
  </si>
  <si>
    <t>beizaee_timber_flooring</t>
  </si>
  <si>
    <t>beizaee_cast_concrete</t>
  </si>
  <si>
    <t>beizaee_carpet</t>
  </si>
  <si>
    <t>beizaee_plasterboard</t>
  </si>
  <si>
    <t>beizaee_painted_oak</t>
  </si>
  <si>
    <t>InfraredTransparent</t>
  </si>
  <si>
    <t>IRTMaterial</t>
  </si>
  <si>
    <t>Door_WoodSolid_35mm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</si>
</sst>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3"/>
  <sheetViews>
    <sheetView tabSelected="1" zoomScaleNormal="100" workbookViewId="0">
      <pane ySplit="1" topLeftCell="A79" activePane="bottomLeft" state="frozen"/>
      <selection activeCell="I1" sqref="I1"/>
      <selection pane="bottomLeft" activeCell="A103" sqref="A103"/>
    </sheetView>
  </sheetViews>
  <sheetFormatPr baseColWidth="10" defaultColWidth="10.5" defaultRowHeight="16" x14ac:dyDescent="0.2"/>
  <cols>
    <col min="1" max="1" width="40" customWidth="1"/>
    <col min="2" max="5" width="20.83203125" customWidth="1"/>
    <col min="6" max="6" width="16.83203125" customWidth="1"/>
    <col min="7" max="7" width="22.6640625" customWidth="1"/>
    <col min="8" max="8" width="19" customWidth="1"/>
    <col min="9" max="9" width="16.83203125" customWidth="1"/>
  </cols>
  <sheetData>
    <row r="1" spans="1:1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112</v>
      </c>
    </row>
    <row r="2" spans="1:12" x14ac:dyDescent="0.2">
      <c r="A2" t="s">
        <v>11</v>
      </c>
      <c r="B2" s="4">
        <v>0.08</v>
      </c>
      <c r="C2" s="4"/>
      <c r="D2" s="5">
        <v>350</v>
      </c>
      <c r="E2" s="5">
        <v>1030</v>
      </c>
      <c r="F2" t="s">
        <v>12</v>
      </c>
      <c r="G2">
        <v>0.9</v>
      </c>
      <c r="H2">
        <v>0.7</v>
      </c>
      <c r="I2">
        <v>0.7</v>
      </c>
      <c r="J2" t="b">
        <f>FALSE()</f>
        <v>0</v>
      </c>
      <c r="K2" t="b">
        <f>FALSE()</f>
        <v>0</v>
      </c>
      <c r="L2" t="b">
        <v>0</v>
      </c>
    </row>
    <row r="3" spans="1:12" x14ac:dyDescent="0.2">
      <c r="A3" t="s">
        <v>13</v>
      </c>
      <c r="B3" s="4">
        <v>0.06</v>
      </c>
      <c r="C3" s="4"/>
      <c r="D3" s="5">
        <v>640</v>
      </c>
      <c r="E3" s="5">
        <v>840</v>
      </c>
      <c r="F3" t="str">
        <f t="shared" ref="F3:F21" si="0">F2</f>
        <v>Rough</v>
      </c>
      <c r="G3">
        <f t="shared" ref="G3:G21" si="1">G2</f>
        <v>0.9</v>
      </c>
      <c r="H3">
        <f t="shared" ref="H3:H21" si="2">H2</f>
        <v>0.7</v>
      </c>
      <c r="I3">
        <f t="shared" ref="I3:I21" si="3">I2</f>
        <v>0.7</v>
      </c>
      <c r="J3" t="b">
        <f>FALSE()</f>
        <v>0</v>
      </c>
      <c r="K3" t="b">
        <f>FALSE()</f>
        <v>0</v>
      </c>
      <c r="L3" t="b">
        <v>0</v>
      </c>
    </row>
    <row r="4" spans="1:12" x14ac:dyDescent="0.2">
      <c r="A4" t="s">
        <v>14</v>
      </c>
      <c r="B4" s="4">
        <v>5.1999999999999998E-2</v>
      </c>
      <c r="C4" s="4"/>
      <c r="D4" s="5">
        <v>16</v>
      </c>
      <c r="E4" s="5">
        <v>1260</v>
      </c>
      <c r="F4" t="str">
        <f t="shared" si="0"/>
        <v>Rough</v>
      </c>
      <c r="G4">
        <f t="shared" si="1"/>
        <v>0.9</v>
      </c>
      <c r="H4">
        <f t="shared" si="2"/>
        <v>0.7</v>
      </c>
      <c r="I4">
        <f t="shared" si="3"/>
        <v>0.7</v>
      </c>
      <c r="J4" t="b">
        <f>FALSE()</f>
        <v>0</v>
      </c>
      <c r="K4" t="b">
        <f>FALSE()</f>
        <v>0</v>
      </c>
      <c r="L4" t="b">
        <v>0</v>
      </c>
    </row>
    <row r="5" spans="1:12" x14ac:dyDescent="0.2">
      <c r="A5" t="s">
        <v>15</v>
      </c>
      <c r="B5" s="4">
        <v>3.4000000000000002E-2</v>
      </c>
      <c r="C5" s="4"/>
      <c r="D5" s="5">
        <v>200</v>
      </c>
      <c r="E5" s="5">
        <v>710</v>
      </c>
      <c r="F5" t="str">
        <f t="shared" si="0"/>
        <v>Rough</v>
      </c>
      <c r="G5">
        <f t="shared" si="1"/>
        <v>0.9</v>
      </c>
      <c r="H5">
        <f t="shared" si="2"/>
        <v>0.7</v>
      </c>
      <c r="I5">
        <f t="shared" si="3"/>
        <v>0.7</v>
      </c>
      <c r="J5" t="b">
        <f>FALSE()</f>
        <v>0</v>
      </c>
      <c r="K5" t="b">
        <f>FALSE()</f>
        <v>0</v>
      </c>
      <c r="L5" t="b">
        <v>0</v>
      </c>
    </row>
    <row r="6" spans="1:12" x14ac:dyDescent="0.2">
      <c r="A6" t="s">
        <v>16</v>
      </c>
      <c r="B6" s="4">
        <v>5.3999999999999999E-2</v>
      </c>
      <c r="C6" s="4"/>
      <c r="D6" s="5">
        <v>14</v>
      </c>
      <c r="E6" s="5">
        <v>147</v>
      </c>
      <c r="F6" t="str">
        <f t="shared" si="0"/>
        <v>Rough</v>
      </c>
      <c r="G6">
        <f t="shared" si="1"/>
        <v>0.9</v>
      </c>
      <c r="H6">
        <f t="shared" si="2"/>
        <v>0.7</v>
      </c>
      <c r="I6">
        <f t="shared" si="3"/>
        <v>0.7</v>
      </c>
      <c r="J6" t="b">
        <f>FALSE()</f>
        <v>0</v>
      </c>
      <c r="K6" t="b">
        <f>FALSE()</f>
        <v>0</v>
      </c>
      <c r="L6" t="b">
        <v>0</v>
      </c>
    </row>
    <row r="7" spans="1:12" x14ac:dyDescent="0.2">
      <c r="A7" t="s">
        <v>17</v>
      </c>
      <c r="B7" s="4">
        <v>4.2000000000000003E-2</v>
      </c>
      <c r="C7" s="4"/>
      <c r="D7" s="5">
        <v>12</v>
      </c>
      <c r="E7" s="5">
        <v>1030</v>
      </c>
      <c r="F7" t="str">
        <f t="shared" si="0"/>
        <v>Rough</v>
      </c>
      <c r="G7">
        <f t="shared" si="1"/>
        <v>0.9</v>
      </c>
      <c r="H7">
        <f t="shared" si="2"/>
        <v>0.7</v>
      </c>
      <c r="I7">
        <f t="shared" si="3"/>
        <v>0.7</v>
      </c>
      <c r="J7" t="b">
        <f>FALSE()</f>
        <v>0</v>
      </c>
      <c r="K7" t="b">
        <f>FALSE()</f>
        <v>0</v>
      </c>
      <c r="L7" t="b">
        <v>0</v>
      </c>
    </row>
    <row r="8" spans="1:12" x14ac:dyDescent="0.2">
      <c r="A8" t="s">
        <v>18</v>
      </c>
      <c r="B8" s="4">
        <v>3.5000000000000003E-2</v>
      </c>
      <c r="C8" s="4"/>
      <c r="D8" s="5">
        <v>23</v>
      </c>
      <c r="E8" s="5">
        <v>1470</v>
      </c>
      <c r="F8" t="str">
        <f t="shared" si="0"/>
        <v>Rough</v>
      </c>
      <c r="G8">
        <f t="shared" si="1"/>
        <v>0.9</v>
      </c>
      <c r="H8">
        <f t="shared" si="2"/>
        <v>0.7</v>
      </c>
      <c r="I8">
        <f t="shared" si="3"/>
        <v>0.7</v>
      </c>
      <c r="J8" t="b">
        <f>FALSE()</f>
        <v>0</v>
      </c>
      <c r="K8" t="b">
        <f>FALSE()</f>
        <v>0</v>
      </c>
      <c r="L8" t="b">
        <v>0</v>
      </c>
    </row>
    <row r="9" spans="1:12" x14ac:dyDescent="0.2">
      <c r="A9" t="s">
        <v>19</v>
      </c>
      <c r="B9" s="4">
        <v>2.5000000000000001E-2</v>
      </c>
      <c r="C9" s="4"/>
      <c r="D9" s="5">
        <v>30</v>
      </c>
      <c r="E9" s="5">
        <v>1400</v>
      </c>
      <c r="F9" t="str">
        <f t="shared" si="0"/>
        <v>Rough</v>
      </c>
      <c r="G9">
        <f t="shared" si="1"/>
        <v>0.9</v>
      </c>
      <c r="H9">
        <f t="shared" si="2"/>
        <v>0.7</v>
      </c>
      <c r="I9">
        <f t="shared" si="3"/>
        <v>0.7</v>
      </c>
      <c r="J9" t="b">
        <f>FALSE()</f>
        <v>0</v>
      </c>
      <c r="K9" t="b">
        <f>FALSE()</f>
        <v>0</v>
      </c>
      <c r="L9" t="b">
        <v>0</v>
      </c>
    </row>
    <row r="10" spans="1:12" x14ac:dyDescent="0.2">
      <c r="A10" t="s">
        <v>20</v>
      </c>
      <c r="B10" s="4">
        <v>0.02</v>
      </c>
      <c r="C10" s="4"/>
      <c r="D10" s="5">
        <v>25</v>
      </c>
      <c r="E10" s="5">
        <v>1470</v>
      </c>
      <c r="F10" t="str">
        <f t="shared" si="0"/>
        <v>Rough</v>
      </c>
      <c r="G10">
        <f t="shared" si="1"/>
        <v>0.9</v>
      </c>
      <c r="H10">
        <f t="shared" si="2"/>
        <v>0.7</v>
      </c>
      <c r="I10">
        <f t="shared" si="3"/>
        <v>0.7</v>
      </c>
      <c r="J10" t="b">
        <f>FALSE()</f>
        <v>0</v>
      </c>
      <c r="K10" t="b">
        <f>FALSE()</f>
        <v>0</v>
      </c>
      <c r="L10" t="b">
        <v>0</v>
      </c>
    </row>
    <row r="11" spans="1:12" x14ac:dyDescent="0.2">
      <c r="A11" t="s">
        <v>21</v>
      </c>
      <c r="B11" s="4">
        <v>1.87</v>
      </c>
      <c r="C11" s="4"/>
      <c r="D11" s="5">
        <v>2300</v>
      </c>
      <c r="E11" s="5">
        <v>1000</v>
      </c>
      <c r="F11" t="str">
        <f t="shared" si="0"/>
        <v>Rough</v>
      </c>
      <c r="G11">
        <f t="shared" si="1"/>
        <v>0.9</v>
      </c>
      <c r="H11">
        <f t="shared" si="2"/>
        <v>0.7</v>
      </c>
      <c r="I11">
        <f t="shared" si="3"/>
        <v>0.7</v>
      </c>
      <c r="J11" t="b">
        <f>FALSE()</f>
        <v>0</v>
      </c>
      <c r="K11" t="b">
        <f>FALSE()</f>
        <v>0</v>
      </c>
      <c r="L11" t="b">
        <v>0</v>
      </c>
    </row>
    <row r="12" spans="1:12" x14ac:dyDescent="0.2">
      <c r="A12" t="s">
        <v>22</v>
      </c>
      <c r="B12" s="4">
        <v>1.75</v>
      </c>
      <c r="C12" s="4"/>
      <c r="D12" s="5">
        <v>2300</v>
      </c>
      <c r="E12" s="5">
        <v>1000</v>
      </c>
      <c r="F12" t="str">
        <f t="shared" si="0"/>
        <v>Rough</v>
      </c>
      <c r="G12">
        <f t="shared" si="1"/>
        <v>0.9</v>
      </c>
      <c r="H12">
        <f t="shared" si="2"/>
        <v>0.7</v>
      </c>
      <c r="I12">
        <f t="shared" si="3"/>
        <v>0.7</v>
      </c>
      <c r="J12" t="b">
        <f>FALSE()</f>
        <v>0</v>
      </c>
      <c r="K12" t="b">
        <f>FALSE()</f>
        <v>0</v>
      </c>
      <c r="L12" t="b">
        <v>0</v>
      </c>
    </row>
    <row r="13" spans="1:12" x14ac:dyDescent="0.2">
      <c r="A13" t="s">
        <v>23</v>
      </c>
      <c r="B13" s="4">
        <v>1.56</v>
      </c>
      <c r="C13" s="4"/>
      <c r="D13" s="5">
        <v>2100</v>
      </c>
      <c r="E13" s="5">
        <v>1000</v>
      </c>
      <c r="F13" t="str">
        <f t="shared" si="0"/>
        <v>Rough</v>
      </c>
      <c r="G13">
        <f t="shared" si="1"/>
        <v>0.9</v>
      </c>
      <c r="H13">
        <f t="shared" si="2"/>
        <v>0.7</v>
      </c>
      <c r="I13">
        <f t="shared" si="3"/>
        <v>0.7</v>
      </c>
      <c r="J13" t="b">
        <f>FALSE()</f>
        <v>0</v>
      </c>
      <c r="K13" t="b">
        <f>FALSE()</f>
        <v>0</v>
      </c>
      <c r="L13" t="b">
        <v>0</v>
      </c>
    </row>
    <row r="14" spans="1:12" x14ac:dyDescent="0.2">
      <c r="A14" t="s">
        <v>24</v>
      </c>
      <c r="B14" s="4">
        <v>1.46</v>
      </c>
      <c r="C14" s="4"/>
      <c r="D14" s="5">
        <v>2100</v>
      </c>
      <c r="E14" s="5">
        <v>1000</v>
      </c>
      <c r="F14" t="str">
        <f t="shared" si="0"/>
        <v>Rough</v>
      </c>
      <c r="G14">
        <f t="shared" si="1"/>
        <v>0.9</v>
      </c>
      <c r="H14">
        <f t="shared" si="2"/>
        <v>0.7</v>
      </c>
      <c r="I14">
        <f t="shared" si="3"/>
        <v>0.7</v>
      </c>
      <c r="J14" t="b">
        <f>FALSE()</f>
        <v>0</v>
      </c>
      <c r="K14" t="b">
        <f>FALSE()</f>
        <v>0</v>
      </c>
      <c r="L14" t="b">
        <v>0</v>
      </c>
    </row>
    <row r="15" spans="1:12" x14ac:dyDescent="0.2">
      <c r="A15" t="s">
        <v>25</v>
      </c>
      <c r="B15" s="4">
        <v>1.33</v>
      </c>
      <c r="C15" s="4"/>
      <c r="D15" s="5">
        <v>2000</v>
      </c>
      <c r="E15" s="5">
        <v>1000</v>
      </c>
      <c r="F15" t="str">
        <f t="shared" si="0"/>
        <v>Rough</v>
      </c>
      <c r="G15">
        <f t="shared" si="1"/>
        <v>0.9</v>
      </c>
      <c r="H15">
        <f t="shared" si="2"/>
        <v>0.7</v>
      </c>
      <c r="I15">
        <f t="shared" si="3"/>
        <v>0.7</v>
      </c>
      <c r="J15" t="b">
        <f>FALSE()</f>
        <v>0</v>
      </c>
      <c r="K15" t="b">
        <f>FALSE()</f>
        <v>0</v>
      </c>
      <c r="L15" t="b">
        <v>0</v>
      </c>
    </row>
    <row r="16" spans="1:12" x14ac:dyDescent="0.2">
      <c r="A16" t="s">
        <v>26</v>
      </c>
      <c r="B16" s="4">
        <v>1.1299999999999999</v>
      </c>
      <c r="C16" s="4"/>
      <c r="D16" s="5">
        <v>1800</v>
      </c>
      <c r="E16" s="5">
        <v>1000</v>
      </c>
      <c r="F16" t="str">
        <f t="shared" si="0"/>
        <v>Rough</v>
      </c>
      <c r="G16">
        <f t="shared" si="1"/>
        <v>0.9</v>
      </c>
      <c r="H16">
        <f t="shared" si="2"/>
        <v>0.7</v>
      </c>
      <c r="I16">
        <f t="shared" si="3"/>
        <v>0.7</v>
      </c>
      <c r="J16" t="b">
        <f>FALSE()</f>
        <v>0</v>
      </c>
      <c r="K16" t="b">
        <f>FALSE()</f>
        <v>0</v>
      </c>
      <c r="L16" t="b">
        <v>0</v>
      </c>
    </row>
    <row r="17" spans="1:12" x14ac:dyDescent="0.2">
      <c r="A17" t="s">
        <v>27</v>
      </c>
      <c r="B17" s="4">
        <v>1.34</v>
      </c>
      <c r="C17" s="4"/>
      <c r="D17" s="5">
        <v>2400</v>
      </c>
      <c r="E17" s="5">
        <v>800</v>
      </c>
      <c r="F17" t="str">
        <f t="shared" si="0"/>
        <v>Rough</v>
      </c>
      <c r="G17">
        <f t="shared" si="1"/>
        <v>0.9</v>
      </c>
      <c r="H17">
        <f t="shared" si="2"/>
        <v>0.7</v>
      </c>
      <c r="I17">
        <f t="shared" si="3"/>
        <v>0.7</v>
      </c>
      <c r="J17" t="b">
        <f>FALSE()</f>
        <v>0</v>
      </c>
      <c r="K17" t="b">
        <f>FALSE()</f>
        <v>0</v>
      </c>
      <c r="L17" t="b">
        <v>0</v>
      </c>
    </row>
    <row r="18" spans="1:12" x14ac:dyDescent="0.2">
      <c r="A18" t="s">
        <v>28</v>
      </c>
      <c r="B18" s="4">
        <v>1.19</v>
      </c>
      <c r="C18" s="4"/>
      <c r="D18" s="5">
        <v>2240</v>
      </c>
      <c r="E18" s="5">
        <v>800</v>
      </c>
      <c r="F18" t="str">
        <f t="shared" si="0"/>
        <v>Rough</v>
      </c>
      <c r="G18">
        <f t="shared" si="1"/>
        <v>0.9</v>
      </c>
      <c r="H18">
        <f t="shared" si="2"/>
        <v>0.7</v>
      </c>
      <c r="I18">
        <f t="shared" si="3"/>
        <v>0.7</v>
      </c>
      <c r="J18" t="b">
        <f>FALSE()</f>
        <v>0</v>
      </c>
      <c r="K18" t="b">
        <f>FALSE()</f>
        <v>0</v>
      </c>
      <c r="L18" t="b">
        <v>0</v>
      </c>
    </row>
    <row r="19" spans="1:12" x14ac:dyDescent="0.2">
      <c r="A19" t="s">
        <v>29</v>
      </c>
      <c r="B19" s="4">
        <v>1.02</v>
      </c>
      <c r="C19" s="4"/>
      <c r="D19" s="5">
        <v>2080</v>
      </c>
      <c r="E19" s="5">
        <v>800</v>
      </c>
      <c r="F19" t="str">
        <f t="shared" si="0"/>
        <v>Rough</v>
      </c>
      <c r="G19">
        <f t="shared" si="1"/>
        <v>0.9</v>
      </c>
      <c r="H19">
        <f t="shared" si="2"/>
        <v>0.7</v>
      </c>
      <c r="I19">
        <f t="shared" si="3"/>
        <v>0.7</v>
      </c>
      <c r="J19" t="b">
        <f>FALSE()</f>
        <v>0</v>
      </c>
      <c r="K19" t="b">
        <f>FALSE()</f>
        <v>0</v>
      </c>
      <c r="L19" t="b">
        <v>0</v>
      </c>
    </row>
    <row r="20" spans="1:12" x14ac:dyDescent="0.2">
      <c r="A20" t="s">
        <v>30</v>
      </c>
      <c r="B20" s="4">
        <v>0.9</v>
      </c>
      <c r="C20" s="4"/>
      <c r="D20" s="5">
        <v>1920</v>
      </c>
      <c r="E20" s="5">
        <v>800</v>
      </c>
      <c r="F20" t="str">
        <f t="shared" si="0"/>
        <v>Rough</v>
      </c>
      <c r="G20">
        <f t="shared" si="1"/>
        <v>0.9</v>
      </c>
      <c r="H20">
        <f t="shared" si="2"/>
        <v>0.7</v>
      </c>
      <c r="I20">
        <f t="shared" si="3"/>
        <v>0.7</v>
      </c>
      <c r="J20" t="b">
        <f>FALSE()</f>
        <v>0</v>
      </c>
      <c r="K20" t="b">
        <f>FALSE()</f>
        <v>0</v>
      </c>
      <c r="L20" t="b">
        <v>0</v>
      </c>
    </row>
    <row r="21" spans="1:12" x14ac:dyDescent="0.2">
      <c r="A21" t="s">
        <v>31</v>
      </c>
      <c r="B21" s="4">
        <v>0.68</v>
      </c>
      <c r="C21" s="4"/>
      <c r="D21" s="5">
        <v>1600</v>
      </c>
      <c r="E21" s="5">
        <v>800</v>
      </c>
      <c r="F21" t="str">
        <f t="shared" si="0"/>
        <v>Rough</v>
      </c>
      <c r="G21">
        <f t="shared" si="1"/>
        <v>0.9</v>
      </c>
      <c r="H21">
        <f t="shared" si="2"/>
        <v>0.7</v>
      </c>
      <c r="I21">
        <f t="shared" si="3"/>
        <v>0.7</v>
      </c>
      <c r="J21" t="b">
        <f>FALSE()</f>
        <v>0</v>
      </c>
      <c r="K21" t="b">
        <f>FALSE()</f>
        <v>0</v>
      </c>
      <c r="L21" t="b">
        <v>0</v>
      </c>
    </row>
    <row r="22" spans="1:12" x14ac:dyDescent="0.2">
      <c r="A22" t="s">
        <v>32</v>
      </c>
      <c r="B22" s="4">
        <v>0.48</v>
      </c>
      <c r="C22" s="4"/>
      <c r="D22" s="5">
        <v>1280</v>
      </c>
      <c r="E22" s="5">
        <v>800</v>
      </c>
      <c r="F22" t="s">
        <v>12</v>
      </c>
      <c r="G22">
        <v>0.9</v>
      </c>
      <c r="H22">
        <v>0.7</v>
      </c>
      <c r="I22">
        <v>0.7</v>
      </c>
      <c r="J22" t="b">
        <f>FALSE()</f>
        <v>0</v>
      </c>
      <c r="K22" t="b">
        <f>FALSE()</f>
        <v>0</v>
      </c>
      <c r="L22" t="b">
        <v>0</v>
      </c>
    </row>
    <row r="23" spans="1:12" x14ac:dyDescent="0.2">
      <c r="A23" t="s">
        <v>33</v>
      </c>
      <c r="B23" s="4">
        <v>0.41</v>
      </c>
      <c r="C23" s="4"/>
      <c r="D23" s="5">
        <v>1120</v>
      </c>
      <c r="E23" s="5">
        <v>800</v>
      </c>
      <c r="F23" t="str">
        <f>F21</f>
        <v>Rough</v>
      </c>
      <c r="G23">
        <f>G21</f>
        <v>0.9</v>
      </c>
      <c r="H23">
        <f>H21</f>
        <v>0.7</v>
      </c>
      <c r="I23">
        <f>I21</f>
        <v>0.7</v>
      </c>
      <c r="J23" t="b">
        <f>FALSE()</f>
        <v>0</v>
      </c>
      <c r="K23" t="b">
        <f>FALSE()</f>
        <v>0</v>
      </c>
      <c r="L23" t="b">
        <v>0</v>
      </c>
    </row>
    <row r="24" spans="1:12" x14ac:dyDescent="0.2">
      <c r="A24" t="s">
        <v>34</v>
      </c>
      <c r="B24" s="4">
        <v>3.49</v>
      </c>
      <c r="C24" s="4"/>
      <c r="D24" s="5">
        <v>2880</v>
      </c>
      <c r="E24" s="5">
        <v>840</v>
      </c>
      <c r="F24" t="str">
        <f t="shared" ref="F24:I31" si="4">F23</f>
        <v>Rough</v>
      </c>
      <c r="G24">
        <f t="shared" si="4"/>
        <v>0.9</v>
      </c>
      <c r="H24">
        <f t="shared" si="4"/>
        <v>0.7</v>
      </c>
      <c r="I24">
        <f t="shared" si="4"/>
        <v>0.7</v>
      </c>
      <c r="J24" t="b">
        <f>FALSE()</f>
        <v>0</v>
      </c>
      <c r="K24" t="b">
        <f>FALSE()</f>
        <v>0</v>
      </c>
      <c r="L24" t="b">
        <v>0</v>
      </c>
    </row>
    <row r="25" spans="1:12" x14ac:dyDescent="0.2">
      <c r="A25" t="s">
        <v>35</v>
      </c>
      <c r="B25" s="4">
        <v>2.4900000000000002</v>
      </c>
      <c r="C25" s="4"/>
      <c r="D25" s="5">
        <v>2650</v>
      </c>
      <c r="E25" s="5">
        <v>900</v>
      </c>
      <c r="F25" t="str">
        <f t="shared" si="4"/>
        <v>Rough</v>
      </c>
      <c r="G25">
        <f t="shared" si="4"/>
        <v>0.9</v>
      </c>
      <c r="H25">
        <f t="shared" si="4"/>
        <v>0.7</v>
      </c>
      <c r="I25">
        <f t="shared" si="4"/>
        <v>0.7</v>
      </c>
      <c r="J25" t="b">
        <f>FALSE()</f>
        <v>0</v>
      </c>
      <c r="K25" t="b">
        <f>FALSE()</f>
        <v>0</v>
      </c>
      <c r="L25" t="b">
        <v>0</v>
      </c>
    </row>
    <row r="26" spans="1:12" x14ac:dyDescent="0.2">
      <c r="A26" t="s">
        <v>36</v>
      </c>
      <c r="B26" s="4">
        <v>1.83</v>
      </c>
      <c r="C26" s="4"/>
      <c r="D26" s="5">
        <v>2200</v>
      </c>
      <c r="E26" s="5">
        <v>710</v>
      </c>
      <c r="F26" t="str">
        <f t="shared" si="4"/>
        <v>Rough</v>
      </c>
      <c r="G26">
        <f t="shared" si="4"/>
        <v>0.9</v>
      </c>
      <c r="H26">
        <f t="shared" si="4"/>
        <v>0.7</v>
      </c>
      <c r="I26">
        <f t="shared" si="4"/>
        <v>0.7</v>
      </c>
      <c r="J26" t="b">
        <f>FALSE()</f>
        <v>0</v>
      </c>
      <c r="K26" t="b">
        <f>FALSE()</f>
        <v>0</v>
      </c>
      <c r="L26" t="b">
        <v>0</v>
      </c>
    </row>
    <row r="27" spans="1:12" x14ac:dyDescent="0.2">
      <c r="A27" t="s">
        <v>37</v>
      </c>
      <c r="B27" s="4">
        <v>1.5</v>
      </c>
      <c r="C27" s="4"/>
      <c r="D27" s="5">
        <v>2180</v>
      </c>
      <c r="E27" s="5">
        <v>720</v>
      </c>
      <c r="F27" t="str">
        <f t="shared" si="4"/>
        <v>Rough</v>
      </c>
      <c r="G27">
        <f t="shared" si="4"/>
        <v>0.9</v>
      </c>
      <c r="H27">
        <f t="shared" si="4"/>
        <v>0.7</v>
      </c>
      <c r="I27">
        <f t="shared" si="4"/>
        <v>0.7</v>
      </c>
      <c r="J27" t="b">
        <f>FALSE()</f>
        <v>0</v>
      </c>
      <c r="K27" t="b">
        <f>FALSE()</f>
        <v>0</v>
      </c>
      <c r="L27" t="b">
        <v>0</v>
      </c>
    </row>
    <row r="28" spans="1:12" x14ac:dyDescent="0.2">
      <c r="A28" t="s">
        <v>38</v>
      </c>
      <c r="B28" s="4">
        <v>1.2</v>
      </c>
      <c r="C28" s="4"/>
      <c r="D28" s="5">
        <v>2000</v>
      </c>
      <c r="E28" s="5">
        <v>840</v>
      </c>
      <c r="F28" t="str">
        <f t="shared" si="4"/>
        <v>Rough</v>
      </c>
      <c r="G28">
        <f t="shared" si="4"/>
        <v>0.9</v>
      </c>
      <c r="H28">
        <f t="shared" si="4"/>
        <v>0.7</v>
      </c>
      <c r="I28">
        <f t="shared" si="4"/>
        <v>0.7</v>
      </c>
      <c r="J28" t="b">
        <f>FALSE()</f>
        <v>0</v>
      </c>
      <c r="K28" t="b">
        <f>FALSE()</f>
        <v>0</v>
      </c>
      <c r="L28" t="b">
        <v>0</v>
      </c>
    </row>
    <row r="29" spans="1:12" x14ac:dyDescent="0.2">
      <c r="A29" t="s">
        <v>39</v>
      </c>
      <c r="B29" s="4">
        <v>0.23</v>
      </c>
      <c r="C29" s="4"/>
      <c r="D29" s="5">
        <v>650</v>
      </c>
      <c r="E29" s="5">
        <v>3050</v>
      </c>
      <c r="F29" t="str">
        <f t="shared" si="4"/>
        <v>Rough</v>
      </c>
      <c r="G29">
        <f t="shared" si="4"/>
        <v>0.9</v>
      </c>
      <c r="H29">
        <f t="shared" si="4"/>
        <v>0.7</v>
      </c>
      <c r="I29">
        <f t="shared" si="4"/>
        <v>0.7</v>
      </c>
      <c r="J29" t="b">
        <f>FALSE()</f>
        <v>0</v>
      </c>
      <c r="K29" t="b">
        <f>FALSE()</f>
        <v>0</v>
      </c>
      <c r="L29" t="b">
        <v>0</v>
      </c>
    </row>
    <row r="30" spans="1:12" x14ac:dyDescent="0.2">
      <c r="A30" t="s">
        <v>40</v>
      </c>
      <c r="B30" s="4">
        <v>0.16</v>
      </c>
      <c r="C30" s="4"/>
      <c r="D30" s="5">
        <v>720</v>
      </c>
      <c r="E30" s="5">
        <v>1260</v>
      </c>
      <c r="F30" t="str">
        <f t="shared" si="4"/>
        <v>Rough</v>
      </c>
      <c r="G30">
        <f t="shared" si="4"/>
        <v>0.9</v>
      </c>
      <c r="H30">
        <f t="shared" si="4"/>
        <v>0.7</v>
      </c>
      <c r="I30">
        <f t="shared" si="4"/>
        <v>0.7</v>
      </c>
      <c r="J30" t="b">
        <f>FALSE()</f>
        <v>0</v>
      </c>
      <c r="K30" t="b">
        <f>FALSE()</f>
        <v>0</v>
      </c>
      <c r="L30" t="b">
        <v>0</v>
      </c>
    </row>
    <row r="31" spans="1:12" x14ac:dyDescent="0.2">
      <c r="A31" t="s">
        <v>41</v>
      </c>
      <c r="B31" s="4">
        <v>0.14000000000000001</v>
      </c>
      <c r="C31" s="4"/>
      <c r="D31" s="5">
        <v>720</v>
      </c>
      <c r="E31" s="5">
        <v>1680</v>
      </c>
      <c r="F31" t="str">
        <f t="shared" si="4"/>
        <v>Rough</v>
      </c>
      <c r="G31">
        <f t="shared" si="4"/>
        <v>0.9</v>
      </c>
      <c r="H31">
        <f t="shared" si="4"/>
        <v>0.7</v>
      </c>
      <c r="I31">
        <f t="shared" si="4"/>
        <v>0.7</v>
      </c>
      <c r="J31" t="b">
        <f>FALSE()</f>
        <v>0</v>
      </c>
      <c r="K31" t="b">
        <f>FALSE()</f>
        <v>0</v>
      </c>
      <c r="L31" t="b">
        <v>0</v>
      </c>
    </row>
    <row r="32" spans="1:12" x14ac:dyDescent="0.2">
      <c r="A32" t="s">
        <v>42</v>
      </c>
      <c r="C32" s="4">
        <v>0.33</v>
      </c>
      <c r="F32" t="s">
        <v>43</v>
      </c>
      <c r="G32">
        <v>0.9</v>
      </c>
      <c r="H32">
        <v>0.7</v>
      </c>
      <c r="I32">
        <v>0.7</v>
      </c>
      <c r="J32" t="b">
        <f>TRUE()</f>
        <v>1</v>
      </c>
      <c r="K32" t="b">
        <f>FALSE()</f>
        <v>0</v>
      </c>
      <c r="L32" t="b">
        <v>0</v>
      </c>
    </row>
    <row r="33" spans="1:12" x14ac:dyDescent="0.2">
      <c r="A33" t="s">
        <v>44</v>
      </c>
      <c r="C33" s="4">
        <v>2.5999999999999999E-2</v>
      </c>
      <c r="F33" t="s">
        <v>43</v>
      </c>
      <c r="G33">
        <v>0.9</v>
      </c>
      <c r="H33">
        <v>0.7</v>
      </c>
      <c r="I33">
        <v>0.7</v>
      </c>
      <c r="J33" t="b">
        <f>TRUE()</f>
        <v>1</v>
      </c>
      <c r="K33" t="b">
        <f>FALSE()</f>
        <v>0</v>
      </c>
      <c r="L33" t="b">
        <v>0</v>
      </c>
    </row>
    <row r="34" spans="1:12" x14ac:dyDescent="0.2">
      <c r="A34" t="s">
        <v>45</v>
      </c>
      <c r="C34" s="4">
        <v>0.18</v>
      </c>
      <c r="F34" t="s">
        <v>43</v>
      </c>
      <c r="G34">
        <v>0.9</v>
      </c>
      <c r="H34">
        <v>0.7</v>
      </c>
      <c r="I34">
        <v>0.7</v>
      </c>
      <c r="J34" t="b">
        <f>TRUE()</f>
        <v>1</v>
      </c>
      <c r="K34" t="b">
        <f>FALSE()</f>
        <v>0</v>
      </c>
      <c r="L34" t="b">
        <v>0</v>
      </c>
    </row>
    <row r="35" spans="1:12" x14ac:dyDescent="0.2">
      <c r="A35" t="s">
        <v>46</v>
      </c>
      <c r="C35" s="4">
        <v>0.15</v>
      </c>
      <c r="F35" t="s">
        <v>43</v>
      </c>
      <c r="G35">
        <v>0.9</v>
      </c>
      <c r="H35">
        <v>0.7</v>
      </c>
      <c r="I35">
        <v>0.7</v>
      </c>
      <c r="J35" t="b">
        <f>TRUE()</f>
        <v>1</v>
      </c>
      <c r="K35" t="b">
        <f>FALSE()</f>
        <v>0</v>
      </c>
      <c r="L35" t="b">
        <v>0</v>
      </c>
    </row>
    <row r="36" spans="1:12" x14ac:dyDescent="0.2">
      <c r="A36" t="s">
        <v>42</v>
      </c>
      <c r="B36" s="4"/>
      <c r="C36" s="4">
        <v>0.33</v>
      </c>
      <c r="D36" s="4"/>
      <c r="E36" s="4"/>
      <c r="F36" t="s">
        <v>47</v>
      </c>
      <c r="G36">
        <v>0.9</v>
      </c>
      <c r="H36">
        <v>0.7</v>
      </c>
      <c r="I36">
        <v>0.7</v>
      </c>
      <c r="J36" t="b">
        <f>TRUE()</f>
        <v>1</v>
      </c>
      <c r="K36" t="b">
        <f>FALSE()</f>
        <v>0</v>
      </c>
      <c r="L36" t="b">
        <v>0</v>
      </c>
    </row>
    <row r="37" spans="1:12" x14ac:dyDescent="0.2">
      <c r="A37" t="s">
        <v>48</v>
      </c>
      <c r="B37" s="4">
        <v>0.15</v>
      </c>
      <c r="C37" s="4"/>
      <c r="D37" s="4">
        <v>608</v>
      </c>
      <c r="E37" s="4">
        <v>1630</v>
      </c>
      <c r="F37" t="s">
        <v>47</v>
      </c>
      <c r="G37">
        <v>0.9</v>
      </c>
      <c r="H37">
        <v>0.7</v>
      </c>
      <c r="I37">
        <v>0.7</v>
      </c>
      <c r="J37" t="b">
        <f>FALSE()</f>
        <v>0</v>
      </c>
      <c r="K37" t="b">
        <f>FALSE()</f>
        <v>0</v>
      </c>
      <c r="L37" t="b">
        <v>0</v>
      </c>
    </row>
    <row r="38" spans="1:12" x14ac:dyDescent="0.2">
      <c r="A38" t="s">
        <v>49</v>
      </c>
      <c r="B38" s="4">
        <v>0.57999999999999996</v>
      </c>
      <c r="C38" s="4"/>
      <c r="D38" s="4">
        <v>800</v>
      </c>
      <c r="E38" s="4">
        <v>1090</v>
      </c>
      <c r="F38" t="s">
        <v>47</v>
      </c>
      <c r="G38">
        <v>0.9</v>
      </c>
      <c r="H38">
        <v>0.7</v>
      </c>
      <c r="I38">
        <v>0.7</v>
      </c>
      <c r="J38" t="b">
        <f>FALSE()</f>
        <v>0</v>
      </c>
      <c r="K38" t="b">
        <f>FALSE()</f>
        <v>0</v>
      </c>
      <c r="L38" t="b">
        <v>0</v>
      </c>
    </row>
    <row r="39" spans="1:12" x14ac:dyDescent="0.2">
      <c r="A39" t="s">
        <v>50</v>
      </c>
      <c r="B39" s="4">
        <v>3.5999999999999997E-2</v>
      </c>
      <c r="C39" s="4"/>
      <c r="D39" s="4">
        <v>64</v>
      </c>
      <c r="E39" s="4">
        <v>960</v>
      </c>
      <c r="F39" t="s">
        <v>43</v>
      </c>
      <c r="G39">
        <v>0.9</v>
      </c>
      <c r="H39">
        <v>0.7</v>
      </c>
      <c r="I39">
        <v>0.7</v>
      </c>
      <c r="J39" t="b">
        <f>FALSE()</f>
        <v>0</v>
      </c>
      <c r="K39" t="b">
        <f>FALSE()</f>
        <v>0</v>
      </c>
      <c r="L39" t="b">
        <v>0</v>
      </c>
    </row>
    <row r="40" spans="1:12" x14ac:dyDescent="0.2">
      <c r="A40" t="s">
        <v>44</v>
      </c>
      <c r="B40" s="4"/>
      <c r="C40" s="4">
        <v>2.5999999999999999E-2</v>
      </c>
      <c r="D40" s="4"/>
      <c r="E40" s="4"/>
      <c r="F40" t="s">
        <v>51</v>
      </c>
      <c r="G40">
        <v>0.9</v>
      </c>
      <c r="H40">
        <v>0.7</v>
      </c>
      <c r="I40">
        <v>0.7</v>
      </c>
      <c r="J40" t="b">
        <f>TRUE()</f>
        <v>1</v>
      </c>
      <c r="K40" t="b">
        <f>FALSE()</f>
        <v>0</v>
      </c>
      <c r="L40" t="b">
        <v>0</v>
      </c>
    </row>
    <row r="41" spans="1:12" x14ac:dyDescent="0.2">
      <c r="A41" t="s">
        <v>52</v>
      </c>
      <c r="B41" s="4">
        <v>1.45</v>
      </c>
      <c r="C41" s="4"/>
      <c r="D41" s="4">
        <v>2080</v>
      </c>
      <c r="E41" s="4">
        <v>900</v>
      </c>
      <c r="F41" t="s">
        <v>43</v>
      </c>
      <c r="G41">
        <v>0.9</v>
      </c>
      <c r="H41">
        <v>0.7</v>
      </c>
      <c r="I41">
        <v>0.7</v>
      </c>
      <c r="J41" t="b">
        <f>FALSE()</f>
        <v>0</v>
      </c>
      <c r="K41" t="b">
        <f>FALSE()</f>
        <v>0</v>
      </c>
      <c r="L41" t="b">
        <v>0</v>
      </c>
    </row>
    <row r="42" spans="1:12" x14ac:dyDescent="0.2">
      <c r="A42" t="s">
        <v>53</v>
      </c>
      <c r="B42" s="4">
        <v>0.53</v>
      </c>
      <c r="C42" s="4"/>
      <c r="D42" s="4">
        <v>1280</v>
      </c>
      <c r="E42" s="4">
        <v>840</v>
      </c>
      <c r="F42" t="s">
        <v>43</v>
      </c>
      <c r="G42">
        <v>0.9</v>
      </c>
      <c r="H42">
        <v>0.7</v>
      </c>
      <c r="I42">
        <v>0.7</v>
      </c>
      <c r="J42" t="b">
        <f>FALSE()</f>
        <v>0</v>
      </c>
      <c r="K42" t="b">
        <f>FALSE()</f>
        <v>0</v>
      </c>
      <c r="L42" t="b">
        <v>0</v>
      </c>
    </row>
    <row r="43" spans="1:12" x14ac:dyDescent="0.2">
      <c r="A43" t="s">
        <v>45</v>
      </c>
      <c r="B43" s="4"/>
      <c r="C43" s="4">
        <v>0.18</v>
      </c>
      <c r="D43" s="4"/>
      <c r="E43" s="4"/>
      <c r="J43" t="b">
        <f>FALSE()</f>
        <v>0</v>
      </c>
      <c r="K43" t="b">
        <f>TRUE()</f>
        <v>1</v>
      </c>
      <c r="L43" t="b">
        <v>0</v>
      </c>
    </row>
    <row r="44" spans="1:12" x14ac:dyDescent="0.2">
      <c r="A44" t="s">
        <v>54</v>
      </c>
      <c r="B44" s="4">
        <v>1.34</v>
      </c>
      <c r="C44" s="4"/>
      <c r="D44" s="4">
        <v>2400</v>
      </c>
      <c r="E44" s="4">
        <v>790</v>
      </c>
      <c r="F44" t="s">
        <v>43</v>
      </c>
      <c r="G44">
        <v>0.9</v>
      </c>
      <c r="H44">
        <v>0.7</v>
      </c>
      <c r="I44">
        <v>0.7</v>
      </c>
      <c r="J44" t="b">
        <f>FALSE()</f>
        <v>0</v>
      </c>
      <c r="K44" t="b">
        <f>FALSE()</f>
        <v>0</v>
      </c>
      <c r="L44" t="b">
        <v>0</v>
      </c>
    </row>
    <row r="45" spans="1:12" x14ac:dyDescent="0.2">
      <c r="A45" t="s">
        <v>46</v>
      </c>
      <c r="B45" s="4"/>
      <c r="C45" s="4">
        <v>0.15</v>
      </c>
      <c r="D45" s="4"/>
      <c r="E45" s="4"/>
      <c r="J45" t="b">
        <f>FALSE()</f>
        <v>0</v>
      </c>
      <c r="K45" t="b">
        <f>TRUE()</f>
        <v>1</v>
      </c>
      <c r="L45" t="b">
        <v>0</v>
      </c>
    </row>
    <row r="46" spans="1:12" x14ac:dyDescent="0.2">
      <c r="A46" t="s">
        <v>55</v>
      </c>
      <c r="B46" s="4">
        <v>0.67500000000000004</v>
      </c>
      <c r="C46" s="4"/>
      <c r="D46" s="4">
        <v>1600</v>
      </c>
      <c r="E46" s="4">
        <v>790</v>
      </c>
      <c r="F46" t="s">
        <v>43</v>
      </c>
      <c r="G46">
        <v>0.9</v>
      </c>
      <c r="H46">
        <v>0.7</v>
      </c>
      <c r="I46">
        <v>0.7</v>
      </c>
      <c r="J46" t="b">
        <f>FALSE()</f>
        <v>0</v>
      </c>
      <c r="K46" t="b">
        <f>FALSE()</f>
        <v>0</v>
      </c>
      <c r="L46" t="b">
        <v>0</v>
      </c>
    </row>
    <row r="47" spans="1:12" x14ac:dyDescent="0.2">
      <c r="A47" t="s">
        <v>56</v>
      </c>
      <c r="B47" s="4">
        <v>0.49</v>
      </c>
      <c r="C47" s="4"/>
      <c r="D47" s="4">
        <v>512</v>
      </c>
      <c r="E47" s="4">
        <v>880</v>
      </c>
      <c r="F47" t="s">
        <v>43</v>
      </c>
      <c r="G47">
        <v>0.9</v>
      </c>
      <c r="H47">
        <v>0.7</v>
      </c>
      <c r="I47">
        <v>0.7</v>
      </c>
      <c r="J47" t="b">
        <f>FALSE()</f>
        <v>0</v>
      </c>
      <c r="K47" t="b">
        <f>FALSE()</f>
        <v>0</v>
      </c>
      <c r="L47" t="b">
        <v>0</v>
      </c>
    </row>
    <row r="48" spans="1:12" x14ac:dyDescent="0.2">
      <c r="A48" t="s">
        <v>57</v>
      </c>
      <c r="B48" s="4">
        <v>0.105</v>
      </c>
      <c r="C48" s="4"/>
      <c r="D48" s="4">
        <v>800</v>
      </c>
      <c r="E48" s="4">
        <v>130</v>
      </c>
      <c r="F48" t="s">
        <v>58</v>
      </c>
      <c r="G48">
        <v>0.9</v>
      </c>
      <c r="H48">
        <v>0.7</v>
      </c>
      <c r="I48">
        <v>0.7</v>
      </c>
      <c r="J48" t="b">
        <f>FALSE()</f>
        <v>0</v>
      </c>
      <c r="K48" t="b">
        <f>FALSE()</f>
        <v>0</v>
      </c>
      <c r="L48" t="b">
        <v>0</v>
      </c>
    </row>
    <row r="49" spans="1:12" x14ac:dyDescent="0.2">
      <c r="A49" t="s">
        <v>59</v>
      </c>
      <c r="C49" s="4">
        <v>4.12</v>
      </c>
      <c r="F49" t="s">
        <v>12</v>
      </c>
      <c r="G49">
        <v>0.9</v>
      </c>
      <c r="H49">
        <v>0.7</v>
      </c>
      <c r="I49">
        <v>0.7</v>
      </c>
      <c r="J49" t="b">
        <f>FALSE()</f>
        <v>0</v>
      </c>
      <c r="K49" t="b">
        <f>FALSE()</f>
        <v>0</v>
      </c>
      <c r="L49" t="b">
        <v>0</v>
      </c>
    </row>
    <row r="50" spans="1:12" x14ac:dyDescent="0.2">
      <c r="A50" t="s">
        <v>60</v>
      </c>
      <c r="C50" s="4">
        <v>0.15</v>
      </c>
      <c r="F50" t="s">
        <v>58</v>
      </c>
      <c r="G50">
        <v>0.9</v>
      </c>
      <c r="H50">
        <v>0.7</v>
      </c>
      <c r="I50">
        <v>0.7</v>
      </c>
      <c r="J50">
        <v>1</v>
      </c>
      <c r="K50">
        <v>1</v>
      </c>
      <c r="L50" t="b">
        <v>0</v>
      </c>
    </row>
    <row r="51" spans="1:12" x14ac:dyDescent="0.2">
      <c r="A51" t="s">
        <v>61</v>
      </c>
      <c r="C51" s="4">
        <v>1</v>
      </c>
      <c r="F51" t="s">
        <v>12</v>
      </c>
      <c r="G51">
        <v>0.9</v>
      </c>
      <c r="H51">
        <v>0.7</v>
      </c>
      <c r="I51">
        <v>0.7</v>
      </c>
      <c r="J51">
        <v>1</v>
      </c>
      <c r="K51">
        <v>0</v>
      </c>
      <c r="L51" t="b">
        <v>0</v>
      </c>
    </row>
    <row r="52" spans="1:12" x14ac:dyDescent="0.2">
      <c r="A52" t="s">
        <v>62</v>
      </c>
      <c r="B52">
        <v>3.5000000000000003E-2</v>
      </c>
      <c r="D52">
        <v>20</v>
      </c>
      <c r="E52">
        <v>1000</v>
      </c>
      <c r="F52" t="s">
        <v>58</v>
      </c>
      <c r="G52">
        <v>0.9</v>
      </c>
      <c r="H52">
        <v>0.7</v>
      </c>
      <c r="I52">
        <v>0.7</v>
      </c>
      <c r="J52" t="b">
        <f>FALSE()</f>
        <v>0</v>
      </c>
      <c r="K52" t="b">
        <f>FALSE()</f>
        <v>0</v>
      </c>
      <c r="L52" t="b">
        <v>0</v>
      </c>
    </row>
    <row r="53" spans="1:12" x14ac:dyDescent="0.2">
      <c r="A53" t="s">
        <v>63</v>
      </c>
      <c r="B53">
        <v>3.5000000000000003E-2</v>
      </c>
      <c r="D53">
        <v>20</v>
      </c>
      <c r="E53">
        <v>1000</v>
      </c>
      <c r="F53" t="s">
        <v>58</v>
      </c>
      <c r="G53">
        <v>0.9</v>
      </c>
      <c r="H53">
        <v>0.7</v>
      </c>
      <c r="I53">
        <v>0.7</v>
      </c>
      <c r="J53" t="b">
        <f>FALSE()</f>
        <v>0</v>
      </c>
      <c r="K53" t="b">
        <f>FALSE()</f>
        <v>0</v>
      </c>
      <c r="L53" t="b">
        <v>0</v>
      </c>
    </row>
    <row r="54" spans="1:12" x14ac:dyDescent="0.2">
      <c r="A54" t="s">
        <v>64</v>
      </c>
      <c r="B54">
        <v>2.2999999999999998</v>
      </c>
      <c r="D54">
        <v>2300</v>
      </c>
      <c r="E54">
        <v>800</v>
      </c>
      <c r="F54" t="s">
        <v>58</v>
      </c>
      <c r="G54">
        <v>0.9</v>
      </c>
      <c r="H54">
        <v>0.7</v>
      </c>
      <c r="I54">
        <v>0.7</v>
      </c>
      <c r="J54" t="b">
        <f>FALSE()</f>
        <v>0</v>
      </c>
      <c r="K54" t="b">
        <f>FALSE()</f>
        <v>0</v>
      </c>
      <c r="L54" t="b">
        <v>0</v>
      </c>
    </row>
    <row r="55" spans="1:12" x14ac:dyDescent="0.2">
      <c r="A55" t="s">
        <v>65</v>
      </c>
      <c r="B55">
        <v>0.7</v>
      </c>
      <c r="D55">
        <v>1400</v>
      </c>
      <c r="E55">
        <v>1000</v>
      </c>
      <c r="F55" t="s">
        <v>58</v>
      </c>
      <c r="G55">
        <v>0.9</v>
      </c>
      <c r="H55">
        <v>0.4</v>
      </c>
      <c r="I55">
        <v>0.7</v>
      </c>
      <c r="J55" t="b">
        <f>FALSE()</f>
        <v>0</v>
      </c>
      <c r="K55" t="b">
        <f>FALSE()</f>
        <v>0</v>
      </c>
      <c r="L55" t="b">
        <v>0</v>
      </c>
    </row>
    <row r="56" spans="1:12" x14ac:dyDescent="0.2">
      <c r="A56" t="s">
        <v>66</v>
      </c>
      <c r="B56">
        <v>3.5000000000000003E-2</v>
      </c>
      <c r="D56">
        <v>25</v>
      </c>
      <c r="E56">
        <v>1000</v>
      </c>
      <c r="F56" t="s">
        <v>58</v>
      </c>
      <c r="G56">
        <v>0.9</v>
      </c>
      <c r="H56">
        <v>0.7</v>
      </c>
      <c r="I56">
        <v>0.7</v>
      </c>
      <c r="J56" t="b">
        <f>FALSE()</f>
        <v>0</v>
      </c>
      <c r="K56" t="b">
        <f>FALSE()</f>
        <v>0</v>
      </c>
      <c r="L56" t="b">
        <v>0</v>
      </c>
    </row>
    <row r="57" spans="1:12" x14ac:dyDescent="0.2">
      <c r="A57" t="s">
        <v>67</v>
      </c>
      <c r="B57">
        <v>2.2999999999999998</v>
      </c>
      <c r="D57">
        <v>2300</v>
      </c>
      <c r="E57">
        <v>1100</v>
      </c>
      <c r="F57" t="s">
        <v>58</v>
      </c>
      <c r="G57">
        <v>0.9</v>
      </c>
      <c r="H57">
        <v>0.7</v>
      </c>
      <c r="I57">
        <v>0.7</v>
      </c>
      <c r="J57" t="b">
        <f>FALSE()</f>
        <v>0</v>
      </c>
      <c r="K57" t="b">
        <f>FALSE()</f>
        <v>0</v>
      </c>
      <c r="L57" t="b">
        <v>0</v>
      </c>
    </row>
    <row r="58" spans="1:12" x14ac:dyDescent="0.2">
      <c r="A58" t="s">
        <v>68</v>
      </c>
      <c r="B58">
        <v>2.2999999999999998</v>
      </c>
      <c r="D58">
        <v>2300</v>
      </c>
      <c r="E58">
        <v>800</v>
      </c>
      <c r="F58" t="s">
        <v>58</v>
      </c>
      <c r="G58">
        <v>0.9</v>
      </c>
      <c r="H58">
        <v>0.7</v>
      </c>
      <c r="I58">
        <v>0.7</v>
      </c>
      <c r="J58" t="b">
        <f>FALSE()</f>
        <v>0</v>
      </c>
      <c r="K58" t="b">
        <f>FALSE()</f>
        <v>0</v>
      </c>
      <c r="L58" t="b">
        <v>0</v>
      </c>
    </row>
    <row r="59" spans="1:12" x14ac:dyDescent="0.2">
      <c r="A59" t="s">
        <v>69</v>
      </c>
      <c r="B59">
        <v>3.5000000000000003E-2</v>
      </c>
      <c r="D59">
        <v>20</v>
      </c>
      <c r="E59">
        <v>1000</v>
      </c>
      <c r="F59" t="s">
        <v>58</v>
      </c>
      <c r="G59">
        <v>0.9</v>
      </c>
      <c r="H59">
        <v>0.7</v>
      </c>
      <c r="I59">
        <v>0.7</v>
      </c>
      <c r="J59" t="b">
        <f>FALSE()</f>
        <v>0</v>
      </c>
      <c r="K59" t="b">
        <f>FALSE()</f>
        <v>0</v>
      </c>
      <c r="L59" t="b">
        <v>0</v>
      </c>
    </row>
    <row r="60" spans="1:12" x14ac:dyDescent="0.2">
      <c r="A60" t="s">
        <v>70</v>
      </c>
      <c r="B60">
        <v>1.4</v>
      </c>
      <c r="D60">
        <v>2000</v>
      </c>
      <c r="E60">
        <v>1000</v>
      </c>
      <c r="F60" t="s">
        <v>58</v>
      </c>
      <c r="G60">
        <v>0.9</v>
      </c>
      <c r="H60">
        <v>0.7</v>
      </c>
      <c r="I60">
        <v>0.7</v>
      </c>
      <c r="J60" t="b">
        <f>FALSE()</f>
        <v>0</v>
      </c>
      <c r="K60" t="b">
        <f>FALSE()</f>
        <v>0</v>
      </c>
      <c r="L60" t="b">
        <v>0</v>
      </c>
    </row>
    <row r="61" spans="1:12" x14ac:dyDescent="0.2">
      <c r="A61" t="s">
        <v>71</v>
      </c>
      <c r="B61">
        <v>3.5000000000000003E-2</v>
      </c>
      <c r="D61">
        <v>20</v>
      </c>
      <c r="E61">
        <v>1000</v>
      </c>
      <c r="F61" t="s">
        <v>58</v>
      </c>
      <c r="G61">
        <v>0.9</v>
      </c>
      <c r="H61">
        <v>0.7</v>
      </c>
      <c r="I61">
        <v>0.7</v>
      </c>
      <c r="J61" t="b">
        <f>FALSE()</f>
        <v>0</v>
      </c>
      <c r="K61" t="b">
        <f>FALSE()</f>
        <v>0</v>
      </c>
      <c r="L61" t="b">
        <v>0</v>
      </c>
    </row>
    <row r="62" spans="1:12" x14ac:dyDescent="0.2">
      <c r="A62" t="s">
        <v>72</v>
      </c>
      <c r="B62">
        <v>0.16</v>
      </c>
      <c r="D62">
        <v>800</v>
      </c>
      <c r="E62">
        <v>800</v>
      </c>
      <c r="F62" t="s">
        <v>12</v>
      </c>
      <c r="G62">
        <v>0.9</v>
      </c>
      <c r="H62">
        <v>0.6</v>
      </c>
      <c r="I62">
        <v>0.6</v>
      </c>
      <c r="J62" t="b">
        <f>FALSE()</f>
        <v>0</v>
      </c>
      <c r="K62" t="b">
        <f>FALSE()</f>
        <v>0</v>
      </c>
      <c r="L62" t="b">
        <v>0</v>
      </c>
    </row>
    <row r="63" spans="1:12" x14ac:dyDescent="0.2">
      <c r="A63" t="s">
        <v>73</v>
      </c>
      <c r="B63">
        <v>3.5000000000000003E-2</v>
      </c>
      <c r="D63">
        <v>20</v>
      </c>
      <c r="E63">
        <v>1000</v>
      </c>
      <c r="F63" t="s">
        <v>12</v>
      </c>
      <c r="G63">
        <v>0.9</v>
      </c>
      <c r="H63">
        <v>0.7</v>
      </c>
      <c r="I63">
        <v>0.7</v>
      </c>
      <c r="J63" t="b">
        <f>FALSE()</f>
        <v>0</v>
      </c>
      <c r="K63" t="b">
        <f>FALSE()</f>
        <v>0</v>
      </c>
      <c r="L63" t="b">
        <v>0</v>
      </c>
    </row>
    <row r="64" spans="1:12" x14ac:dyDescent="0.2">
      <c r="A64" t="s">
        <v>74</v>
      </c>
      <c r="B64">
        <v>0.7</v>
      </c>
      <c r="D64">
        <v>1400</v>
      </c>
      <c r="E64">
        <v>1000</v>
      </c>
      <c r="F64" t="s">
        <v>58</v>
      </c>
      <c r="G64">
        <v>0.9</v>
      </c>
      <c r="H64">
        <v>0.4</v>
      </c>
      <c r="I64">
        <v>0.7</v>
      </c>
      <c r="J64" t="b">
        <f>FALSE()</f>
        <v>0</v>
      </c>
      <c r="K64" t="b">
        <f>FALSE()</f>
        <v>0</v>
      </c>
      <c r="L64" t="b">
        <v>0</v>
      </c>
    </row>
    <row r="65" spans="1:12" x14ac:dyDescent="0.2">
      <c r="A65" t="s">
        <v>75</v>
      </c>
      <c r="B65">
        <v>2.2999999999999998</v>
      </c>
      <c r="D65">
        <v>500</v>
      </c>
      <c r="E65">
        <v>1000</v>
      </c>
      <c r="F65" t="s">
        <v>58</v>
      </c>
      <c r="G65">
        <v>0.85</v>
      </c>
      <c r="H65">
        <v>0.85</v>
      </c>
      <c r="I65">
        <v>0.7</v>
      </c>
      <c r="J65" t="b">
        <f>FALSE()</f>
        <v>0</v>
      </c>
      <c r="K65" t="b">
        <f>FALSE()</f>
        <v>0</v>
      </c>
      <c r="L65" t="b">
        <v>0</v>
      </c>
    </row>
    <row r="66" spans="1:12" x14ac:dyDescent="0.2">
      <c r="A66" t="s">
        <v>76</v>
      </c>
      <c r="B66">
        <v>1.1299999999999999</v>
      </c>
      <c r="D66">
        <v>2000</v>
      </c>
      <c r="E66">
        <v>1000</v>
      </c>
      <c r="F66" t="s">
        <v>12</v>
      </c>
      <c r="G66">
        <v>0.9</v>
      </c>
      <c r="H66">
        <v>0.7</v>
      </c>
      <c r="I66">
        <v>0.7</v>
      </c>
      <c r="J66" t="b">
        <f>FALSE()</f>
        <v>0</v>
      </c>
      <c r="K66" t="b">
        <f>FALSE()</f>
        <v>0</v>
      </c>
      <c r="L66" t="b">
        <v>0</v>
      </c>
    </row>
    <row r="67" spans="1:12" x14ac:dyDescent="0.2">
      <c r="A67" t="s">
        <v>77</v>
      </c>
      <c r="B67">
        <v>0.14000000000000001</v>
      </c>
      <c r="D67">
        <v>650</v>
      </c>
      <c r="E67">
        <v>2300</v>
      </c>
      <c r="F67" t="s">
        <v>58</v>
      </c>
      <c r="G67">
        <v>0.9</v>
      </c>
      <c r="H67">
        <v>0.7</v>
      </c>
      <c r="I67">
        <v>0.7</v>
      </c>
      <c r="J67" t="b">
        <f>FALSE()</f>
        <v>0</v>
      </c>
      <c r="K67" t="b">
        <f>FALSE()</f>
        <v>0</v>
      </c>
      <c r="L67" t="b">
        <v>0</v>
      </c>
    </row>
    <row r="68" spans="1:12" x14ac:dyDescent="0.2">
      <c r="A68" t="s">
        <v>78</v>
      </c>
      <c r="B68">
        <v>0.05</v>
      </c>
      <c r="D68">
        <v>1.7</v>
      </c>
      <c r="E68">
        <v>200</v>
      </c>
      <c r="F68" t="s">
        <v>12</v>
      </c>
      <c r="G68">
        <v>0.9</v>
      </c>
      <c r="H68">
        <v>0.7</v>
      </c>
      <c r="I68">
        <v>0.7</v>
      </c>
      <c r="J68" t="b">
        <f>FALSE()</f>
        <v>0</v>
      </c>
      <c r="K68" t="b">
        <f>FALSE()</f>
        <v>0</v>
      </c>
      <c r="L68" t="b">
        <v>0</v>
      </c>
    </row>
    <row r="69" spans="1:12" x14ac:dyDescent="0.2">
      <c r="A69" t="s">
        <v>79</v>
      </c>
      <c r="B69">
        <v>0.84</v>
      </c>
      <c r="D69">
        <v>1700</v>
      </c>
      <c r="E69">
        <v>800</v>
      </c>
      <c r="F69" t="s">
        <v>12</v>
      </c>
      <c r="G69">
        <v>0.9</v>
      </c>
      <c r="H69">
        <v>0.7</v>
      </c>
      <c r="I69">
        <v>0.7</v>
      </c>
      <c r="J69" t="b">
        <f>FALSE()</f>
        <v>0</v>
      </c>
      <c r="K69" t="b">
        <f>FALSE()</f>
        <v>0</v>
      </c>
      <c r="L69" t="b">
        <v>0</v>
      </c>
    </row>
    <row r="70" spans="1:12" x14ac:dyDescent="0.2">
      <c r="A70" t="s">
        <v>80</v>
      </c>
      <c r="B70">
        <v>0.5</v>
      </c>
      <c r="D70">
        <v>1300</v>
      </c>
      <c r="E70">
        <v>1000</v>
      </c>
      <c r="F70" t="s">
        <v>58</v>
      </c>
      <c r="G70">
        <v>0.9</v>
      </c>
      <c r="H70">
        <v>0.7</v>
      </c>
      <c r="I70">
        <v>0.7</v>
      </c>
      <c r="J70" t="b">
        <f>FALSE()</f>
        <v>0</v>
      </c>
      <c r="K70" t="b">
        <f>FALSE()</f>
        <v>0</v>
      </c>
      <c r="L70" t="b">
        <v>0</v>
      </c>
    </row>
    <row r="71" spans="1:12" x14ac:dyDescent="0.2">
      <c r="A71" t="s">
        <v>81</v>
      </c>
      <c r="B71">
        <v>0.71</v>
      </c>
      <c r="D71">
        <v>1200</v>
      </c>
      <c r="E71">
        <v>1380</v>
      </c>
      <c r="F71" t="s">
        <v>58</v>
      </c>
      <c r="G71">
        <v>0.9</v>
      </c>
      <c r="H71">
        <v>0.7</v>
      </c>
      <c r="I71">
        <v>0.7</v>
      </c>
      <c r="J71" t="b">
        <f>FALSE()</f>
        <v>0</v>
      </c>
      <c r="K71" t="b">
        <f>FALSE()</f>
        <v>0</v>
      </c>
      <c r="L71" t="b">
        <v>0</v>
      </c>
    </row>
    <row r="72" spans="1:12" x14ac:dyDescent="0.2">
      <c r="A72" t="s">
        <v>82</v>
      </c>
      <c r="B72">
        <v>0.14000000000000001</v>
      </c>
      <c r="D72">
        <v>650</v>
      </c>
      <c r="E72">
        <v>1200</v>
      </c>
      <c r="F72" t="s">
        <v>12</v>
      </c>
      <c r="G72">
        <v>0.9</v>
      </c>
      <c r="H72">
        <v>0.7</v>
      </c>
      <c r="I72">
        <v>0.7</v>
      </c>
      <c r="J72" t="b">
        <f>FALSE()</f>
        <v>0</v>
      </c>
      <c r="K72" t="b">
        <f>FALSE()</f>
        <v>0</v>
      </c>
      <c r="L72" t="b">
        <v>0</v>
      </c>
    </row>
    <row r="73" spans="1:12" x14ac:dyDescent="0.2">
      <c r="A73" t="s">
        <v>83</v>
      </c>
      <c r="B73">
        <v>0.5</v>
      </c>
      <c r="D73">
        <v>800</v>
      </c>
      <c r="E73">
        <v>1400</v>
      </c>
      <c r="F73" t="s">
        <v>58</v>
      </c>
      <c r="G73">
        <v>0.95</v>
      </c>
      <c r="H73">
        <v>0.78</v>
      </c>
      <c r="I73">
        <v>0.78</v>
      </c>
      <c r="J73" t="b">
        <v>0</v>
      </c>
      <c r="K73" t="b">
        <v>0</v>
      </c>
      <c r="L73" t="b">
        <v>0</v>
      </c>
    </row>
    <row r="74" spans="1:12" x14ac:dyDescent="0.2">
      <c r="A74" t="s">
        <v>84</v>
      </c>
      <c r="B74">
        <v>0.5</v>
      </c>
      <c r="D74">
        <v>1300</v>
      </c>
      <c r="E74">
        <v>1000</v>
      </c>
      <c r="F74" t="s">
        <v>12</v>
      </c>
      <c r="G74">
        <v>0.9</v>
      </c>
      <c r="H74">
        <v>0.7</v>
      </c>
      <c r="I74">
        <v>0.7</v>
      </c>
      <c r="J74" t="b">
        <v>0</v>
      </c>
      <c r="K74" t="b">
        <v>0</v>
      </c>
      <c r="L74" t="b">
        <v>0</v>
      </c>
    </row>
    <row r="75" spans="1:12" x14ac:dyDescent="0.2">
      <c r="A75" t="s">
        <v>85</v>
      </c>
      <c r="B75">
        <v>0.76</v>
      </c>
      <c r="D75">
        <v>1700</v>
      </c>
      <c r="E75">
        <v>800</v>
      </c>
      <c r="F75" t="s">
        <v>12</v>
      </c>
      <c r="G75">
        <v>0.9</v>
      </c>
      <c r="H75">
        <v>0.7</v>
      </c>
      <c r="I75">
        <v>0.8</v>
      </c>
      <c r="J75" t="b">
        <v>0</v>
      </c>
      <c r="K75" t="b">
        <v>0</v>
      </c>
      <c r="L75" t="b">
        <v>0</v>
      </c>
    </row>
    <row r="76" spans="1:12" x14ac:dyDescent="0.2">
      <c r="A76" t="s">
        <v>86</v>
      </c>
      <c r="B76">
        <v>2.9000000000000001E-2</v>
      </c>
      <c r="D76">
        <v>29</v>
      </c>
      <c r="E76">
        <v>1210</v>
      </c>
      <c r="F76" t="s">
        <v>47</v>
      </c>
      <c r="G76">
        <v>0.9</v>
      </c>
      <c r="H76">
        <v>0.7</v>
      </c>
      <c r="I76">
        <v>0.7</v>
      </c>
      <c r="J76" t="b">
        <v>0</v>
      </c>
      <c r="K76" t="b">
        <v>0</v>
      </c>
      <c r="L76" t="b">
        <v>0</v>
      </c>
    </row>
    <row r="77" spans="1:12" x14ac:dyDescent="0.2">
      <c r="A77" t="s">
        <v>87</v>
      </c>
      <c r="C77">
        <v>0.1603675</v>
      </c>
      <c r="F77" t="s">
        <v>47</v>
      </c>
      <c r="G77">
        <v>0.9</v>
      </c>
      <c r="H77">
        <v>0.7</v>
      </c>
      <c r="I77">
        <v>0.7</v>
      </c>
      <c r="J77" t="b">
        <v>1</v>
      </c>
      <c r="K77" t="b">
        <v>1</v>
      </c>
      <c r="L77" t="b">
        <v>0</v>
      </c>
    </row>
    <row r="78" spans="1:12" x14ac:dyDescent="0.2">
      <c r="A78" t="s">
        <v>88</v>
      </c>
      <c r="B78">
        <v>0.72</v>
      </c>
      <c r="D78">
        <v>1920</v>
      </c>
      <c r="E78">
        <v>835</v>
      </c>
      <c r="F78" t="s">
        <v>43</v>
      </c>
      <c r="G78">
        <v>0.9</v>
      </c>
      <c r="H78">
        <v>0.93</v>
      </c>
      <c r="I78">
        <v>0.93</v>
      </c>
      <c r="J78" t="b">
        <v>0</v>
      </c>
      <c r="K78" t="b">
        <v>0</v>
      </c>
      <c r="L78" t="b">
        <v>0</v>
      </c>
    </row>
    <row r="79" spans="1:12" x14ac:dyDescent="0.2">
      <c r="A79" t="s">
        <v>89</v>
      </c>
      <c r="B79">
        <v>0.1</v>
      </c>
      <c r="D79">
        <v>1300</v>
      </c>
      <c r="E79">
        <v>1000</v>
      </c>
      <c r="F79" t="s">
        <v>12</v>
      </c>
      <c r="G79">
        <v>0.9</v>
      </c>
      <c r="H79">
        <v>0.5</v>
      </c>
      <c r="I79">
        <v>0.5</v>
      </c>
      <c r="J79" t="b">
        <v>0</v>
      </c>
      <c r="K79" t="b">
        <v>0</v>
      </c>
      <c r="L79" t="b">
        <v>0</v>
      </c>
    </row>
    <row r="80" spans="1:12" x14ac:dyDescent="0.2">
      <c r="A80" t="s">
        <v>90</v>
      </c>
      <c r="B80">
        <v>0.57999999999999996</v>
      </c>
      <c r="D80">
        <v>800</v>
      </c>
      <c r="E80">
        <v>1090</v>
      </c>
      <c r="F80" t="s">
        <v>47</v>
      </c>
      <c r="G80">
        <v>0.96</v>
      </c>
      <c r="H80">
        <v>0.92</v>
      </c>
      <c r="I80">
        <v>0.92</v>
      </c>
      <c r="J80" t="b">
        <v>0</v>
      </c>
      <c r="K80" t="b">
        <v>0</v>
      </c>
      <c r="L80" t="b">
        <v>0</v>
      </c>
    </row>
    <row r="81" spans="1:12" x14ac:dyDescent="0.2">
      <c r="A81" t="s">
        <v>91</v>
      </c>
      <c r="B81">
        <v>1.21</v>
      </c>
      <c r="D81">
        <v>1960</v>
      </c>
      <c r="E81">
        <v>840</v>
      </c>
      <c r="F81" t="s">
        <v>12</v>
      </c>
      <c r="G81">
        <v>0.9</v>
      </c>
      <c r="H81">
        <v>0.7</v>
      </c>
      <c r="I81">
        <v>0.7</v>
      </c>
      <c r="J81" t="b">
        <v>0</v>
      </c>
      <c r="K81" t="b">
        <v>0</v>
      </c>
      <c r="L81" t="b">
        <v>0</v>
      </c>
    </row>
    <row r="82" spans="1:12" x14ac:dyDescent="0.2">
      <c r="A82" t="s">
        <v>92</v>
      </c>
      <c r="B82">
        <v>1.5</v>
      </c>
      <c r="D82">
        <v>60</v>
      </c>
      <c r="E82">
        <v>170</v>
      </c>
      <c r="F82" t="s">
        <v>47</v>
      </c>
      <c r="G82">
        <v>0.9</v>
      </c>
      <c r="H82">
        <v>0.7</v>
      </c>
      <c r="I82">
        <v>0.7</v>
      </c>
      <c r="J82" t="b">
        <v>0</v>
      </c>
      <c r="K82" t="b">
        <v>0</v>
      </c>
      <c r="L82" t="b">
        <v>0</v>
      </c>
    </row>
    <row r="83" spans="1:12" x14ac:dyDescent="0.2">
      <c r="A83" t="s">
        <v>98</v>
      </c>
      <c r="B83">
        <v>4.2999999999999997E-2</v>
      </c>
      <c r="D83">
        <v>71</v>
      </c>
      <c r="E83">
        <v>170</v>
      </c>
      <c r="F83" t="s">
        <v>47</v>
      </c>
      <c r="G83">
        <v>0.9</v>
      </c>
      <c r="H83">
        <v>0.7</v>
      </c>
      <c r="I83">
        <v>0.7</v>
      </c>
      <c r="J83" t="b">
        <v>0</v>
      </c>
      <c r="K83" t="b">
        <v>0</v>
      </c>
      <c r="L83" t="b">
        <v>0</v>
      </c>
    </row>
    <row r="84" spans="1:12" x14ac:dyDescent="0.2">
      <c r="A84" t="s">
        <v>97</v>
      </c>
      <c r="B84">
        <v>0.17</v>
      </c>
      <c r="D84">
        <v>600</v>
      </c>
      <c r="E84">
        <v>1700</v>
      </c>
      <c r="F84" t="s">
        <v>47</v>
      </c>
      <c r="G84">
        <v>0.9</v>
      </c>
      <c r="H84">
        <v>0.7</v>
      </c>
      <c r="I84">
        <v>0.7</v>
      </c>
      <c r="J84" t="b">
        <v>0</v>
      </c>
      <c r="K84" t="b">
        <v>0</v>
      </c>
      <c r="L84" t="b">
        <v>0</v>
      </c>
    </row>
    <row r="85" spans="1:12" x14ac:dyDescent="0.2">
      <c r="A85" t="s">
        <v>93</v>
      </c>
      <c r="C85">
        <v>0.37</v>
      </c>
      <c r="F85" t="s">
        <v>12</v>
      </c>
      <c r="G85">
        <v>0.95</v>
      </c>
      <c r="H85">
        <v>0.7</v>
      </c>
      <c r="I85">
        <v>0.7</v>
      </c>
      <c r="J85" t="b">
        <v>1</v>
      </c>
      <c r="K85" t="b">
        <v>0</v>
      </c>
      <c r="L85" t="b">
        <v>0</v>
      </c>
    </row>
    <row r="86" spans="1:12" x14ac:dyDescent="0.2">
      <c r="A86" t="s">
        <v>94</v>
      </c>
      <c r="B86">
        <v>0.14000000000000001</v>
      </c>
      <c r="D86">
        <v>530</v>
      </c>
      <c r="E86">
        <v>900</v>
      </c>
      <c r="F86" t="s">
        <v>12</v>
      </c>
      <c r="G86">
        <v>0.9</v>
      </c>
      <c r="H86">
        <v>0.6</v>
      </c>
      <c r="I86">
        <v>0.6</v>
      </c>
      <c r="J86" t="b">
        <v>0</v>
      </c>
      <c r="K86" t="b">
        <v>0</v>
      </c>
      <c r="L86" t="b">
        <v>0</v>
      </c>
    </row>
    <row r="87" spans="1:12" x14ac:dyDescent="0.2">
      <c r="A87" t="s">
        <v>96</v>
      </c>
      <c r="B87">
        <v>1.59</v>
      </c>
      <c r="D87">
        <v>1920</v>
      </c>
      <c r="E87">
        <v>1260</v>
      </c>
      <c r="F87" t="s">
        <v>51</v>
      </c>
      <c r="G87">
        <v>0.9</v>
      </c>
      <c r="H87">
        <v>0.7</v>
      </c>
      <c r="I87">
        <v>0.7</v>
      </c>
      <c r="J87" t="b">
        <v>0</v>
      </c>
      <c r="K87" t="b">
        <v>0</v>
      </c>
      <c r="L87" t="b">
        <v>0</v>
      </c>
    </row>
    <row r="88" spans="1:12" x14ac:dyDescent="0.2">
      <c r="A88" t="s">
        <v>95</v>
      </c>
      <c r="B88">
        <v>0.04</v>
      </c>
      <c r="D88">
        <v>12</v>
      </c>
      <c r="E88">
        <v>840</v>
      </c>
      <c r="F88" t="s">
        <v>12</v>
      </c>
      <c r="G88">
        <v>0.9</v>
      </c>
      <c r="H88">
        <v>0.6</v>
      </c>
      <c r="I88">
        <v>0.6</v>
      </c>
      <c r="J88" t="b">
        <v>0</v>
      </c>
      <c r="K88" t="b">
        <v>0</v>
      </c>
      <c r="L88" t="b">
        <v>0</v>
      </c>
    </row>
    <row r="89" spans="1:12" x14ac:dyDescent="0.2">
      <c r="A89" t="s">
        <v>99</v>
      </c>
      <c r="B89">
        <v>4.2999999999999997E-2</v>
      </c>
      <c r="D89">
        <v>71</v>
      </c>
      <c r="E89">
        <v>170</v>
      </c>
      <c r="F89" t="s">
        <v>47</v>
      </c>
      <c r="G89">
        <v>0.9</v>
      </c>
      <c r="H89">
        <v>0.7</v>
      </c>
      <c r="I89">
        <v>0.7</v>
      </c>
      <c r="J89" t="b">
        <v>0</v>
      </c>
      <c r="K89" t="b">
        <v>0</v>
      </c>
      <c r="L89" t="b">
        <v>0</v>
      </c>
    </row>
    <row r="90" spans="1:12" x14ac:dyDescent="0.2">
      <c r="A90" t="s">
        <v>100</v>
      </c>
      <c r="B90">
        <v>0.01</v>
      </c>
      <c r="D90">
        <v>10</v>
      </c>
      <c r="E90">
        <v>100</v>
      </c>
      <c r="F90" t="s">
        <v>12</v>
      </c>
      <c r="G90">
        <v>0.9</v>
      </c>
      <c r="H90">
        <v>0.7</v>
      </c>
      <c r="I90">
        <v>0.7</v>
      </c>
      <c r="J90" t="b">
        <v>0</v>
      </c>
      <c r="K90" t="b">
        <v>0</v>
      </c>
      <c r="L90" t="b">
        <v>0</v>
      </c>
    </row>
    <row r="91" spans="1:12" x14ac:dyDescent="0.2">
      <c r="A91" t="s">
        <v>101</v>
      </c>
      <c r="B91">
        <v>0.84</v>
      </c>
      <c r="D91">
        <v>800</v>
      </c>
      <c r="E91">
        <v>1700</v>
      </c>
      <c r="F91" t="s">
        <v>12</v>
      </c>
      <c r="G91">
        <v>0.9</v>
      </c>
      <c r="H91">
        <v>0.7</v>
      </c>
      <c r="I91">
        <v>0.7</v>
      </c>
      <c r="J91" t="b">
        <v>0</v>
      </c>
      <c r="K91" t="b">
        <v>0</v>
      </c>
      <c r="L91" t="b">
        <v>0</v>
      </c>
    </row>
    <row r="92" spans="1:12" x14ac:dyDescent="0.2">
      <c r="A92" t="s">
        <v>102</v>
      </c>
      <c r="B92">
        <v>0.62</v>
      </c>
      <c r="D92">
        <v>800</v>
      </c>
      <c r="E92">
        <v>1700</v>
      </c>
      <c r="F92" t="s">
        <v>12</v>
      </c>
      <c r="G92">
        <v>0.9</v>
      </c>
      <c r="H92">
        <v>0.7</v>
      </c>
      <c r="I92">
        <v>0.7</v>
      </c>
      <c r="J92" t="b">
        <v>0</v>
      </c>
      <c r="K92" t="b">
        <v>0</v>
      </c>
      <c r="L92" t="b">
        <v>0</v>
      </c>
    </row>
    <row r="93" spans="1:12" x14ac:dyDescent="0.2">
      <c r="A93" t="s">
        <v>103</v>
      </c>
      <c r="B93">
        <v>0.5</v>
      </c>
      <c r="D93">
        <v>1000</v>
      </c>
      <c r="E93">
        <v>1300</v>
      </c>
      <c r="F93" t="s">
        <v>58</v>
      </c>
      <c r="G93">
        <v>0.9</v>
      </c>
      <c r="H93">
        <v>0.7</v>
      </c>
      <c r="I93">
        <v>0.7</v>
      </c>
      <c r="J93" t="b">
        <v>0</v>
      </c>
      <c r="K93" t="b">
        <v>0</v>
      </c>
      <c r="L93" t="b">
        <v>0</v>
      </c>
    </row>
    <row r="94" spans="1:12" x14ac:dyDescent="0.2">
      <c r="A94" t="s">
        <v>104</v>
      </c>
      <c r="B94">
        <v>1</v>
      </c>
      <c r="D94">
        <v>800</v>
      </c>
      <c r="E94">
        <v>2000</v>
      </c>
      <c r="F94" t="s">
        <v>47</v>
      </c>
      <c r="G94">
        <v>0.9</v>
      </c>
      <c r="H94">
        <v>0.7</v>
      </c>
      <c r="I94">
        <v>0.7</v>
      </c>
      <c r="J94" t="b">
        <v>0</v>
      </c>
      <c r="K94" t="b">
        <v>0</v>
      </c>
      <c r="L94" t="b">
        <v>0</v>
      </c>
    </row>
    <row r="95" spans="1:12" x14ac:dyDescent="0.2">
      <c r="A95" t="s">
        <v>105</v>
      </c>
      <c r="B95">
        <v>0.19</v>
      </c>
      <c r="D95">
        <v>837</v>
      </c>
      <c r="E95">
        <v>960</v>
      </c>
      <c r="F95" t="s">
        <v>12</v>
      </c>
      <c r="G95">
        <v>0.9</v>
      </c>
      <c r="H95">
        <v>0.7</v>
      </c>
      <c r="I95">
        <v>0.7</v>
      </c>
      <c r="J95" t="b">
        <v>0</v>
      </c>
      <c r="K95" t="b">
        <v>0</v>
      </c>
      <c r="L95" t="b">
        <v>0</v>
      </c>
    </row>
    <row r="96" spans="1:12" x14ac:dyDescent="0.2">
      <c r="A96" t="s">
        <v>106</v>
      </c>
      <c r="B96">
        <v>2.1999999999999999E-2</v>
      </c>
      <c r="D96">
        <v>1470</v>
      </c>
      <c r="E96">
        <v>45</v>
      </c>
      <c r="F96" t="s">
        <v>12</v>
      </c>
      <c r="G96">
        <v>0.9</v>
      </c>
      <c r="H96">
        <v>0.7</v>
      </c>
      <c r="I96">
        <v>0.7</v>
      </c>
      <c r="J96" t="b">
        <v>0</v>
      </c>
      <c r="K96" t="b">
        <v>0</v>
      </c>
      <c r="L96" t="b">
        <v>0</v>
      </c>
    </row>
    <row r="97" spans="1:12" x14ac:dyDescent="0.2">
      <c r="A97" t="s">
        <v>107</v>
      </c>
      <c r="B97">
        <v>0.14000000000000001</v>
      </c>
      <c r="D97">
        <v>1200</v>
      </c>
      <c r="E97">
        <v>650</v>
      </c>
      <c r="F97" t="s">
        <v>47</v>
      </c>
      <c r="G97">
        <v>0.9</v>
      </c>
      <c r="H97">
        <v>0.7</v>
      </c>
      <c r="I97">
        <v>0.7</v>
      </c>
      <c r="J97" t="b">
        <v>0</v>
      </c>
      <c r="K97" t="b">
        <v>0</v>
      </c>
      <c r="L97" t="b">
        <v>0</v>
      </c>
    </row>
    <row r="98" spans="1:12" x14ac:dyDescent="0.2">
      <c r="A98" t="s">
        <v>108</v>
      </c>
      <c r="B98">
        <v>1.1299999999999999</v>
      </c>
      <c r="D98">
        <v>1000</v>
      </c>
      <c r="E98">
        <v>2000</v>
      </c>
      <c r="F98" t="s">
        <v>12</v>
      </c>
      <c r="G98">
        <v>0.9</v>
      </c>
      <c r="H98">
        <v>0.7</v>
      </c>
      <c r="I98">
        <v>0.7</v>
      </c>
      <c r="J98" t="b">
        <v>0</v>
      </c>
      <c r="K98" t="b">
        <v>0</v>
      </c>
      <c r="L98" t="b">
        <v>0</v>
      </c>
    </row>
    <row r="99" spans="1:12" x14ac:dyDescent="0.2">
      <c r="A99" t="s">
        <v>109</v>
      </c>
      <c r="B99">
        <v>0.06</v>
      </c>
      <c r="D99">
        <v>1300</v>
      </c>
      <c r="E99">
        <v>200</v>
      </c>
      <c r="F99" t="s">
        <v>12</v>
      </c>
      <c r="G99">
        <v>0.95</v>
      </c>
      <c r="H99">
        <v>0.7</v>
      </c>
      <c r="I99">
        <v>0.7</v>
      </c>
      <c r="J99" t="b">
        <v>0</v>
      </c>
      <c r="K99" t="b">
        <v>0</v>
      </c>
      <c r="L99" t="b">
        <v>0</v>
      </c>
    </row>
    <row r="100" spans="1:12" x14ac:dyDescent="0.2">
      <c r="A100" t="s">
        <v>110</v>
      </c>
      <c r="B100">
        <v>0.25</v>
      </c>
      <c r="D100">
        <v>896</v>
      </c>
      <c r="E100">
        <v>2800</v>
      </c>
      <c r="F100" t="s">
        <v>58</v>
      </c>
      <c r="G100">
        <v>0.9</v>
      </c>
      <c r="H100">
        <v>0.7</v>
      </c>
      <c r="I100">
        <v>0.7</v>
      </c>
      <c r="J100" t="b">
        <v>0</v>
      </c>
      <c r="K100" t="b">
        <v>0</v>
      </c>
      <c r="L100" t="b">
        <v>0</v>
      </c>
    </row>
    <row r="101" spans="1:12" x14ac:dyDescent="0.2">
      <c r="A101" t="s">
        <v>111</v>
      </c>
      <c r="B101">
        <v>0.19</v>
      </c>
      <c r="D101">
        <v>2390</v>
      </c>
      <c r="E101">
        <v>700</v>
      </c>
      <c r="F101" t="s">
        <v>58</v>
      </c>
      <c r="G101">
        <v>0.9</v>
      </c>
      <c r="H101">
        <v>0.7</v>
      </c>
      <c r="I101">
        <v>0.7</v>
      </c>
      <c r="J101" t="b">
        <v>0</v>
      </c>
      <c r="K101" t="b">
        <v>0</v>
      </c>
      <c r="L101" t="b">
        <v>0</v>
      </c>
    </row>
    <row r="102" spans="1:12" x14ac:dyDescent="0.2">
      <c r="A102" t="s">
        <v>114</v>
      </c>
      <c r="B102">
        <v>0.19</v>
      </c>
      <c r="D102">
        <v>700</v>
      </c>
      <c r="E102">
        <v>2390</v>
      </c>
      <c r="F102" t="s">
        <v>12</v>
      </c>
      <c r="G102">
        <v>0.9</v>
      </c>
      <c r="H102">
        <v>0.5</v>
      </c>
      <c r="I102">
        <v>0.5</v>
      </c>
      <c r="J102" t="b">
        <v>0</v>
      </c>
      <c r="K102" t="b">
        <v>0</v>
      </c>
      <c r="L102" t="b">
        <v>0</v>
      </c>
    </row>
    <row r="103" spans="1:12" x14ac:dyDescent="0.2">
      <c r="A103" t="s">
        <v>113</v>
      </c>
      <c r="L103" t="b">
        <v>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Jack Lynch</dc:creator>
  <dc:description/>
  <cp:lastModifiedBy>Jack Lynch</cp:lastModifiedBy>
  <cp:revision>5</cp:revision>
  <dcterms:created xsi:type="dcterms:W3CDTF">2022-10-06T14:25:42Z</dcterms:created>
  <dcterms:modified xsi:type="dcterms:W3CDTF">2025-12-29T11:32:34Z</dcterms:modified>
  <dc:language>en-GB</dc:language>
</cp:coreProperties>
</file>
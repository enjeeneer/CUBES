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codeName="ThisWorkbook" defaultThemeVersion="166925"/>
  <mc:AlternateContent xmlns:mc="http://schemas.openxmlformats.org/markup-compatibility/2006">
    <mc:Choice Requires="x15">
      <x15ac:absPath xmlns:x15ac="http://schemas.microsoft.com/office/spreadsheetml/2010/11/ac" url="/Users/scottjeen/phd/research/CUBES/src/cubes/data/housing_stock/"/>
    </mc:Choice>
  </mc:AlternateContent>
  <xr:revisionPtr revIDLastSave="0" documentId="13_ncr:1_{261C002A-C36B-8247-BC16-264D73CD1CF0}" xr6:coauthVersionLast="47" xr6:coauthVersionMax="47" xr10:uidLastSave="{00000000-0000-0000-0000-000000000000}"/>
  <bookViews>
    <workbookView xWindow="0" yWindow="500" windowWidth="25600" windowHeight="14000" tabRatio="502" xr2:uid="{16B56DFA-C6B2-4B97-A204-872E546EA583}"/>
  </bookViews>
  <sheets>
    <sheet name="Energy_Systems_DB" sheetId="5" r:id="rId1"/>
    <sheet name="Systems_list_data" sheetId="3" r:id="rId2"/>
  </sheets>
  <definedNames>
    <definedName name="_xlnm._FilterDatabase" localSheetId="0" hidden="1">Energy_Systems_DB!$A$2:$AH$2249</definedName>
    <definedName name="DHW_systems_G1">Systems_list_data!$C$29:$C$40</definedName>
    <definedName name="DHW_systems_G2">Systems_list_data!$H$29:$H$36</definedName>
    <definedName name="DHW_systems_G3">Systems_list_data!$M$29:$M$36</definedName>
    <definedName name="DHW_systems_G4">Systems_list_data!$R$29:$R$39</definedName>
    <definedName name="Dimension_types">Systems_list_data!$I$3:$I$5</definedName>
    <definedName name="Fuel_types">Systems_list_data!$J$3:$J$8</definedName>
    <definedName name="Heating_systems_G1">Systems_list_data!$C$11:$C$25</definedName>
    <definedName name="Heating_systems_G2">Systems_list_data!$H$11:$H$20</definedName>
    <definedName name="Heating_systems_G3">Systems_list_data!$M$11:$M$18</definedName>
    <definedName name="Heating_systems_G4">Systems_list_data!$R$11:$R$20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37" i="3" l="1"/>
  <c r="F29" i="3"/>
  <c r="P29" i="3"/>
  <c r="P31" i="3"/>
  <c r="U31" i="3"/>
  <c r="U29" i="3"/>
  <c r="U33" i="3"/>
  <c r="U30" i="3"/>
  <c r="F33" i="3"/>
  <c r="F32" i="3"/>
  <c r="P33" i="3"/>
  <c r="P32" i="3"/>
  <c r="P35" i="3"/>
  <c r="F39" i="3"/>
  <c r="F12" i="3" l="1"/>
  <c r="F11" i="3"/>
  <c r="K12" i="3"/>
  <c r="U11" i="3"/>
  <c r="P12" i="3"/>
  <c r="P14" i="3"/>
  <c r="P18" i="3"/>
  <c r="F22" i="3"/>
  <c r="F16" i="3"/>
  <c r="F15" i="3"/>
  <c r="P30" i="3" l="1"/>
  <c r="P15" i="3"/>
  <c r="K13" i="3"/>
  <c r="K29" i="3"/>
  <c r="U13" i="3"/>
  <c r="U14" i="3"/>
  <c r="U15" i="3"/>
  <c r="U16" i="3"/>
  <c r="U17" i="3"/>
  <c r="U18" i="3"/>
  <c r="U12" i="3"/>
  <c r="U19" i="3"/>
  <c r="U20" i="3"/>
  <c r="U32" i="3"/>
  <c r="U36" i="3"/>
  <c r="U37" i="3"/>
  <c r="P13" i="3"/>
  <c r="P17" i="3"/>
  <c r="K35" i="3"/>
  <c r="K15" i="3"/>
  <c r="K19" i="3"/>
  <c r="K11" i="3"/>
  <c r="U35" i="3" l="1"/>
  <c r="U34" i="3"/>
  <c r="U39" i="3"/>
  <c r="U38" i="3"/>
  <c r="P34" i="3"/>
  <c r="K30" i="3"/>
  <c r="K31" i="3"/>
  <c r="K36" i="3"/>
  <c r="K33" i="3"/>
  <c r="K32" i="3"/>
  <c r="K34" i="3"/>
  <c r="F35" i="3"/>
  <c r="F34" i="3"/>
  <c r="F38" i="3"/>
  <c r="F31" i="3"/>
  <c r="F30" i="3"/>
  <c r="F36" i="3"/>
  <c r="P11" i="3"/>
  <c r="P16" i="3"/>
  <c r="K16" i="3"/>
  <c r="K14" i="3"/>
  <c r="K18" i="3"/>
  <c r="K17" i="3"/>
  <c r="K20" i="3"/>
  <c r="F17" i="3"/>
  <c r="F21" i="3"/>
  <c r="F20" i="3"/>
  <c r="F19" i="3"/>
  <c r="F18" i="3"/>
  <c r="F25" i="3"/>
  <c r="F14" i="3"/>
  <c r="F13" i="3"/>
  <c r="F24" i="3"/>
  <c r="F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tc={2F44A65D-9657-4FED-B925-FE1D2AE9FE4D}</author>
    <author>tc={17979976-0128-4D39-935A-B23AC5C156E2}</author>
    <author>tc={41503B2D-9A99-40C5-95F2-1C86FD1A4046}</author>
    <author>tc={98640530-B731-4A82-A59C-5D9DC730DE64}</author>
    <author>tc={C646F204-E484-439C-9DDF-97B91580892F}</author>
    <author>tc={20478FA1-38A1-49F6-8813-A92463DD9B62}</author>
    <author>tc={A6D31A9C-4EC2-491F-B90E-CD577246981B}</author>
    <author>tc={78EAE066-080A-43A0-A53E-55100AEDB28D}</author>
    <author>tc={CA6C3EDC-FFFE-434E-8DCE-AA7EFFD71B64}</author>
    <author>tc={D5226049-A7FF-490A-914A-377F1DA10040}</author>
    <author>tc={15175DED-4ABA-4C0D-888E-2BA36DC0DD0A}</author>
    <author>tc={418B8251-D5CB-422F-A7F5-531950B89109}</author>
    <author>tc={9E6FF253-FC63-49B6-BCC5-671DFF05D886}</author>
    <author>tc={3E253C95-30B4-49FE-8E94-FD92DC98A833}</author>
    <author>tc={96899DE2-9B40-429E-9809-F5D869A576ED}</author>
    <author>tc={1E6B2C57-4A72-4303-A239-A13AF7E3371F}</author>
    <author>tc={9BD3B7AF-9260-4CDA-B7F5-28B583D2F0D8}</author>
    <author>tc={4BD25CD8-6470-4844-9E0E-4CA74F58354D}</author>
    <author>tc={3D86645E-F625-4DCF-81F0-1ACD71EB71DA}</author>
    <author>tc={4D0E5357-98E8-4088-9C00-D3F50C0299E6}</author>
    <author>tc={BC2A830C-11B3-4630-A56E-326C625D1366}</author>
    <author>tc={7C4728B8-A878-498E-B07D-EAC27B949119}</author>
    <author>tc={5F25A048-52C8-4449-B6B9-F12A634C4450}</author>
    <author>tc={83F0352A-4455-42AC-B45D-ED9134CEBAC7}</author>
    <author>tc={C073B51F-150A-4250-8BAC-C02B9FA0FCA0}</author>
    <author>tc={19167536-6C44-4B04-8F1C-4C00966188A5}</author>
    <author>tc={0F3ABF8D-31D5-4595-B03A-AAC1218E5804}</author>
    <author>tc={6253F2E5-514A-43FB-BDD3-D701A229C32C}</author>
    <author>tc={83F88E84-80E3-4C22-AEF8-3A09F14850CF}</author>
    <author>tc={4C9F0F4C-38D2-4731-814F-D9318184E93C}</author>
    <author>tc={1EB38036-573E-4FCB-B84E-1CF18F653233}</author>
    <author>tc={F07A1496-EC5E-4556-B46E-274B2C3064AE}</author>
    <author>tc={93F8626D-74BD-42FB-8870-AC86F141C685}</author>
    <author>tc={8C35A644-C735-4832-83BF-5B9F175009CF}</author>
    <author>tc={B3E7CA18-3B70-4AF3-85BE-7F7E3B078376}</author>
    <author>tc={9B10FD16-86FB-45E1-B03B-DECCABED8775}</author>
    <author>tc={CF6C79C0-0910-40C8-91F4-20D10FE158C6}</author>
    <author>tc={DA0F5380-2E03-4940-AA48-BBBAD82D7E26}</author>
    <author>tc={FBFE35FD-1FAF-49AC-A234-65750C7513CA}</author>
    <author>tc={B0B72DAD-60B2-4685-B527-08D8DC947EDB}</author>
    <author>tc={0BAA1609-CCC8-476E-BF95-58ED56D0E067}</author>
    <author>tc={B678BC0D-91DA-4F3E-8D35-56ECDD5EA7B4}</author>
    <author>tc={F6588886-5E62-4525-848C-A18F01D938B6}</author>
    <author>tc={680CBB12-D0D2-4D27-A993-25E6E9E8AB83}</author>
    <author>tc={8FB236DE-8683-4D6E-8862-FD369BE58769}</author>
    <author>tc={5AADBC03-89A2-41FB-9C65-CBE5B82C22AF}</author>
    <author>tc={C32E79B3-3904-4A80-8515-4079AF0A02B8}</author>
    <author>tc={09FEE07E-93CA-4C9F-B5A9-DC241A119041}</author>
    <author>tc={2A81D710-FF7E-4286-A28B-0923F112FC71}</author>
    <author>tc={A77444D3-9C42-41F9-B864-1A1DBA6FC759}</author>
    <author>tc={0E34A2A9-7F6E-4B5F-889E-31BB10FB00F3}</author>
    <author>tc={5BF57663-BF70-4E15-B6DA-B60EB5D44638}</author>
    <author>tc={73AFA878-E084-45CE-88FD-933CD242E8C4}</author>
    <author>tc={35AC6896-A7C5-4268-9A9C-4A428244B5C2}</author>
    <author>tc={5529D534-F1B6-44BF-B583-84E69E2FE7AD}</author>
    <author>tc={6EFE5839-0183-4F17-96EB-D047BEC15FE4}</author>
    <author>tc={8CDA551A-9F92-419D-93D9-1C33D80A07CE}</author>
    <author>tc={983A3F6C-EB07-4A09-A828-FC3FCFFAF263}</author>
    <author>tc={58DA10DD-E1DE-496C-896E-2AC67C176FD5}</author>
    <author>tc={EE92E29B-AE93-4FFD-9CAF-D57CD5211007}</author>
    <author>tc={DB08086F-3097-43E3-9955-C945BABE5484}</author>
    <author>tc={D0A8BB68-5088-4B48-A98E-158024F52174}</author>
    <author>tc={FDB1DA03-4A67-4491-B88D-0856114725A2}</author>
    <author>tc={0DBCB201-D223-476C-ADBF-BDD80C5BDEAE}</author>
    <author>tc={C9929E93-0F79-41C0-A278-BBD69748EDCA}</author>
    <author>tc={4BF2FAAE-3B14-4DB7-A65E-C131E403393D}</author>
    <author>tc={F4F6E518-3D4F-4DDE-AAE8-88AB5A83FDED}</author>
    <author>tc={77C3B169-4C06-45A5-87ED-3F621BB725D4}</author>
    <author>tc={61516BFA-71AA-4D58-BB24-48F2F9A2F672}</author>
    <author>tc={388E8922-821B-47CC-9BA4-A556A4D2A9BF}</author>
    <author>tc={05218B1F-3026-47E8-B720-CEE201C16847}</author>
    <author>tc={B78AD73E-66B8-4513-8C6C-B4D4EED1F8DC}</author>
    <author>tc={C1E52AA6-05A8-4373-BBB5-095CA654C678}</author>
    <author>tc={D22492AF-312C-469D-B164-E32BB0C01DEB}</author>
    <author>tc={B0C94992-F1A2-489E-9D60-7C165AA4AF89}</author>
    <author>tc={242DD620-A55A-4192-9D43-3715A3B584B9}</author>
    <author>tc={CE1C301C-28ED-41D9-9A7F-ED91910CE8DE}</author>
    <author>tc={F3AAD9DE-A8DC-400E-873D-2787EB57AD74}</author>
    <author>tc={9F6C102D-5841-4A63-A645-14B7A8FF62EE}</author>
    <author>tc={267CCEBD-9978-4C66-A908-48050467C581}</author>
  </authors>
  <commentList>
    <comment ref="K3" authorId="0" shapeId="0" xr:uid="{2F44A65D-9657-4FED-B925-FE1D2AE9FE4D}">
      <text>
        <t>[Threaded comment]
Your version of Excel allows you to read this threaded comment; however, any edits to it will get removed if the file is opened in a newer version of Excel. Learn more: https://go.microsoft.com/fwlink/?linkid=870924
Comment:
    @Xerome  Fernández Álvarez: Shouldn't this be &lt;=100%?
Reply:
    Heat pumps always have an efficiency higher than 100% (what they do is to invert the direction of the natural heat flow with the only addition of work being made in the compressor/s)
Reply:
    We should make a distinction between a heating system efficiency (always &lt;1) and COP of a heat pump. Maybe to change the title or to explain somewhere else..</t>
      </text>
    </comment>
    <comment ref="V1802" authorId="1" shapeId="0" xr:uid="{17979976-0128-4D39-935A-B23AC5C156E2}">
      <text>
        <t>[Threaded comment]
Your version of Excel allows you to read this threaded comment; however, any edits to it will get removed if the file is opened in a newer version of Excel. Learn more: https://go.microsoft.com/fwlink/?linkid=870924
Comment:
    Looking at total level of widespread of condensning and non-condensing presence of boilers for these periods there was assumed a gradual introduction of condensing boilers from 1990. Fro SFHs and MFHs boilers are marked as combined, so a clear distinction isn't fully provided and this assumption was considered to match what the "total"category states</t>
      </text>
    </comment>
    <comment ref="V1823" authorId="2" shapeId="0" xr:uid="{41503B2D-9A99-40C5-95F2-1C86FD1A4046}">
      <text>
        <t>[Threaded comment]
Your version of Excel allows you to read this threaded comment; however, any edits to it will get removed if the file is opened in a newer version of Excel. Learn more: https://go.microsoft.com/fwlink/?linkid=870924
Comment:
    During the 1980-1989 period gas and liquid fuels were both "widespread", whereas for 1970-1979 only gas (central and individual 50/50 were present) Therefore, a 150/200 fraction belongs to gas and 50 to liquid. Due to the resolution limitations and the fractions used not considering any denominator above 5, a 40/40/20 distribution was selected, considering only individual boilers for the liquid as central ones aren't present in tabula (in belgium they are only individual too)</t>
      </text>
    </comment>
    <comment ref="V1824" authorId="3" shapeId="0" xr:uid="{98640530-B731-4A82-A59C-5D9DC730DE64}">
      <text>
        <t>[Threaded comment]
Your version of Excel allows you to read this threaded comment; however, any edits to it will get removed if the file is opened in a newer version of Excel. Learn more: https://go.microsoft.com/fwlink/?linkid=870924
Comment:
    Condensing boilers are most widespread, being widespread individual an central ones, both fueloil and gas-powered. Individual fueloil ones are the only present in TABULA, so they feature as 50%, whereas central and individual gas ones take 25% each</t>
      </text>
    </comment>
    <comment ref="V1829" authorId="4" shapeId="0" xr:uid="{C646F204-E484-439C-9DDF-97B91580892F}">
      <text>
        <t>[Threaded comment]
Your version of Excel allows you to read this threaded comment; however, any edits to it will get removed if the file is opened in a newer version of Excel. Learn more: https://go.microsoft.com/fwlink/?linkid=870924
Comment:
    non condensing gas dominates 1971-1980, and condensing fueloil and gas (both widespread, 50/50) the 1981-1990 period. therefore, a 50/25/25 distribution was considered.</t>
      </text>
    </comment>
    <comment ref="V1834" authorId="5" shapeId="0" xr:uid="{20478FA1-38A1-49F6-8813-A92463DD9B62}">
      <text>
        <t>[Threaded comment]
Your version of Excel allows you to read this threaded comment; however, any edits to it will get removed if the file is opened in a newer version of Excel. Learn more: https://go.microsoft.com/fwlink/?linkid=870924
Comment:
    non condensing gas dominates 1971-1980, and condensing fueloil and gas (both widespread, 50/50) the 1981-1990 period. therefore, a 50/25/25 distribution was considered.</t>
      </text>
    </comment>
    <comment ref="V1856" authorId="6" shapeId="0" xr:uid="{A6D31A9C-4EC2-491F-B90E-CD577246981B}">
      <text>
        <t>[Threaded comment]
Your version of Excel allows you to read this threaded comment; however, any edits to it will get removed if the file is opened in a newer version of Excel. Learn more: https://go.microsoft.com/fwlink/?linkid=870924
Comment:
    half of the period (until 2010) is dominated by electric heaters, afterwards it's half non-condensing gas boilers and half solar collectors</t>
      </text>
    </comment>
    <comment ref="V1860" authorId="7" shapeId="0" xr:uid="{78EAE066-080A-43A0-A53E-55100AEDB28D}">
      <text>
        <t>[Threaded comment]
Your version of Excel allows you to read this threaded comment; however, any edits to it will get removed if the file is opened in a newer version of Excel. Learn more: https://go.microsoft.com/fwlink/?linkid=870924
Comment:
    half of the period (until 2010) is dominated by electric heaters, afterwards it's half non-condensing gas boilers and half solar collectors</t>
      </text>
    </comment>
    <comment ref="V1866" authorId="8" shapeId="0" xr:uid="{CA6C3EDC-FFFE-434E-8DCE-AA7EFFD71B64}">
      <text>
        <t>[Threaded comment]
Your version of Excel allows you to read this threaded comment; however, any edits to it will get removed if the file is opened in a newer version of Excel. Learn more: https://go.microsoft.com/fwlink/?linkid=870924
Comment:
    untill 1990 the period is dominated by electric, then by non-condensing gas</t>
      </text>
    </comment>
    <comment ref="V1867" authorId="9" shapeId="0" xr:uid="{D5226049-A7FF-490A-914A-377F1DA10040}">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1873" authorId="10" shapeId="0" xr:uid="{15175DED-4ABA-4C0D-888E-2BA36DC0DD0A}">
      <text>
        <t>[Threaded comment]
Your version of Excel allows you to read this threaded comment; however, any edits to it will get removed if the file is opened in a newer version of Excel. Learn more: https://go.microsoft.com/fwlink/?linkid=870924
Comment:
    untill 1990 the period is dominated by gas district heating, then by non-condensing gas</t>
      </text>
    </comment>
    <comment ref="V1874" authorId="11" shapeId="0" xr:uid="{418B8251-D5CB-422F-A7F5-531950B89109}">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1880" authorId="12" shapeId="0" xr:uid="{9E6FF253-FC63-49B6-BCC5-671DFF05D886}">
      <text>
        <t>[Threaded comment]
Your version of Excel allows you to read this threaded comment; however, any edits to it will get removed if the file is opened in a newer version of Excel. Learn more: https://go.microsoft.com/fwlink/?linkid=870924
Comment:
    district heating gas is most widespread alone until 1990, then widespread (50%) between 1990 and 1994. Gas non-condensing is only "widespread"between 1990 and 1994 for this period. This means a 83,2/17,7 proportion--&gt; 80/20 due to resolution limits established</t>
      </text>
    </comment>
    <comment ref="V1881" authorId="13" shapeId="0" xr:uid="{3E253C95-30B4-49FE-8E94-FD92DC98A833}">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
      </text>
    </comment>
    <comment ref="AA1892" authorId="14" shapeId="0" xr:uid="{96899DE2-9B40-429E-9809-F5D869A576ED}">
      <text>
        <t>[Threaded comment]
Your version of Excel allows you to read this threaded comment; however, any edits to it will get removed if the file is opened in a newer version of Excel. Learn more: https://go.microsoft.com/fwlink/?linkid=870924
Comment:
    They are widespread but their contribution is considered half of that of mediterranean countrues, so a 25% is considered</t>
      </text>
    </comment>
    <comment ref="V1910" authorId="15" shapeId="0" xr:uid="{1E6B2C57-4A72-4303-A239-A13AF7E3371F}">
      <text>
        <t>[Threaded comment]
Your version of Excel allows you to read this threaded comment; however, any edits to it will get removed if the file is opened in a newer version of Excel. Learn more: https://go.microsoft.com/fwlink/?linkid=870924
Comment:
    Very wide-ranging period, due to resolution limitations solar collectors were considered negligible. Condensing gas prevailed over heating oil as it is more widespread in apartment blocks that in other types of buildings than heating oil is according to tabula. These condensing gas boilers got a share of 33%, as considering their prevalence since 2005 they would get a 15/50 share=30%--&gt;33% rounding up</t>
      </text>
    </comment>
    <comment ref="AH1910" authorId="16" shapeId="0" xr:uid="{9BD3B7AF-9260-4CDA-B7F5-28B583D2F0D8}">
      <text>
        <t>[Threaded comment]
Your version of Excel allows you to read this threaded comment; however, any edits to it will get removed if the file is opened in a newer version of Excel. Learn more: https://go.microsoft.com/fwlink/?linkid=870924
Comment:
    10 out of that roughly 50-year period has space cooling systems (2011-2021), therefore, a 20% is assigned</t>
      </text>
    </comment>
    <comment ref="V1911" authorId="17" shapeId="0" xr:uid="{4BD25CD8-6470-4844-9E0E-4CA74F58354D}">
      <text>
        <t>[Threaded comment]
Your version of Excel allows you to read this threaded comment; however, any edits to it will get removed if the file is opened in a newer version of Excel. Learn more: https://go.microsoft.com/fwlink/?linkid=870924
Comment:
    To clarify: Heat pumps are the "most widespread" technology on DHW while central heating and central are merely "widespread"</t>
      </text>
    </comment>
    <comment ref="AB1918" authorId="18" shapeId="0" xr:uid="{3D86645E-F625-4DCF-81F0-1ACD71EB71DA}">
      <text>
        <t>[Threaded comment]
Your version of Excel allows you to read this threaded comment; however, any edits to it will get removed if the file is opened in a newer version of Excel. Learn more: https://go.microsoft.com/fwlink/?linkid=870924
Comment:
    As per tabula states, after the year 2000 district heating units had heat recovery and its efficiency increased</t>
      </text>
    </comment>
    <comment ref="W1928" authorId="19" shapeId="0" xr:uid="{4D0E5357-98E8-4088-9C00-D3F50C0299E6}">
      <text>
        <t>[Threaded comment]
Your version of Excel allows you to read this threaded comment; however, any edits to it will get removed if the file is opened in a newer version of Excel. Learn more: https://go.microsoft.com/fwlink/?linkid=870924
Comment:
    As per tabula states, after the year 2000 district heating units had heat recovery and its efficiency increased</t>
      </text>
    </comment>
    <comment ref="G1931" authorId="20" shapeId="0" xr:uid="{BC2A830C-11B3-4630-A56E-326C625D1366}">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1931" authorId="21" shapeId="0" xr:uid="{7C4728B8-A878-498E-B07D-EAC27B949119}">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V1944" authorId="22" shapeId="0" xr:uid="{5F25A048-52C8-4449-B6B9-F12A634C4450}">
      <text>
        <t>[Threaded comment]
Your version of Excel allows you to read this threaded comment; however, any edits to it will get removed if the file is opened in a newer version of Excel. Learn more: https://go.microsoft.com/fwlink/?linkid=870924
Comment:
    both these boilers and solar collectors are "most widespread"</t>
      </text>
    </comment>
    <comment ref="G1953" authorId="23" shapeId="0" xr:uid="{83F0352A-4455-42AC-B45D-ED9134CEBAC7}">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1954" authorId="24" shapeId="0" xr:uid="{C073B51F-150A-4250-8BAC-C02B9FA0FCA0}">
      <text>
        <t>[Threaded comment]
Your version of Excel allows you to read this threaded comment; however, any edits to it will get removed if the file is opened in a newer version of Excel. Learn more: https://go.microsoft.com/fwlink/?linkid=870924
Comment:
    On the 15 year period, the first four years are dominated exclusively by non-condensing gas boilers. The remaining 11 years are 50/50 with solar collectors. Therefore, a share of 9,5/15 corresponds to gas non-condensing boilers = 63,2--&gt;60%</t>
      </text>
    </comment>
    <comment ref="G1967" authorId="25" shapeId="0" xr:uid="{19167536-6C44-4B04-8F1C-4C00966188A5}">
      <text>
        <t>[Threaded comment]
Your version of Excel allows you to read this threaded comment; however, any edits to it will get removed if the file is opened in a newer version of Excel. Learn more: https://go.microsoft.com/fwlink/?linkid=870924
Comment:
    Heat pumps are "most widespread", whereas fueloil boilers are merely "widespread"</t>
      </text>
    </comment>
    <comment ref="V2000" authorId="26" shapeId="0" xr:uid="{0F3ABF8D-31D5-4595-B03A-AAC1218E5804}">
      <text>
        <t>[Threaded comment]
Your version of Excel allows you to read this threaded comment; however, any edits to it will get removed if the file is opened in a newer version of Excel. Learn more: https://go.microsoft.com/fwlink/?linkid=870924
Comment:
    from 1970 until 1974 (4 out og 6 yers of the period) electric heaters dominate--&gt;66,66%</t>
      </text>
    </comment>
    <comment ref="V2005" authorId="27" shapeId="0" xr:uid="{6253F2E5-514A-43FB-BDD3-D701A229C32C}">
      <text>
        <t>[Threaded comment]
Your version of Excel allows you to read this threaded comment; however, any edits to it will get removed if the file is opened in a newer version of Excel. Learn more: https://go.microsoft.com/fwlink/?linkid=870924
Comment:
    4 out of 6 years pre-2010 --&gt; individual non-condensing boilers--&gt;66,66%</t>
      </text>
    </comment>
    <comment ref="G2044" authorId="28" shapeId="0" xr:uid="{83F88E84-80E3-4C22-AEF8-3A09F14850CF}">
      <text>
        <t>[Threaded comment]
Your version of Excel allows you to read this threaded comment; however, any edits to it will get removed if the file is opened in a newer version of Excel. Learn more: https://go.microsoft.com/fwlink/?linkid=870924
Comment:
    For this period from hotmaps Heat pumps are "most widespread" and liquid fuels are "widespread"</t>
      </text>
    </comment>
    <comment ref="V2058" authorId="29" shapeId="0" xr:uid="{4C9F0F4C-38D2-4731-814F-D9318184E93C}">
      <text>
        <t>[Threaded comment]
Your version of Excel allows you to read this threaded comment; however, any edits to it will get removed if the file is opened in a newer version of Excel. Learn more: https://go.microsoft.com/fwlink/?linkid=870924
Comment:
    out of the 16 years of this period,5 are exclusively of non condensing boiler and 11 of 50/50 with solar collectors. Therefore, 10,5/15=70%--&gt;66,67%</t>
      </text>
    </comment>
    <comment ref="V2066" authorId="30" shapeId="0" xr:uid="{1EB38036-573E-4FCB-B84E-1CF18F653233}">
      <text>
        <t>[Threaded comment]
Your version of Excel allows you to read this threaded comment; however, any edits to it will get removed if the file is opened in a newer version of Excel. Learn more: https://go.microsoft.com/fwlink/?linkid=870924
Comment:
    Same than tof SFHs but with individual and central instead that only central non-condensing gas boilers</t>
      </text>
    </comment>
    <comment ref="V2073" authorId="31" shapeId="0" xr:uid="{F07A1496-EC5E-4556-B46E-274B2C3064AE}">
      <text>
        <t>[Threaded comment]
Your version of Excel allows you to read this threaded comment; however, any edits to it will get removed if the file is opened in a newer version of Excel. Learn more: https://go.microsoft.com/fwlink/?linkid=870924
Comment:
    14 years, 9 dominated by indiv. non-condensing boilers and 5 shared by condensing boilers and sollar collectors;--&gt;9/14=64,2%--&gt;60% and 20% for the other two (due to the resolution limitations established)</t>
      </text>
    </comment>
    <comment ref="G2075" authorId="32" shapeId="0" xr:uid="{93F8626D-74BD-42FB-8870-AC86F141C685}">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2075" authorId="33" shapeId="0" xr:uid="{8C35A644-C735-4832-83BF-5B9F175009CF}">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G2085" authorId="34" shapeId="0" xr:uid="{B3E7CA18-3B70-4AF3-85BE-7F7E3B078376}">
      <text>
        <t>[Threaded comment]
Your version of Excel allows you to read this threaded comment; however, any edits to it will get removed if the file is opened in a newer version of Excel. Learn more: https://go.microsoft.com/fwlink/?linkid=870924
Comment:
    until 1945 only stoves, from then until 1964 liquid fueloil boilers. A 2/3-1/3 proportion has been considered</t>
      </text>
    </comment>
    <comment ref="V2085" authorId="35" shapeId="0" xr:uid="{9B10FD16-86FB-45E1-B03B-DECCABED8775}">
      <text>
        <t>[Threaded comment]
Your version of Excel allows you to read this threaded comment; however, any edits to it will get removed if the file is opened in a newer version of Excel. Learn more: https://go.microsoft.com/fwlink/?linkid=870924
Comment:
    Dominant system until 1945. Until 1969 electric individual heaters prevail as the sole "most widespread". Considered a 50/50 proportion</t>
      </text>
    </comment>
    <comment ref="C2087" authorId="36" shapeId="0" xr:uid="{CF6C79C0-0910-40C8-91F4-20D10FE158C6}">
      <text>
        <t>[Threaded comment]
Your version of Excel allows you to read this threaded comment; however, any edits to it will get removed if the file is opened in a newer version of Excel. Learn more: https://go.microsoft.com/fwlink/?linkid=870924
Comment:
    No central stoves found in tabula, only individual ones. In any case, the efficiency shouldn't vary greatly</t>
      </text>
    </comment>
    <comment ref="G2087" authorId="37" shapeId="0" xr:uid="{DA0F5380-2E03-4940-AA48-BBBAD82D7E26}">
      <text>
        <t>[Threaded comment]
Your version of Excel allows you to read this threaded comment; however, any edits to it will get removed if the file is opened in a newer version of Excel. Learn more: https://go.microsoft.com/fwlink/?linkid=870924
Comment:
    central fueloil non-condensing boilers were dominant until 1979, and then individual and central gas boilers took over as "most widespread" until 1991. A 33% for all has been then determined, as 5 years makes up roughly 1/3 of the duration of this period</t>
      </text>
    </comment>
    <comment ref="H2087" authorId="38" shapeId="0" xr:uid="{FBFE35FD-1FAF-49AC-A234-65750C7513CA}">
      <text>
        <t>[Threaded comment]
Your version of Excel allows you to read this threaded comment; however, any edits to it will get removed if the file is opened in a newer version of Excel. Learn more: https://go.microsoft.com/fwlink/?linkid=870924
Comment:
    Only soild fuel individual stove available from TABULA, mots similar match</t>
      </text>
    </comment>
    <comment ref="G2088" authorId="39" shapeId="0" xr:uid="{B0B72DAD-60B2-4685-B527-08D8DC947EDB}">
      <text>
        <t>[Threaded comment]
Your version of Excel allows you to read this threaded comment; however, any edits to it will get removed if the file is opened in a newer version of Excel. Learn more: https://go.microsoft.com/fwlink/?linkid=870924
Comment:
    from 1992 until 2000 stoves of solid fuels are most widespread, and durin the 2000-2005 period electric heating is. Therefore a 2/3-1/3 ratio has been assigned</t>
      </text>
    </comment>
    <comment ref="AH2088" authorId="40" shapeId="0" xr:uid="{0BAA1609-CCC8-476E-BF95-58ED56D0E067}">
      <text>
        <t>[Threaded comment]
Your version of Excel allows you to read this threaded comment; however, any edits to it will get removed if the file is opened in a newer version of Excel. Learn more: https://go.microsoft.com/fwlink/?linkid=870924
Comment:
    5 out of the 13 years of this period have "Most cases YES" in Hotmaps, therefore 5/13=38,4%--&gt;40</t>
      </text>
    </comment>
    <comment ref="G2089" authorId="41" shapeId="0" xr:uid="{B678BC0D-91DA-4F3E-8D35-56ECDD5EA7B4}">
      <text>
        <t>[Threaded comment]
Your version of Excel allows you to read this threaded comment; however, any edits to it will get removed if the file is opened in a newer version of Excel. Learn more: https://go.microsoft.com/fwlink/?linkid=870924
Comment:
    from 2005 to 2010, electring heating is most widespread, then after 2011 it's central heat pumps</t>
      </text>
    </comment>
    <comment ref="V2089" authorId="42" shapeId="0" xr:uid="{F6588886-5E62-4525-848C-A18F01D938B6}">
      <text>
        <t>[Threaded comment]
Your version of Excel allows you to read this threaded comment; however, any edits to it will get removed if the file is opened in a newer version of Excel. Learn more: https://go.microsoft.com/fwlink/?linkid=870924
Comment:
    This period is the exact average of the period above and the period below, considering the periods defined in HOTMAPS and here. For resolultion reasons, this average is rounded up to the 2014-2021 period values</t>
      </text>
    </comment>
    <comment ref="AB2089" authorId="43" shapeId="0" xr:uid="{680CBB12-D0D2-4D27-A993-25E6E9E8AB83}">
      <text>
        <t>[Threaded comment]
Your version of Excel allows you to read this threaded comment; however, any edits to it will get removed if the file is opened in a newer version of Excel. Learn more: https://go.microsoft.com/fwlink/?linkid=870924
Comment:
    Due to resolution limitations, instead of 10% for individual and 10% of central condensing boilers featuring here, 20% of individual ones were chosen as it is a SFH (in case it were a MFH or ABL, central would have prevailed)</t>
      </text>
    </comment>
    <comment ref="V2090" authorId="44" shapeId="0" xr:uid="{8FB236DE-8683-4D6E-8862-FD369BE58769}">
      <text>
        <t>[Threaded comment]
Your version of Excel allows you to read this threaded comment; however, any edits to it will get removed if the file is opened in a newer version of Excel. Learn more: https://go.microsoft.com/fwlink/?linkid=870924
Comment:
    electricity is the most widespread fuel, whereas gas is "less widespread". As hotmaps considers electric resistance heaters as non-condensing boilers, and heat pumps are "most widespread technology" and condensing and non-condensing boilers are "less widespread" both, a 60/20/20 proportion was considered</t>
      </text>
    </comment>
    <comment ref="W2091" authorId="45" shapeId="0" xr:uid="{5AADBC03-89A2-41FB-9C65-CBE5B82C22AF}">
      <text>
        <t>[Threaded comment]
Your version of Excel allows you to read this threaded comment; however, any edits to it will get removed if the file is opened in a newer version of Excel. Learn more: https://go.microsoft.com/fwlink/?linkid=870924
Comment:
    No central electric heaters featuring in TABULA. individual ones take its share,that would correspond to the 25%. Therefore, 50% for individual ones appears here</t>
      </text>
    </comment>
    <comment ref="V2092" authorId="46" shapeId="0" xr:uid="{C32E79B3-3904-4A80-8515-4079AF0A02B8}">
      <text>
        <t>[Threaded comment]
Your version of Excel allows you to read this threaded comment; however, any edits to it will get removed if the file is opened in a newer version of Excel. Learn more: https://go.microsoft.com/fwlink/?linkid=870924
Comment:
    As this period is right in-between two HOTMAPS periods, half of the above period's shares are attributed in this one + the half of the 100% share of electric heaters corresponding to the 1970-1974 period. Thus,  a 75/25 ratio is obtained</t>
      </text>
    </comment>
    <comment ref="G2093" authorId="47" shapeId="0" xr:uid="{09FEE07E-93CA-4C9F-B5A9-DC241A119041}">
      <text>
        <t>[Threaded comment]
Your version of Excel allows you to read this threaded comment; however, any edits to it will get removed if the file is opened in a newer version of Excel. Learn more: https://go.microsoft.com/fwlink/?linkid=870924
Comment:
    one third of the period is that of 1970-1979 in hotmaps and the rest 2/3 is assigned to the condensing central boilers dominated 1980-1989 period</t>
      </text>
    </comment>
    <comment ref="G2094" authorId="48" shapeId="0" xr:uid="{2A81D710-FF7E-4286-A28B-0923F112FC71}">
      <text>
        <t>[Threaded comment]
Your version of Excel allows you to read this threaded comment; however, any edits to it will get removed if the file is opened in a newer version of Excel. Learn more: https://go.microsoft.com/fwlink/?linkid=870924
Comment:
    2/3belong to the 1991-1999 period dominated by electric heaters, then the remaining third to central non-condensing gas boilers era of 2000-2010</t>
      </text>
    </comment>
    <comment ref="H2098" authorId="49" shapeId="0" xr:uid="{A77444D3-9C42-41F9-B864-1A1DBA6FC759}">
      <text>
        <t>[Threaded comment]
Your version of Excel allows you to read this threaded comment; however, any edits to it will get removed if the file is opened in a newer version of Excel. Learn more: https://go.microsoft.com/fwlink/?linkid=870924
Comment:
    Central fueloil non-condensing system considered the best match to substitute the district heating fueloil non-condensing system defined in hotmaps as most widespread for the 1970-1979 period</t>
      </text>
    </comment>
    <comment ref="V2098" authorId="50" shapeId="0" xr:uid="{0E34A2A9-7F6E-4B5F-889E-31BB10FB00F3}">
      <text>
        <t>[Threaded comment]
Your version of Excel allows you to read this threaded comment; however, any edits to it will get removed if the file is opened in a newer version of Excel. Learn more: https://go.microsoft.com/fwlink/?linkid=870924
Comment:
    as stated above, this period is in the middle of two different hotmaps periods where two different systems dominate.</t>
      </text>
    </comment>
    <comment ref="G2099" authorId="51" shapeId="0" xr:uid="{5BF57663-BF70-4E15-B6DA-B60EB5D44638}">
      <text>
        <t>[Threaded comment]
Your version of Excel allows you to read this threaded comment; however, any edits to it will get removed if the file is opened in a newer version of Excel. Learn more: https://go.microsoft.com/fwlink/?linkid=870924
Comment:
    2/3 of the 1974-1991 period assumed to be comprised by the hotmaps 1980-1989 period where individual gas condensing boilers prevailed as "most widespread"</t>
      </text>
    </comment>
    <comment ref="H2099" authorId="52" shapeId="0" xr:uid="{73AFA878-E084-45CE-88FD-933CD242E8C4}">
      <text>
        <t>[Threaded comment]
Your version of Excel allows you to read this threaded comment; however, any edits to it will get removed if the file is opened in a newer version of Excel. Learn more: https://go.microsoft.com/fwlink/?linkid=870924
Comment:
    Central fueloil non-condensing system considered the best match to substitute the district heating fueloil non-condensing system defined in hotmaps as most widespread for the 1970-1979 period</t>
      </text>
    </comment>
    <comment ref="V2099" authorId="53" shapeId="0" xr:uid="{35AC6896-A7C5-4268-9A9C-4A428244B5C2}">
      <text>
        <t>[Threaded comment]
Your version of Excel allows you to read this threaded comment; however, any edits to it will get removed if the file is opened in a newer version of Excel. Learn more: https://go.microsoft.com/fwlink/?linkid=870924
Comment:
    11 out the 16 years of this period are dominated by individual non condensing gas boilers: 68,8%--&gt;66%</t>
      </text>
    </comment>
    <comment ref="V2101" authorId="54" shapeId="0" xr:uid="{5529D534-F1B6-44BF-B583-84E69E2FE7AD}">
      <text>
        <t>[Threaded comment]
Your version of Excel allows you to read this threaded comment; however, any edits to it will get removed if the file is opened in a newer version of Excel. Learn more: https://go.microsoft.com/fwlink/?linkid=870924
Comment:
    this period is in the middle of two of HOTMAPS, non condensing until 2010 and condensing after. 50/50 then</t>
      </text>
    </comment>
    <comment ref="G2103" authorId="55" shapeId="0" xr:uid="{6EFE5839-0183-4F17-96EB-D047BEC15FE4}">
      <text>
        <t>[Threaded comment]
Your version of Excel allows you to read this threaded comment; however, any edits to it will get removed if the file is opened in a newer version of Excel. Learn more: https://go.microsoft.com/fwlink/?linkid=870924
Comment:
    Fueloil boilers are "most widespread", heat pumps "less widespread"</t>
      </text>
    </comment>
    <comment ref="V2103" authorId="56" shapeId="0" xr:uid="{8CDA551A-9F92-419D-93D9-1C33D80A07CE}">
      <text>
        <t>[Threaded comment]
Your version of Excel allows you to read this threaded comment; however, any edits to it will get removed if the file is opened in a newer version of Excel. Learn more: https://go.microsoft.com/fwlink/?linkid=870924
Comment:
    Central non-condensing fueloil and gas are widespread, and heat pumps are less widespread, therefore 40/40/20</t>
      </text>
    </comment>
    <comment ref="G2117" authorId="57" shapeId="0" xr:uid="{983A3F6C-EB07-4A09-A828-FC3FCFFAF263}">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2118" authorId="58" shapeId="0" xr:uid="{58DA10DD-E1DE-496C-896E-2AC67C176FD5}">
      <text>
        <t>[Threaded comment]
Your version of Excel allows you to read this threaded comment; however, any edits to it will get removed if the file is opened in a newer version of Excel. Learn more: https://go.microsoft.com/fwlink/?linkid=870924
Comment:
    out of the 14 years that that period lasts, 4 are exclusively of non-condensing gas boilers and the remaining 10 are 50/50 with solar collectors. Therefore: 9/14=64,3%--&gt;66,7%</t>
      </text>
    </comment>
    <comment ref="V2129" authorId="59" shapeId="0" xr:uid="{EE92E29B-AE93-4FFD-9CAF-D57CD5211007}">
      <text>
        <t>[Threaded comment]
Your version of Excel allows you to read this threaded comment; however, any edits to it will get removed if the file is opened in a newer version of Excel. Learn more: https://go.microsoft.com/fwlink/?linkid=870924
Comment:
    20 out of the 26 yers of this period are dominated by indiv. gas non-condensing boilers: 20/26=76,9%--&gt;75%. The remaining 25% goes to condensing boilers</t>
      </text>
    </comment>
    <comment ref="R2131" authorId="60" shapeId="0" xr:uid="{DB08086F-3097-43E3-9955-C945BABE5484}">
      <text>
        <t>[Threaded comment]
Your version of Excel allows you to read this threaded comment; however, any edits to it will get removed if the file is opened in a newer version of Excel. Learn more: https://go.microsoft.com/fwlink/?linkid=870924
Comment:
    TABULA confirms that condensing boilers are dominant in every typology, as for SFHs and MFHs the only definition provided was "combined"</t>
      </text>
    </comment>
    <comment ref="C2156" authorId="61" shapeId="0" xr:uid="{D0A8BB68-5088-4B48-A98E-158024F52174}">
      <text>
        <t>[Threaded comment]
Your version of Excel allows you to read this threaded comment; however, any edits to it will get removed if the file is opened in a newer version of Excel. Learn more: https://go.microsoft.com/fwlink/?linkid=870924
Comment:
    Hotmaps states that the district heating stations are gas-powered for MFHs and ABLs, but it does it in grey-colored cells as a hypothesis: Checking TABULA, these stations are coal-powered in all cases, so coal district heating stations were assigned instead</t>
      </text>
    </comment>
    <comment ref="R2156" authorId="62" shapeId="0" xr:uid="{FDB1DA03-4A67-4491-B88D-0856114725A2}">
      <text>
        <t>[Threaded comment]
Your version of Excel allows you to read this threaded comment; however, any edits to it will get removed if the file is opened in a newer version of Excel. Learn more: https://go.microsoft.com/fwlink/?linkid=870924
Comment:
    TABULA confirms coal-powered is actually the current system used for district heating in the country for every MFH and ABL typology</t>
      </text>
    </comment>
    <comment ref="G2172" authorId="63" shapeId="0" xr:uid="{0DBCB201-D223-476C-ADBF-BDD80C5BDEAE}">
      <text>
        <t>[Threaded comment]
Your version of Excel allows you to read this threaded comment; however, any edits to it will get removed if the file is opened in a newer version of Excel. Learn more: https://go.microsoft.com/fwlink/?linkid=870924
Comment:
    around 60% of the period took part before 1996, so the manufactured gas non-condensing boilers up to that year  were less efficient according to the TABULA data</t>
      </text>
    </comment>
    <comment ref="V2173" authorId="64" shapeId="0" xr:uid="{C9929E93-0F79-41C0-A278-BBD69748EDCA}">
      <text>
        <t>[Threaded comment]
Your version of Excel allows you to read this threaded comment; however, any edits to it will get removed if the file is opened in a newer version of Excel. Learn more: https://go.microsoft.com/fwlink/?linkid=870924
Comment:
    On the 15 year period, the first four years are dominated exclusively by non-condensing gas boilers. The remaining 11 years are 50/50 with solar collectors. Therefore, a share of 9,5/15 corresponds to gas non-condensing boilers = 63,2--&gt;60%</t>
      </text>
    </comment>
    <comment ref="G2202" authorId="65" shapeId="0" xr:uid="{4BF2FAAE-3B14-4DB7-A65E-C131E403393D}">
      <text>
        <t>[Threaded comment]
Your version of Excel allows you to read this threaded comment; however, any edits to it will get removed if the file is opened in a newer version of Excel. Learn more: https://go.microsoft.com/fwlink/?linkid=870924
Comment:
    Heat pumps are "most widespread", whereas fueloil boilers are merely "widespread"</t>
      </text>
    </comment>
    <comment ref="V2202" authorId="66" shapeId="0" xr:uid="{F4F6E518-3D4F-4DDE-AAE8-88AB5A83FDED}">
      <text>
        <t>[Threaded comment]
Your version of Excel allows you to read this threaded comment; however, any edits to it will get removed if the file is opened in a newer version of Excel. Learn more: https://go.microsoft.com/fwlink/?linkid=870924
Comment:
    electricty and central heat pumps are both the most widespread fuel and technology, being non-condensing boilers "widespread" and gas and fueloil both "less widespread". A 60/20/20 proportion was chosen</t>
      </text>
    </comment>
    <comment ref="G2212" authorId="67" shapeId="0" xr:uid="{77C3B169-4C06-45A5-87ED-3F621BB725D4}">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2213" authorId="68" shapeId="0" xr:uid="{61516BFA-71AA-4D58-BB24-48F2F9A2F672}">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G2218" authorId="69" shapeId="0" xr:uid="{388E8922-821B-47CC-9BA4-A556A4D2A9BF}">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2219" authorId="70" shapeId="0" xr:uid="{05218B1F-3026-47E8-B720-CEE201C16847}">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G2224" authorId="71" shapeId="0" xr:uid="{B78AD73E-66B8-4513-8C6C-B4D4EED1F8DC}">
      <text>
        <t>[Threaded comment]
Your version of Excel allows you to read this threaded comment; however, any edits to it will get removed if the file is opened in a newer version of Excel. Learn more: https://go.microsoft.com/fwlink/?linkid=870924
Comment:
    both biomass and fueloil are "widespread", so 50-50 prevalence</t>
      </text>
    </comment>
    <comment ref="G2225" authorId="72" shapeId="0" xr:uid="{C1E52AA6-05A8-4373-BBB5-095CA654C678}">
      <text>
        <t>[Threaded comment]
Your version of Excel allows you to read this threaded comment; however, any edits to it will get removed if the file is opened in a newer version of Excel. Learn more: https://go.microsoft.com/fwlink/?linkid=870924
Comment:
    Biomass boilers in this period are "most widespread" whereas fueloil ones are "less widespread"</t>
      </text>
    </comment>
    <comment ref="B2230" authorId="73" shapeId="0" xr:uid="{D22492AF-312C-469D-B164-E32BB0C01DEB}">
      <text>
        <t>[Threaded comment]
Your version of Excel allows you to read this threaded comment; however, any edits to it will get removed if the file is opened in a newer version of Excel. Learn more: https://go.microsoft.com/fwlink/?linkid=870924
Comment:
    SK is identical to CZ in hotmaps, and CZ data in TABULA pretty much matches that established in hotmaps, so the assumption made in hotmaps for SK with its cells colored in grey (meaning assumption) seems to be fairly accurate</t>
      </text>
    </comment>
    <comment ref="V2234" authorId="74" shapeId="0" xr:uid="{B0C94992-F1A2-489E-9D60-7C165AA4AF89}">
      <text>
        <t>[Threaded comment]
Your version of Excel allows you to read this threaded comment; however, any edits to it will get removed if the file is opened in a newer version of Excel. Learn more: https://go.microsoft.com/fwlink/?linkid=870924
Comment:
    untill 1990 the period is dominated by electric, then by non-condensing gas</t>
      </text>
    </comment>
    <comment ref="V2235" authorId="75" shapeId="0" xr:uid="{242DD620-A55A-4192-9D43-3715A3B584B9}">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2241" authorId="76" shapeId="0" xr:uid="{CE1C301C-28ED-41D9-9A7F-ED91910CE8DE}">
      <text>
        <t>[Threaded comment]
Your version of Excel allows you to read this threaded comment; however, any edits to it will get removed if the file is opened in a newer version of Excel. Learn more: https://go.microsoft.com/fwlink/?linkid=870924
Comment:
    untill 1990 the period is dominated by gas district heating, then by non-condensing gas</t>
      </text>
    </comment>
    <comment ref="V2242" authorId="77" shapeId="0" xr:uid="{F3AAD9DE-A8DC-400E-873D-2787EB57AD74}">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as hotmaps only states that boilers are "combined" and doesn't specify condensing or non-condensing</t>
      </text>
    </comment>
    <comment ref="V2248" authorId="78" shapeId="0" xr:uid="{9F6C102D-5841-4A63-A645-14B7A8FF62EE}">
      <text>
        <t>[Threaded comment]
Your version of Excel allows you to read this threaded comment; however, any edits to it will get removed if the file is opened in a newer version of Excel. Learn more: https://go.microsoft.com/fwlink/?linkid=870924
Comment:
    district heating gas is most widespread alone until 1990, then widespread (50%) between 1990 and 1994. Gas non-condensing is only "widespread"between 1990 and 1994 for this period. This means a 83,2/17,7 proportion--&gt; 80/20 due to resolution limits established</t>
      </text>
    </comment>
    <comment ref="V2249" authorId="79" shapeId="0" xr:uid="{267CCEBD-9978-4C66-A908-48050467C581}">
      <text>
        <t>[Threaded comment]
Your version of Excel allows you to read this threaded comment; however, any edits to it will get removed if the file is opened in a newer version of Excel. Learn more: https://go.microsoft.com/fwlink/?linkid=870924
Comment:
    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tc={98D2E19D-E587-4F4B-B5BE-615147806531}</author>
    <author>tc={6D7C4F92-92EC-41C8-83BC-8BBB49F20CD4}</author>
  </authors>
  <commentList>
    <comment ref="P36" authorId="0" shapeId="0" xr:uid="{98D2E19D-E587-4F4B-B5BE-615147806531}">
      <text>
        <t>[Threaded comment]
Your version of Excel allows you to read this threaded comment; however, any edits to it will get removed if the file is opened in a newer version of Excel. Learn more: https://go.microsoft.com/fwlink/?linkid=870924
Comment:
    Obtained through averaging flat plate and evacuated tubes efficiency values for 60 and 90C transfer fluid temperatures along the whole year from an study carried across different regions of Bulgaria (see page 4 of the paper "Assesment of the annual performance of solar collectors by means of the utilizability method" https://www.e3s-conferences.org/articles/e3sconf/pdf/2020/67/e3sconf_fpepm2020_02007.pdf)</t>
      </text>
    </comment>
    <comment ref="F40" authorId="1" shapeId="0" xr:uid="{6D7C4F92-92EC-41C8-83BC-8BBB49F20CD4}">
      <text>
        <t>[Threaded comment]
Your version of Excel allows you to read this threaded comment; however, any edits to it will get removed if the file is opened in a newer version of Excel. Learn more: https://go.microsoft.com/fwlink/?linkid=870924
Comment:
    Obtained through averaging flat plate and evacuated tubes efficiency values for 60 and 90C transfer fluid temperatures along the whole year from an study carried across different regions of Bulgaria (see page 4 of the paper "Assessment of the annual performance of solar collectors by means of the utilizability method" https://www.e3s-conferences.org/articles/e3sconf/pdf/2020/67/e3sconf_fpepm2020_02007.pdf)</t>
      </text>
    </comment>
  </commentList>
</comments>
</file>

<file path=xl/sharedStrings.xml><?xml version="1.0" encoding="utf-8"?>
<sst xmlns="http://schemas.openxmlformats.org/spreadsheetml/2006/main" count="29282" uniqueCount="2422">
  <si>
    <t>NON-RESIDENTIAL BUILDINGS</t>
  </si>
  <si>
    <t>Building typology</t>
  </si>
  <si>
    <t>Country code</t>
  </si>
  <si>
    <t>HEATING SYSTEM 1 TECHNOLOGY</t>
  </si>
  <si>
    <t>HEATING SYSTEM 1 DIMENSIONS</t>
  </si>
  <si>
    <t>HEATING SYSTEM 1 FUEL USED</t>
  </si>
  <si>
    <t>HEATING SYSTEM 1 EFFICIENCY</t>
  </si>
  <si>
    <t>HEATING SYSTEM 1 PREVALENCY ON BUILDING STOCK</t>
  </si>
  <si>
    <t>HEATING SYSTEM 2 TECHNOLOGY</t>
  </si>
  <si>
    <t>HEATING SYSTEM 2 DIMENSIONS</t>
  </si>
  <si>
    <t>HEATING SYSTEM 2 FUEL USED</t>
  </si>
  <si>
    <t>HEATING SYSTEM 2 EFFICIENCY</t>
  </si>
  <si>
    <t>HEATING SYSTEM 2 PREVALENCY ON BUILDING STOCK</t>
  </si>
  <si>
    <t>HEATING SYSTEM 3 TECHNOLOGY</t>
  </si>
  <si>
    <t>HEATING SYSTEM 3 DIMENSIONS</t>
  </si>
  <si>
    <t>HEATING SYSTEM 3 FUEL USED</t>
  </si>
  <si>
    <t>HEATING SYSTEM 3 EFFICIENCY</t>
  </si>
  <si>
    <t>HEATING SYSTEM 3 PREVALENCY ON BUILDING STOCK</t>
  </si>
  <si>
    <t>DHW SYSTEM 1 TECHNOLOGY</t>
  </si>
  <si>
    <t>DHW SYSTEM 1 DIMENSIONS</t>
  </si>
  <si>
    <t>DHW SYSTEM 1 FUEL USED</t>
  </si>
  <si>
    <t>DHW SYSTEM 1 EFFICIENCY</t>
  </si>
  <si>
    <t>DHW SYSTEM 1 PREVALENCY ON BUILDING STOCK</t>
  </si>
  <si>
    <t>DHW SYSTEM 2 TECHNOLOGY</t>
  </si>
  <si>
    <t>DHW SYSTEM 2 DIMENSIONS</t>
  </si>
  <si>
    <t>DHW SYSTEM 2 FUEL USED</t>
  </si>
  <si>
    <t>DHW SYSTEM 2 EFFICIENCY</t>
  </si>
  <si>
    <t>DHW SYSTEM 2 PREVALENCY ON BUILDING STOCK</t>
  </si>
  <si>
    <t>DHW SYSTEM 3 TECHNOLOGY</t>
  </si>
  <si>
    <t>DHW SYSTEM 3 DIMENSIONS</t>
  </si>
  <si>
    <t>DHW SYSTEM 3 FUEL USED</t>
  </si>
  <si>
    <t>DHW SYSTEM 3 EFFICIENCY</t>
  </si>
  <si>
    <t>DHW SYSTEM 3 PREVALENCY ON BUILDING STOCK</t>
  </si>
  <si>
    <t>COOLING SYSTEMS PRESENCE ON BUILDING STOCK</t>
  </si>
  <si>
    <t>Cooling presence according to HOTMAPS</t>
  </si>
  <si>
    <t>AT-OFF-1850-1944-00</t>
  </si>
  <si>
    <t>AT</t>
  </si>
  <si>
    <t>Central gas condensing boiler</t>
  </si>
  <si>
    <t>Central</t>
  </si>
  <si>
    <t>Gas</t>
  </si>
  <si>
    <t>Individual air/water heat pump</t>
  </si>
  <si>
    <t>Individual</t>
  </si>
  <si>
    <t>Electricity</t>
  </si>
  <si>
    <t>Central gas low temperature condensing boiler</t>
  </si>
  <si>
    <t>Most cases NO</t>
  </si>
  <si>
    <t>AT-OFF-1945-1969-00</t>
  </si>
  <si>
    <t>AT-OFF-1970-1979-00</t>
  </si>
  <si>
    <t>AT-OFF-1980-1989-00</t>
  </si>
  <si>
    <t>AT-OFF-1990-1999-00</t>
  </si>
  <si>
    <t>AT-OFF-2000-2010-00</t>
  </si>
  <si>
    <t>AT-OFF-2011-2021-00</t>
  </si>
  <si>
    <t>AT-TRA-1850-1944-01</t>
  </si>
  <si>
    <t>AT-TRA-1945-1969-01</t>
  </si>
  <si>
    <t>AT-TRA-1970-1979-01</t>
  </si>
  <si>
    <t>AT-TRA-1980-1989-01</t>
  </si>
  <si>
    <t>AT-TRA-1990-1999-01</t>
  </si>
  <si>
    <t>AT-TRA-2000-2010-01</t>
  </si>
  <si>
    <t>AT-TRA-2011-2021-01</t>
  </si>
  <si>
    <t>AT-TRA-1850-1944-02</t>
  </si>
  <si>
    <t>AT-TRA-1945-1969-02</t>
  </si>
  <si>
    <t>AT-TRA-1970-1979-02</t>
  </si>
  <si>
    <t>AT-TRA-1980-1989-02</t>
  </si>
  <si>
    <t>AT-TRA-1990-1999-02</t>
  </si>
  <si>
    <t>AT-TRA-2000-2010-02</t>
  </si>
  <si>
    <t>AT-TRA-2011-2021-02</t>
  </si>
  <si>
    <t>AT-EDU-1850-1944-00</t>
  </si>
  <si>
    <t>AT-EDU-1945-1969-00</t>
  </si>
  <si>
    <t>AT-EDU-1970-1979-00</t>
  </si>
  <si>
    <t>AT-EDU-1980-1989-00</t>
  </si>
  <si>
    <t>AT-EDU-1990-1999-00</t>
  </si>
  <si>
    <t>AT-EDU-2000-2010-00</t>
  </si>
  <si>
    <t>AT-EDU-2011-2021-00</t>
  </si>
  <si>
    <t>AT-HEA-1850-1944-00</t>
  </si>
  <si>
    <t>Most cases YES</t>
  </si>
  <si>
    <t>AT-HEA-1945-1969-00</t>
  </si>
  <si>
    <t>AT-HEA-1970-1979-00</t>
  </si>
  <si>
    <t>AT-HEA-1980-1989-00</t>
  </si>
  <si>
    <t>AT-HEA-1990-1999-00</t>
  </si>
  <si>
    <t>AT-HEA-2000-2010-00</t>
  </si>
  <si>
    <t>AT-HEA-2011-2021-00</t>
  </si>
  <si>
    <t>AT-HOR-1850-1944-01</t>
  </si>
  <si>
    <t>AT-HOR-1945-1969-01</t>
  </si>
  <si>
    <t>AT-HOR-1970-1979-01</t>
  </si>
  <si>
    <t>AT-HOR-1980-1989-01</t>
  </si>
  <si>
    <t>AT-HOR-1990-1999-01</t>
  </si>
  <si>
    <t>AT-HOR-2000-2010-01</t>
  </si>
  <si>
    <t>AT-HOR-2011-2021-01</t>
  </si>
  <si>
    <t>AT-HOR-1850-1944-02</t>
  </si>
  <si>
    <t>AT-HOR-1945-1969-02</t>
  </si>
  <si>
    <t>AT-HOR-1970-1979-02</t>
  </si>
  <si>
    <t>AT-HOR-1980-1989-02</t>
  </si>
  <si>
    <t>AT-HOR-1990-1999-02</t>
  </si>
  <si>
    <t>AT-HOR-2000-2010-02</t>
  </si>
  <si>
    <t>AT-HOR-2011-2021-02</t>
  </si>
  <si>
    <t>AT-OTH-1850-1944-00</t>
  </si>
  <si>
    <t>AT-OTH-1945-1969-00</t>
  </si>
  <si>
    <t>AT-OTH-1970-1979-00</t>
  </si>
  <si>
    <t>AT-OTH-1980-1989-00</t>
  </si>
  <si>
    <t>AT-OTH-1990-1999-00</t>
  </si>
  <si>
    <t>AT-OTH-2000-2010-00</t>
  </si>
  <si>
    <t>AT-OTH-2011-2021-00</t>
  </si>
  <si>
    <t>BE-OFF-1850-1944-00</t>
  </si>
  <si>
    <t>BE</t>
  </si>
  <si>
    <t>BE-OFF-1945-1969-00</t>
  </si>
  <si>
    <t>BE-OFF-1970-1979-00</t>
  </si>
  <si>
    <t>BE-OFF-1980-1989-00</t>
  </si>
  <si>
    <t>BE-OFF-1990-1999-00</t>
  </si>
  <si>
    <t>BE-OFF-2000-2010-00</t>
  </si>
  <si>
    <t>BE-OFF-2011-2021-00</t>
  </si>
  <si>
    <t>BE-TRA-1850-1944-01</t>
  </si>
  <si>
    <t>BE-TRA-1945-1969-01</t>
  </si>
  <si>
    <t>BE-TRA-1970-1979-01</t>
  </si>
  <si>
    <t>BE-TRA-1980-1989-01</t>
  </si>
  <si>
    <t>BE-TRA-1990-1999-01</t>
  </si>
  <si>
    <t>BE-TRA-2000-2010-01</t>
  </si>
  <si>
    <t>BE-TRA-2011-2021-01</t>
  </si>
  <si>
    <t>BE-TRA-1850-1944-02</t>
  </si>
  <si>
    <t>BE-TRA-1945-1969-02</t>
  </si>
  <si>
    <t>BE-TRA-1970-1979-02</t>
  </si>
  <si>
    <t>BE-TRA-1980-1989-02</t>
  </si>
  <si>
    <t>BE-TRA-1990-1999-02</t>
  </si>
  <si>
    <t>BE-TRA-2000-2010-02</t>
  </si>
  <si>
    <t>BE-TRA-2011-2021-02</t>
  </si>
  <si>
    <t>BE-EDU-1850-1944-00</t>
  </si>
  <si>
    <t>BE-EDU-1945-1969-00</t>
  </si>
  <si>
    <t>BE-EDU-1970-1979-00</t>
  </si>
  <si>
    <t>BE-EDU-1980-1989-00</t>
  </si>
  <si>
    <t>BE-EDU-1990-1999-00</t>
  </si>
  <si>
    <t>BE-EDU-2000-2010-00</t>
  </si>
  <si>
    <t>BE-EDU-2011-2021-00</t>
  </si>
  <si>
    <t>BE-HEA-1850-1944-00</t>
  </si>
  <si>
    <t>BE-HEA-1945-1969-00</t>
  </si>
  <si>
    <t>BE-HEA-1970-1979-00</t>
  </si>
  <si>
    <t>BE-HEA-1980-1989-00</t>
  </si>
  <si>
    <t>BE-HEA-1990-1999-00</t>
  </si>
  <si>
    <t>BE-HEA-2000-2010-00</t>
  </si>
  <si>
    <t>BE-HEA-2011-2021-00</t>
  </si>
  <si>
    <t>BE-HOR-1850-1944-01</t>
  </si>
  <si>
    <t>BE-HOR-1945-1969-01</t>
  </si>
  <si>
    <t>BE-HOR-1970-1979-01</t>
  </si>
  <si>
    <t>BE-HOR-1980-1989-01</t>
  </si>
  <si>
    <t>BE-HOR-1990-1999-01</t>
  </si>
  <si>
    <t>BE-HOR-2000-2010-01</t>
  </si>
  <si>
    <t>BE-HOR-2011-2021-01</t>
  </si>
  <si>
    <t>BE-HOR-1850-1944-02</t>
  </si>
  <si>
    <t>BE-HOR-1945-1969-02</t>
  </si>
  <si>
    <t>BE-HOR-1970-1979-02</t>
  </si>
  <si>
    <t>BE-HOR-1980-1989-02</t>
  </si>
  <si>
    <t>BE-HOR-1990-1999-02</t>
  </si>
  <si>
    <t>BE-HOR-2000-2010-02</t>
  </si>
  <si>
    <t>BE-HOR-2011-2021-02</t>
  </si>
  <si>
    <t>BE-OTH-1850-1944-00</t>
  </si>
  <si>
    <t>BE-OTH-1945-1969-00</t>
  </si>
  <si>
    <t>BE-OTH-1970-1979-00</t>
  </si>
  <si>
    <t>BE-OTH-1980-1989-00</t>
  </si>
  <si>
    <t>BE-OTH-1990-1999-00</t>
  </si>
  <si>
    <t>BE-OTH-2000-2010-00</t>
  </si>
  <si>
    <t>BE-OTH-2011-2021-00</t>
  </si>
  <si>
    <t>BG-OFF-1850-1944-00</t>
  </si>
  <si>
    <t>BG</t>
  </si>
  <si>
    <t>Central gas non-condensing boiler</t>
  </si>
  <si>
    <t>Central gas low temperature non-condensing boiler</t>
  </si>
  <si>
    <t>BG-OFF-1945-1969-00</t>
  </si>
  <si>
    <t>BG-OFF-1970-1979-00</t>
  </si>
  <si>
    <t>BG-OFF-1980-1989-00</t>
  </si>
  <si>
    <t>BG-OFF-1990-1999-00</t>
  </si>
  <si>
    <t>BG-OFF-2000-2010-00</t>
  </si>
  <si>
    <t>BG-OFF-2011-2021-00</t>
  </si>
  <si>
    <t>BG-TRA-1850-1944-00</t>
  </si>
  <si>
    <t>BG-TRA-1945-1969-00</t>
  </si>
  <si>
    <t>BG-TRA-1970-1979-00</t>
  </si>
  <si>
    <t>BG-TRA-1980-1989-00</t>
  </si>
  <si>
    <t>BG-TRA-1990-1999-00</t>
  </si>
  <si>
    <t>BG-TRA-2000-2010-00</t>
  </si>
  <si>
    <t>BG-TRA-2011-2021-00</t>
  </si>
  <si>
    <t>BG-EDU-1850-1944-00</t>
  </si>
  <si>
    <t>BG-EDU-1945-1969-00</t>
  </si>
  <si>
    <t>BG-EDU-1970-1979-00</t>
  </si>
  <si>
    <t>BG-EDU-1980-1989-00</t>
  </si>
  <si>
    <t>BG-EDU-1990-1999-00</t>
  </si>
  <si>
    <t>BG-EDU-2000-2010-00</t>
  </si>
  <si>
    <t>BG-EDU-2011-2021-00</t>
  </si>
  <si>
    <t>BG-HEA-1850-1944-00</t>
  </si>
  <si>
    <t>BG-HEA-1945-1969-00</t>
  </si>
  <si>
    <t>BG-HEA-1970-1979-00</t>
  </si>
  <si>
    <t>BG-HEA-1980-1989-00</t>
  </si>
  <si>
    <t>BG-HEA-1990-1999-00</t>
  </si>
  <si>
    <t>BG-HEA-2000-2010-00</t>
  </si>
  <si>
    <t>BG-HEA-2011-2021-00</t>
  </si>
  <si>
    <t>BG-HOR-1850-1944-01</t>
  </si>
  <si>
    <t>BG-HOR-1945-1969-01</t>
  </si>
  <si>
    <t>BG-HOR-1970-1979-01</t>
  </si>
  <si>
    <t>BG-HOR-1980-1989-01</t>
  </si>
  <si>
    <t>BG-HOR-1990-1999-01</t>
  </si>
  <si>
    <t>BG-HOR-2000-2010-01</t>
  </si>
  <si>
    <t>BG-HOR-2011-2021-01</t>
  </si>
  <si>
    <t>BG-HOR-1850-1944-02</t>
  </si>
  <si>
    <t>BG-HOR-1945-1969-02</t>
  </si>
  <si>
    <t>BG-HOR-1970-1979-02</t>
  </si>
  <si>
    <t>BG-HOR-1980-1989-02</t>
  </si>
  <si>
    <t>BG-HOR-1990-1999-02</t>
  </si>
  <si>
    <t>BG-HOR-2000-2010-02</t>
  </si>
  <si>
    <t>BG-HOR-2011-2021-02</t>
  </si>
  <si>
    <t>BG-OTH-1850-1944-00</t>
  </si>
  <si>
    <t>BG-OTH-1945-1969-00</t>
  </si>
  <si>
    <t>BG-OTH-1970-1979-00</t>
  </si>
  <si>
    <t>BG-OTH-1980-1989-00</t>
  </si>
  <si>
    <t>BG-OTH-1990-1999-00</t>
  </si>
  <si>
    <t>BG-OTH-2000-2010-00</t>
  </si>
  <si>
    <t>BG-OTH-2011-2021-00</t>
  </si>
  <si>
    <t>CY-OFF-1850-1944-01</t>
  </si>
  <si>
    <t>CY</t>
  </si>
  <si>
    <t>Individual gas condensing boiler</t>
  </si>
  <si>
    <t>CY-OFF-1945-1969-01</t>
  </si>
  <si>
    <t>CY-OFF-1970-1979-01</t>
  </si>
  <si>
    <t>CY-OFF-1980-1989-01</t>
  </si>
  <si>
    <t>CY-OFF-1990-1999-01</t>
  </si>
  <si>
    <t>CY-OFF-2000-2010-01</t>
  </si>
  <si>
    <t>CY-OFF-2011-2021-01</t>
  </si>
  <si>
    <t>CY-OFF-1850-1944-02</t>
  </si>
  <si>
    <t>CY-OFF-1945-1969-02</t>
  </si>
  <si>
    <t>CY-OFF-1970-1979-02</t>
  </si>
  <si>
    <t>CY-OFF-1980-1989-02</t>
  </si>
  <si>
    <t>CY-OFF-1990-1999-02</t>
  </si>
  <si>
    <t>CY-OFF-2000-2010-02</t>
  </si>
  <si>
    <t>CY-OFF-2011-2021-02</t>
  </si>
  <si>
    <t>CY-TRA-1850-1944-01</t>
  </si>
  <si>
    <t>Individual electric convector heater</t>
  </si>
  <si>
    <t>CY-TRA-1945-1969-01</t>
  </si>
  <si>
    <t>CY-TRA-1970-1979-01</t>
  </si>
  <si>
    <t>CY-TRA-1980-1989-01</t>
  </si>
  <si>
    <t>CY-TRA-1990-1999-01</t>
  </si>
  <si>
    <t>CY-TRA-2000-2010-01</t>
  </si>
  <si>
    <t>CY-TRA-2011-2021-01</t>
  </si>
  <si>
    <t>CY-TRA-1850-1944-02</t>
  </si>
  <si>
    <t>CY-TRA-1945-1969-02</t>
  </si>
  <si>
    <t>CY-TRA-1970-1979-02</t>
  </si>
  <si>
    <t>CY-TRA-1980-1989-02</t>
  </si>
  <si>
    <t>CY-TRA-1990-1999-02</t>
  </si>
  <si>
    <t>CY-TRA-2000-2010-02</t>
  </si>
  <si>
    <t>CY-TRA-2011-2021-02</t>
  </si>
  <si>
    <t>CY-EDU-1850-1944-01</t>
  </si>
  <si>
    <t xml:space="preserve">Central gas low temperature condensing boiler </t>
  </si>
  <si>
    <t>CY-EDU-1945-1969-01</t>
  </si>
  <si>
    <t>CY-EDU-1970-1979-01</t>
  </si>
  <si>
    <t>CY-EDU-1980-1989-01</t>
  </si>
  <si>
    <t>CY-EDU-1990-1999-01</t>
  </si>
  <si>
    <t>CY-EDU-2000-2010-01</t>
  </si>
  <si>
    <t>CY-EDU-2011-2021-01</t>
  </si>
  <si>
    <t>CY-EDU-1850-1944-02</t>
  </si>
  <si>
    <t>CY-EDU-1945-1969-02</t>
  </si>
  <si>
    <t>CY-EDU-1970-1979-02</t>
  </si>
  <si>
    <t>CY-EDU-1980-1989-02</t>
  </si>
  <si>
    <t>CY-EDU-1990-1999-02</t>
  </si>
  <si>
    <t>CY-EDU-2000-2010-02</t>
  </si>
  <si>
    <t>CY-EDU-2011-2021-02</t>
  </si>
  <si>
    <t>CY-HEA-1850-1944-01</t>
  </si>
  <si>
    <t>CY-HEA-1945-1969-01</t>
  </si>
  <si>
    <t>CY-HEA-1970-1979-01</t>
  </si>
  <si>
    <t>CY-HEA-1980-1989-01</t>
  </si>
  <si>
    <t>CY-HEA-1990-1999-01</t>
  </si>
  <si>
    <t>CY-HEA-2000-2010-01</t>
  </si>
  <si>
    <t>CY-HEA-2011-2021-01</t>
  </si>
  <si>
    <t>CY-HEA-1850-1944-02</t>
  </si>
  <si>
    <t>CY-HEA-1945-1969-02</t>
  </si>
  <si>
    <t>CY-HEA-1970-1979-02</t>
  </si>
  <si>
    <t>CY-HEA-1980-1989-02</t>
  </si>
  <si>
    <t>CY-HEA-1990-1999-02</t>
  </si>
  <si>
    <t>CY-HEA-2000-2010-02</t>
  </si>
  <si>
    <t>CY-HEA-2011-2021-02</t>
  </si>
  <si>
    <t>CY-HOR-1850-1944-01</t>
  </si>
  <si>
    <t>CY-HOR-1945-1969-01</t>
  </si>
  <si>
    <t>CY-HOR-1970-1979-01</t>
  </si>
  <si>
    <t>CY-HOR-1980-1989-01</t>
  </si>
  <si>
    <t>CY-HOR-1990-1999-01</t>
  </si>
  <si>
    <t>CY-HOR-2000-2010-01</t>
  </si>
  <si>
    <t>CY-HOR-2011-2021-01</t>
  </si>
  <si>
    <t>CY-HOR-1850-1944-02</t>
  </si>
  <si>
    <t>CY-HOR-1945-1969-02</t>
  </si>
  <si>
    <t>CY-HOR-1970-1979-02</t>
  </si>
  <si>
    <t>CY-HOR-1980-1989-02</t>
  </si>
  <si>
    <t>CY-HOR-1990-1999-02</t>
  </si>
  <si>
    <t>CY-HOR-2000-2010-02</t>
  </si>
  <si>
    <t>CY-HOR-2011-2021-02</t>
  </si>
  <si>
    <t>CY-OTH-1850-1944-01</t>
  </si>
  <si>
    <t>Half of cases YES</t>
  </si>
  <si>
    <t>CY-OTH-1945-1969-01</t>
  </si>
  <si>
    <t>CY-OTH-1970-1979-01</t>
  </si>
  <si>
    <t>CY-OTH-1980-1989-01</t>
  </si>
  <si>
    <t>CY-OTH-1990-1999-01</t>
  </si>
  <si>
    <t>CY-OTH-2000-2010-01</t>
  </si>
  <si>
    <t>CY-OTH-2011-2021-01</t>
  </si>
  <si>
    <t>CY-OTH-1850-1944-02</t>
  </si>
  <si>
    <t>CY-OTH-1945-1969-02</t>
  </si>
  <si>
    <t>CY-OTH-1970-1979-02</t>
  </si>
  <si>
    <t>CY-OTH-1980-1989-02</t>
  </si>
  <si>
    <t>CY-OTH-1990-1999-02</t>
  </si>
  <si>
    <t>CY-OTH-2000-2010-02</t>
  </si>
  <si>
    <t>CY-OTH-2011-2021-02</t>
  </si>
  <si>
    <t>CZ-OFF-1850-1944-00</t>
  </si>
  <si>
    <t>CZ</t>
  </si>
  <si>
    <t>CZ-OFF-1945-1969-00</t>
  </si>
  <si>
    <t>CZ-OFF-1970-1979-00</t>
  </si>
  <si>
    <t>CZ-OFF-1980-1989-00</t>
  </si>
  <si>
    <t>CZ-OFF-1990-1999-00</t>
  </si>
  <si>
    <t>CZ-OFF-2000-2010-00</t>
  </si>
  <si>
    <t>CZ-OFF-2011-2021-00</t>
  </si>
  <si>
    <t>CZ-TRA-1850-1944-00</t>
  </si>
  <si>
    <t>CZ-TRA-1945-1969-00</t>
  </si>
  <si>
    <t>CZ-TRA-1970-1979-00</t>
  </si>
  <si>
    <t>CZ-TRA-1980-1989-00</t>
  </si>
  <si>
    <t>CZ-TRA-1990-1999-00</t>
  </si>
  <si>
    <t>CZ-TRA-2000-2010-00</t>
  </si>
  <si>
    <t>CZ-TRA-2011-2021-00</t>
  </si>
  <si>
    <t>CZ-EDU-1850-1944-00</t>
  </si>
  <si>
    <t>CZ-EDU-1945-1969-00</t>
  </si>
  <si>
    <t>CZ-EDU-1970-1979-00</t>
  </si>
  <si>
    <t>CZ-EDU-1980-1989-00</t>
  </si>
  <si>
    <t>CZ-EDU-1990-1999-00</t>
  </si>
  <si>
    <t>CZ-EDU-2000-2010-00</t>
  </si>
  <si>
    <t>CZ-EDU-2011-2021-00</t>
  </si>
  <si>
    <t>CZ-HEA-1850-1944-00</t>
  </si>
  <si>
    <t>CZ-HEA-1945-1969-00</t>
  </si>
  <si>
    <t>CZ-HEA-1970-1979-00</t>
  </si>
  <si>
    <t>CZ-HEA-1980-1989-00</t>
  </si>
  <si>
    <t>CZ-HEA-1990-1999-00</t>
  </si>
  <si>
    <t>CZ-HEA-2000-2010-00</t>
  </si>
  <si>
    <t>CZ-HEA-2011-2021-00</t>
  </si>
  <si>
    <t>CZ-HOR-1850-1944-01</t>
  </si>
  <si>
    <t>CZ-HOR-1945-1969-01</t>
  </si>
  <si>
    <t>CZ-HOR-1970-1979-01</t>
  </si>
  <si>
    <t>CZ-HOR-1980-1989-01</t>
  </si>
  <si>
    <t>CZ-HOR-1990-1999-01</t>
  </si>
  <si>
    <t>CZ-HOR-2000-2010-01</t>
  </si>
  <si>
    <t>CZ-HOR-2011-2021-01</t>
  </si>
  <si>
    <t>CZ-HOR-1850-1944-02</t>
  </si>
  <si>
    <t>CZ-HOR-1945-1969-02</t>
  </si>
  <si>
    <t>CZ-HOR-1970-1979-02</t>
  </si>
  <si>
    <t>CZ-HOR-1980-1989-02</t>
  </si>
  <si>
    <t>CZ-HOR-1990-1999-02</t>
  </si>
  <si>
    <t>CZ-HOR-2000-2010-02</t>
  </si>
  <si>
    <t>CZ-HOR-2011-2021-02</t>
  </si>
  <si>
    <t>CZ-OTH-1850-1944-00</t>
  </si>
  <si>
    <t>CZ-OTH-1945-1969-00</t>
  </si>
  <si>
    <t>CZ-OTH-1970-1979-00</t>
  </si>
  <si>
    <t>CZ-OTH-1980-1989-00</t>
  </si>
  <si>
    <t>CZ-OTH-1990-1999-00</t>
  </si>
  <si>
    <t>CZ-OTH-2000-2010-00</t>
  </si>
  <si>
    <t>CZ-OTH-2011-2021-00</t>
  </si>
  <si>
    <t>DE-OFF-1850-1944-00</t>
  </si>
  <si>
    <t>DE</t>
  </si>
  <si>
    <t>DE-OFF-1945-1969-00</t>
  </si>
  <si>
    <t>DE-OFF-1970-1979-00</t>
  </si>
  <si>
    <t>DE-OFF-1980-1989-00</t>
  </si>
  <si>
    <t>DE-OFF-1990-1999-00</t>
  </si>
  <si>
    <t>DE-OFF-2000-2010-00</t>
  </si>
  <si>
    <t>DE-OFF-2011-2021-00</t>
  </si>
  <si>
    <t>DE-TRA-1850-1944-01</t>
  </si>
  <si>
    <t>DE-TRA-1945-1969-01</t>
  </si>
  <si>
    <t>DE-TRA-1970-1979-01</t>
  </si>
  <si>
    <t>DE-TRA-1980-1989-01</t>
  </si>
  <si>
    <t>DE-TRA-1990-1999-01</t>
  </si>
  <si>
    <t>DE-TRA-2000-2010-01</t>
  </si>
  <si>
    <t>DE-TRA-2011-2021-01</t>
  </si>
  <si>
    <t>DE-TRA-1850-1944-02</t>
  </si>
  <si>
    <t>DE-TRA-1945-1969-02</t>
  </si>
  <si>
    <t>DE-TRA-1970-1979-02</t>
  </si>
  <si>
    <t>DE-TRA-1980-1989-02</t>
  </si>
  <si>
    <t>DE-TRA-1990-1999-02</t>
  </si>
  <si>
    <t>DE-TRA-2000-2010-02</t>
  </si>
  <si>
    <t>DE-TRA-2011-2021-02</t>
  </si>
  <si>
    <t>DE-EDU-1850-1944-00</t>
  </si>
  <si>
    <t>DE-EDU-1945-1969-00</t>
  </si>
  <si>
    <t>DE-EDU-1970-1979-00</t>
  </si>
  <si>
    <t>DE-EDU-1980-1989-00</t>
  </si>
  <si>
    <t>DE-EDU-1990-1999-00</t>
  </si>
  <si>
    <t>DE-EDU-2000-2010-00</t>
  </si>
  <si>
    <t>DE-EDU-2011-2021-00</t>
  </si>
  <si>
    <t>DE-HEA-1850-1944-00</t>
  </si>
  <si>
    <t>DE-HEA-1945-1969-00</t>
  </si>
  <si>
    <t>DE-HEA-1970-1979-00</t>
  </si>
  <si>
    <t>DE-HEA-1980-1989-00</t>
  </si>
  <si>
    <t>DE-HEA-1990-1999-00</t>
  </si>
  <si>
    <t>DE-HEA-2000-2010-00</t>
  </si>
  <si>
    <t>DE-HEA-2011-2021-00</t>
  </si>
  <si>
    <t>DE-HOR-1850-1944-01</t>
  </si>
  <si>
    <t>DE-HOR-1945-1969-01</t>
  </si>
  <si>
    <t>DE-HOR-1970-1979-01</t>
  </si>
  <si>
    <t>DE-HOR-1980-1989-01</t>
  </si>
  <si>
    <t>DE-HOR-1990-1999-01</t>
  </si>
  <si>
    <t>DE-HOR-2000-2010-01</t>
  </si>
  <si>
    <t>DE-HOR-2011-2021-01</t>
  </si>
  <si>
    <t>DE-HOR-1850-1944-02</t>
  </si>
  <si>
    <t>DE-HOR-1945-1969-02</t>
  </si>
  <si>
    <t>DE-HOR-1970-1979-02</t>
  </si>
  <si>
    <t>DE-HOR-1980-1989-02</t>
  </si>
  <si>
    <t>DE-HOR-1990-1999-02</t>
  </si>
  <si>
    <t>DE-HOR-2000-2010-02</t>
  </si>
  <si>
    <t>DE-HOR-2011-2021-02</t>
  </si>
  <si>
    <t>DE-OTH-1850-1944-00</t>
  </si>
  <si>
    <t>DE-OTH-1945-1969-00</t>
  </si>
  <si>
    <t>DE-OTH-1970-1979-00</t>
  </si>
  <si>
    <t>DE-OTH-1980-1989-00</t>
  </si>
  <si>
    <t>DE-OTH-1990-1999-00</t>
  </si>
  <si>
    <t>DE-OTH-2000-2010-00</t>
  </si>
  <si>
    <t>DE-OTH-2011-2021-00</t>
  </si>
  <si>
    <t>DK-OFF-1850-1944-01</t>
  </si>
  <si>
    <t>DK</t>
  </si>
  <si>
    <t>District heating gas boilers old</t>
  </si>
  <si>
    <t>District</t>
  </si>
  <si>
    <t>Central heat pump air-water</t>
  </si>
  <si>
    <t>Central heat pump air to water</t>
  </si>
  <si>
    <t>DK-OFF-1945-1969-01</t>
  </si>
  <si>
    <t>DK-OFF-1970-1979-01</t>
  </si>
  <si>
    <t>DK-OFF-1980-1989-01</t>
  </si>
  <si>
    <t>DK-OFF-1990-1999-01</t>
  </si>
  <si>
    <t>DK-OFF-2000-2010-01</t>
  </si>
  <si>
    <t>DK-OFF-2011-2021-01</t>
  </si>
  <si>
    <t>DK-OFF-1850-1944-02</t>
  </si>
  <si>
    <t>DK-OFF-1945-1969-02</t>
  </si>
  <si>
    <t>DK-OFF-1970-1979-02</t>
  </si>
  <si>
    <t>DK-OFF-1980-1989-02</t>
  </si>
  <si>
    <t>DK-OFF-1990-1999-02</t>
  </si>
  <si>
    <t>DK-OFF-2000-2010-02</t>
  </si>
  <si>
    <t>DK-OFF-2011-2021-02</t>
  </si>
  <si>
    <t>DK-TRA-1850-1944-01</t>
  </si>
  <si>
    <t>DK-TRA-1945-1969-01</t>
  </si>
  <si>
    <t>DK-TRA-1970-1979-01</t>
  </si>
  <si>
    <t>DK-TRA-1980-1989-01</t>
  </si>
  <si>
    <t>DK-TRA-1990-1999-01</t>
  </si>
  <si>
    <t>DK-TRA-2000-2010-01</t>
  </si>
  <si>
    <t>DK-TRA-2011-2021-01</t>
  </si>
  <si>
    <t>DK-TRA-1850-1944-02</t>
  </si>
  <si>
    <t>DK-TRA-1945-1969-02</t>
  </si>
  <si>
    <t>DK-TRA-1970-1979-02</t>
  </si>
  <si>
    <t>DK-TRA-1980-1989-02</t>
  </si>
  <si>
    <t>DK-TRA-1990-1999-02</t>
  </si>
  <si>
    <t>DK-TRA-2000-2010-02</t>
  </si>
  <si>
    <t>DK-TRA-2011-2021-02</t>
  </si>
  <si>
    <t>DK-EDU-1850-1944-01</t>
  </si>
  <si>
    <t>DK-EDU-1945-1969-01</t>
  </si>
  <si>
    <t>DK-EDU-1970-1979-01</t>
  </si>
  <si>
    <t>DK-EDU-1980-1989-01</t>
  </si>
  <si>
    <t>DK-EDU-1990-1999-01</t>
  </si>
  <si>
    <t>DK-EDU-2000-2010-01</t>
  </si>
  <si>
    <t>DK-EDU-2011-2021-01</t>
  </si>
  <si>
    <t>DK-EDU-1850-1944-02</t>
  </si>
  <si>
    <t>DK-EDU-1945-1969-02</t>
  </si>
  <si>
    <t>DK-EDU-1970-1979-02</t>
  </si>
  <si>
    <t>DK-EDU-1980-1989-02</t>
  </si>
  <si>
    <t>DK-EDU-1990-1999-02</t>
  </si>
  <si>
    <t>DK-EDU-2000-2010-02</t>
  </si>
  <si>
    <t>DK-EDU-2011-2021-02</t>
  </si>
  <si>
    <t>DK-HEA-1850-1944-01</t>
  </si>
  <si>
    <t>DK-HEA-1945-1969-01</t>
  </si>
  <si>
    <t>DK-HEA-1970-1979-01</t>
  </si>
  <si>
    <t>DK-HEA-1980-1989-01</t>
  </si>
  <si>
    <t>DK-HEA-1990-1999-01</t>
  </si>
  <si>
    <t>DK-HEA-2000-2010-01</t>
  </si>
  <si>
    <t>DK-HEA-2011-2021-01</t>
  </si>
  <si>
    <t>DK-HEA-1850-1944-02</t>
  </si>
  <si>
    <t>DK-HEA-1945-1969-02</t>
  </si>
  <si>
    <t>DK-HEA-1970-1979-02</t>
  </si>
  <si>
    <t>DK-HEA-1980-1989-02</t>
  </si>
  <si>
    <t>DK-HEA-1990-1999-02</t>
  </si>
  <si>
    <t>DK-HEA-2000-2010-02</t>
  </si>
  <si>
    <t>DK-HEA-2011-2021-02</t>
  </si>
  <si>
    <t>DK-HOR-1850-1944-01</t>
  </si>
  <si>
    <t>DK-HOR-1945-1969-01</t>
  </si>
  <si>
    <t>DK-HOR-1970-1979-01</t>
  </si>
  <si>
    <t>DK-HOR-1980-1989-01</t>
  </si>
  <si>
    <t>DK-HOR-1990-1999-01</t>
  </si>
  <si>
    <t>DK-HOR-2000-2010-01</t>
  </si>
  <si>
    <t>DK-HOR-2011-2021-01</t>
  </si>
  <si>
    <t>DK-HOR-1850-1944-02</t>
  </si>
  <si>
    <t>DK-HOR-1945-1969-02</t>
  </si>
  <si>
    <t>DK-HOR-1970-1979-02</t>
  </si>
  <si>
    <t>DK-HOR-1980-1989-02</t>
  </si>
  <si>
    <t>DK-HOR-1990-1999-02</t>
  </si>
  <si>
    <t>DK-HOR-2000-2010-02</t>
  </si>
  <si>
    <t>DK-HOR-2011-2021-02</t>
  </si>
  <si>
    <t>DK-OTH-1850-1944-01</t>
  </si>
  <si>
    <t>DK-OTH-1945-1969-01</t>
  </si>
  <si>
    <t>DK-OTH-1970-1979-01</t>
  </si>
  <si>
    <t>DK-OTH-1980-1989-01</t>
  </si>
  <si>
    <t>DK-OTH-1990-1999-01</t>
  </si>
  <si>
    <t>DK-OTH-2000-2010-01</t>
  </si>
  <si>
    <t>DK-OTH-2011-2021-01</t>
  </si>
  <si>
    <t>DK-OTH-1850-1944-02</t>
  </si>
  <si>
    <t>DK-OTH-1945-1969-02</t>
  </si>
  <si>
    <t>DK-OTH-1970-1979-02</t>
  </si>
  <si>
    <t>DK-OTH-1980-1989-02</t>
  </si>
  <si>
    <t>DK-OTH-1990-1999-02</t>
  </si>
  <si>
    <t>DK-OTH-2000-2010-02</t>
  </si>
  <si>
    <t>DK-OTH-2011-2021-02</t>
  </si>
  <si>
    <t>EE-OFF-1850-1944-01</t>
  </si>
  <si>
    <t>EE</t>
  </si>
  <si>
    <t>EE-OFF-1945-1969-01</t>
  </si>
  <si>
    <t>EE-OFF-1970-1979-01</t>
  </si>
  <si>
    <t>EE-OFF-1980-1989-01</t>
  </si>
  <si>
    <t>EE-OFF-1990-1999-01</t>
  </si>
  <si>
    <t>EE-OFF-2000-2010-01</t>
  </si>
  <si>
    <t>EE-OFF-2011-2021-01</t>
  </si>
  <si>
    <t>EE-OFF-1850-1944-02</t>
  </si>
  <si>
    <t>EE-OFF-1945-1969-02</t>
  </si>
  <si>
    <t>EE-OFF-1970-1979-02</t>
  </si>
  <si>
    <t>EE-OFF-1980-1989-02</t>
  </si>
  <si>
    <t>EE-OFF-1990-1999-02</t>
  </si>
  <si>
    <t>EE-OFF-2000-2010-02</t>
  </si>
  <si>
    <t>EE-OFF-2011-2021-02</t>
  </si>
  <si>
    <t>EE-TRA-1850-1944-01</t>
  </si>
  <si>
    <t>EE-TRA-1945-1969-01</t>
  </si>
  <si>
    <t>EE-TRA-1970-1979-01</t>
  </si>
  <si>
    <t>EE-TRA-1980-1989-01</t>
  </si>
  <si>
    <t>EE-TRA-1990-1999-01</t>
  </si>
  <si>
    <t>EE-TRA-2000-2010-01</t>
  </si>
  <si>
    <t>EE-TRA-2011-2021-01</t>
  </si>
  <si>
    <t>EE-TRA-1850-1944-02</t>
  </si>
  <si>
    <t>EE-TRA-1945-1969-02</t>
  </si>
  <si>
    <t>EE-TRA-1970-1979-02</t>
  </si>
  <si>
    <t>EE-TRA-1980-1989-02</t>
  </si>
  <si>
    <t>EE-TRA-1990-1999-02</t>
  </si>
  <si>
    <t>EE-TRA-2000-2010-02</t>
  </si>
  <si>
    <t>EE-TRA-2011-2021-02</t>
  </si>
  <si>
    <t>EE-EDU-1850-1944-01</t>
  </si>
  <si>
    <t>EE-EDU-1945-1969-01</t>
  </si>
  <si>
    <t>EE-EDU-1970-1979-01</t>
  </si>
  <si>
    <t>EE-EDU-1980-1989-01</t>
  </si>
  <si>
    <t>EE-EDU-1990-1999-01</t>
  </si>
  <si>
    <t>EE-EDU-2000-2010-01</t>
  </si>
  <si>
    <t>EE-EDU-2011-2021-01</t>
  </si>
  <si>
    <t>EE-EDU-1850-1944-02</t>
  </si>
  <si>
    <t>EE-EDU-1945-1969-02</t>
  </si>
  <si>
    <t>EE-EDU-1970-1979-02</t>
  </si>
  <si>
    <t>EE-EDU-1980-1989-02</t>
  </si>
  <si>
    <t>EE-EDU-1990-1999-02</t>
  </si>
  <si>
    <t>EE-EDU-2000-2010-02</t>
  </si>
  <si>
    <t>EE-EDU-2011-2021-02</t>
  </si>
  <si>
    <t>EE-HEA-1850-1944-01</t>
  </si>
  <si>
    <t>EE-HEA-1945-1969-01</t>
  </si>
  <si>
    <t>EE-HEA-1970-1979-01</t>
  </si>
  <si>
    <t>EE-HEA-1980-1989-01</t>
  </si>
  <si>
    <t>EE-HEA-1990-1999-01</t>
  </si>
  <si>
    <t>EE-HEA-2000-2010-01</t>
  </si>
  <si>
    <t>EE-HEA-2011-2021-01</t>
  </si>
  <si>
    <t>EE-HEA-1850-1944-02</t>
  </si>
  <si>
    <t>EE-HEA-1945-1969-02</t>
  </si>
  <si>
    <t>EE-HEA-1970-1979-02</t>
  </si>
  <si>
    <t>EE-HEA-1980-1989-02</t>
  </si>
  <si>
    <t>EE-HEA-1990-1999-02</t>
  </si>
  <si>
    <t>EE-HEA-2000-2010-02</t>
  </si>
  <si>
    <t>EE-HEA-2011-2021-02</t>
  </si>
  <si>
    <t>EE-HOR-1850-1944-01</t>
  </si>
  <si>
    <t>EE-HOR-1945-1969-01</t>
  </si>
  <si>
    <t>EE-HOR-1970-1979-01</t>
  </si>
  <si>
    <t>EE-HOR-1980-1989-01</t>
  </si>
  <si>
    <t>EE-HOR-1990-1999-01</t>
  </si>
  <si>
    <t>EE-HOR-2000-2010-01</t>
  </si>
  <si>
    <t>EE-HOR-2011-2021-01</t>
  </si>
  <si>
    <t>EE-HOR-1850-1944-02</t>
  </si>
  <si>
    <t>EE-HOR-1945-1969-02</t>
  </si>
  <si>
    <t>EE-HOR-1970-1979-02</t>
  </si>
  <si>
    <t>EE-HOR-1980-1989-02</t>
  </si>
  <si>
    <t>EE-HOR-1990-1999-02</t>
  </si>
  <si>
    <t>EE-HOR-2000-2010-02</t>
  </si>
  <si>
    <t>EE-HOR-2011-2021-02</t>
  </si>
  <si>
    <t>EE-OTH-1850-1944-01</t>
  </si>
  <si>
    <t>EE-OTH-1945-1969-01</t>
  </si>
  <si>
    <t>EE-OTH-1970-1979-01</t>
  </si>
  <si>
    <t>EE-OTH-1980-1989-01</t>
  </si>
  <si>
    <t>EE-OTH-1990-1999-01</t>
  </si>
  <si>
    <t>EE-OTH-2000-2010-01</t>
  </si>
  <si>
    <t>EE-OTH-2011-2021-01</t>
  </si>
  <si>
    <t>EE-OTH-1850-1944-02</t>
  </si>
  <si>
    <t>EE-OTH-1945-1969-02</t>
  </si>
  <si>
    <t>EE-OTH-1970-1979-02</t>
  </si>
  <si>
    <t>EE-OTH-1980-1989-02</t>
  </si>
  <si>
    <t>EE-OTH-1990-1999-02</t>
  </si>
  <si>
    <t>EE-OTH-2000-2010-02</t>
  </si>
  <si>
    <t>EE-OTH-2011-2021-02</t>
  </si>
  <si>
    <t>EL-OFF-1850-1944-01</t>
  </si>
  <si>
    <t>EL</t>
  </si>
  <si>
    <t>EL-OFF-1945-1969-01</t>
  </si>
  <si>
    <t>EL-OFF-1970-1979-01</t>
  </si>
  <si>
    <t>EL-OFF-1980-1989-01</t>
  </si>
  <si>
    <t>EL-OFF-1990-1999-01</t>
  </si>
  <si>
    <t>EL-OFF-2000-2010-01</t>
  </si>
  <si>
    <t>EL-OFF-2011-2021-01</t>
  </si>
  <si>
    <t>EL-OFF-1850-1944-02</t>
  </si>
  <si>
    <t>EL-OFF-1945-1969-02</t>
  </si>
  <si>
    <t>EL-OFF-1970-1979-02</t>
  </si>
  <si>
    <t>EL-OFF-1980-1989-02</t>
  </si>
  <si>
    <t>EL-OFF-1990-1999-02</t>
  </si>
  <si>
    <t>EL-OFF-2000-2010-02</t>
  </si>
  <si>
    <t>EL-OFF-2011-2021-02</t>
  </si>
  <si>
    <t>EL-TRA-1850-1944-01</t>
  </si>
  <si>
    <t>EL-TRA-1945-1969-01</t>
  </si>
  <si>
    <t>EL-TRA-1970-1979-01</t>
  </si>
  <si>
    <t>EL-TRA-1980-1989-01</t>
  </si>
  <si>
    <t>EL-TRA-1990-1999-01</t>
  </si>
  <si>
    <t>EL-TRA-2000-2010-01</t>
  </si>
  <si>
    <t>EL-TRA-2011-2021-01</t>
  </si>
  <si>
    <t>EL-TRA-1850-1944-02</t>
  </si>
  <si>
    <t>EL-TRA-1945-1969-02</t>
  </si>
  <si>
    <t>EL-TRA-1970-1979-02</t>
  </si>
  <si>
    <t>EL-TRA-1980-1989-02</t>
  </si>
  <si>
    <t>EL-TRA-1990-1999-02</t>
  </si>
  <si>
    <t>EL-TRA-2000-2010-02</t>
  </si>
  <si>
    <t>EL-TRA-2011-2021-02</t>
  </si>
  <si>
    <t>EL-EDU-1850-1944-01</t>
  </si>
  <si>
    <t>EL-EDU-1945-1969-01</t>
  </si>
  <si>
    <t>EL-EDU-1970-1979-01</t>
  </si>
  <si>
    <t>EL-EDU-1980-1989-01</t>
  </si>
  <si>
    <t>EL-EDU-1990-1999-01</t>
  </si>
  <si>
    <t>EL-EDU-2000-2010-01</t>
  </si>
  <si>
    <t>EL-EDU-2011-2021-01</t>
  </si>
  <si>
    <t>EL-EDU-1850-1944-02</t>
  </si>
  <si>
    <t>EL-EDU-1945-1969-02</t>
  </si>
  <si>
    <t>EL-EDU-1970-1979-02</t>
  </si>
  <si>
    <t>EL-EDU-1980-1989-02</t>
  </si>
  <si>
    <t>EL-EDU-1990-1999-02</t>
  </si>
  <si>
    <t>EL-EDU-2000-2010-02</t>
  </si>
  <si>
    <t>EL-EDU-2011-2021-02</t>
  </si>
  <si>
    <t>EL-HEA-1850-1944-01</t>
  </si>
  <si>
    <t>EL-HEA-1945-1969-01</t>
  </si>
  <si>
    <t>EL-HEA-1970-1979-01</t>
  </si>
  <si>
    <t>EL-HEA-1980-1989-01</t>
  </si>
  <si>
    <t>EL-HEA-1990-1999-01</t>
  </si>
  <si>
    <t>EL-HEA-2000-2010-01</t>
  </si>
  <si>
    <t>EL-HEA-2011-2021-01</t>
  </si>
  <si>
    <t>EL-HEA-1850-1944-02</t>
  </si>
  <si>
    <t>EL-HEA-1945-1969-02</t>
  </si>
  <si>
    <t>EL-HEA-1970-1979-02</t>
  </si>
  <si>
    <t>EL-HEA-1980-1989-02</t>
  </si>
  <si>
    <t>EL-HEA-1990-1999-02</t>
  </si>
  <si>
    <t>EL-HEA-2000-2010-02</t>
  </si>
  <si>
    <t>EL-HEA-2011-2021-02</t>
  </si>
  <si>
    <t>EL-HOR-1850-1944-01</t>
  </si>
  <si>
    <t>EL-HOR-1945-1969-01</t>
  </si>
  <si>
    <t>EL-HOR-1970-1979-01</t>
  </si>
  <si>
    <t>EL-HOR-1980-1989-01</t>
  </si>
  <si>
    <t>EL-HOR-1990-1999-01</t>
  </si>
  <si>
    <t>EL-HOR-2000-2010-01</t>
  </si>
  <si>
    <t>EL-HOR-2011-2021-01</t>
  </si>
  <si>
    <t>EL-HOR-1850-1944-02</t>
  </si>
  <si>
    <t>EL-HOR-1945-1969-02</t>
  </si>
  <si>
    <t>EL-HOR-1970-1979-02</t>
  </si>
  <si>
    <t>EL-HOR-1980-1989-02</t>
  </si>
  <si>
    <t>EL-HOR-1990-1999-02</t>
  </si>
  <si>
    <t>EL-HOR-2000-2010-02</t>
  </si>
  <si>
    <t>EL-HOR-2011-2021-02</t>
  </si>
  <si>
    <t>EL-OTH-1850-1944-01</t>
  </si>
  <si>
    <t>EL-OTH-1945-1969-01</t>
  </si>
  <si>
    <t>EL-OTH-1970-1979-01</t>
  </si>
  <si>
    <t>EL-OTH-1980-1989-01</t>
  </si>
  <si>
    <t>EL-OTH-1990-1999-01</t>
  </si>
  <si>
    <t>EL-OTH-2000-2010-01</t>
  </si>
  <si>
    <t>EL-OTH-2011-2021-01</t>
  </si>
  <si>
    <t>EL-OTH-1850-1944-02</t>
  </si>
  <si>
    <t>EL-OTH-1945-1969-02</t>
  </si>
  <si>
    <t>EL-OTH-1970-1979-02</t>
  </si>
  <si>
    <t>EL-OTH-1980-1989-02</t>
  </si>
  <si>
    <t>EL-OTH-1990-1999-02</t>
  </si>
  <si>
    <t>EL-OTH-2000-2010-02</t>
  </si>
  <si>
    <t>EL-OTH-2011-2021-02</t>
  </si>
  <si>
    <t>ES-OFF-1850-1944-01</t>
  </si>
  <si>
    <t>ES</t>
  </si>
  <si>
    <t>ES-OFF-1945-1969-01</t>
  </si>
  <si>
    <t>ES-OFF-1970-1979-01</t>
  </si>
  <si>
    <t>ES-OFF-1980-1989-01</t>
  </si>
  <si>
    <t>ES-OFF-1990-1999-01</t>
  </si>
  <si>
    <t>ES-OFF-2000-2010-01</t>
  </si>
  <si>
    <t>ES-OFF-2011-2021-01</t>
  </si>
  <si>
    <t>ES-OFF-1850-1944-02</t>
  </si>
  <si>
    <t>ES-OFF-1945-1969-02</t>
  </si>
  <si>
    <t>ES-OFF-1970-1979-02</t>
  </si>
  <si>
    <t>ES-OFF-1980-1989-02</t>
  </si>
  <si>
    <t>ES-OFF-1990-1999-02</t>
  </si>
  <si>
    <t>ES-OFF-2000-2010-02</t>
  </si>
  <si>
    <t>ES-OFF-2011-2021-02</t>
  </si>
  <si>
    <t>ES-TRA-1850-1944-01</t>
  </si>
  <si>
    <t>ES-TRA-1945-1969-01</t>
  </si>
  <si>
    <t>ES-TRA-1970-1979-01</t>
  </si>
  <si>
    <t>ES-TRA-1980-1989-01</t>
  </si>
  <si>
    <t>ES-TRA-1990-1999-01</t>
  </si>
  <si>
    <t>ES-TRA-2000-2010-01</t>
  </si>
  <si>
    <t>ES-TRA-2011-2021-01</t>
  </si>
  <si>
    <t>ES-TRA-1850-1944-02</t>
  </si>
  <si>
    <t>ES-TRA-1945-1969-02</t>
  </si>
  <si>
    <t>ES-TRA-1970-1979-02</t>
  </si>
  <si>
    <t>ES-TRA-1980-1989-02</t>
  </si>
  <si>
    <t>ES-TRA-1990-1999-02</t>
  </si>
  <si>
    <t>ES-TRA-2000-2010-02</t>
  </si>
  <si>
    <t>ES-TRA-2011-2021-02</t>
  </si>
  <si>
    <t>ES-EDU-1850-1944-01</t>
  </si>
  <si>
    <t>ES-EDU-1945-1969-01</t>
  </si>
  <si>
    <t>ES-EDU-1970-1979-01</t>
  </si>
  <si>
    <t>ES-EDU-1980-1989-01</t>
  </si>
  <si>
    <t>ES-EDU-1990-1999-01</t>
  </si>
  <si>
    <t>ES-EDU-2000-2010-01</t>
  </si>
  <si>
    <t>ES-EDU-2011-2021-01</t>
  </si>
  <si>
    <t>ES-EDU-1850-1944-02</t>
  </si>
  <si>
    <t>ES-EDU-1945-1969-02</t>
  </si>
  <si>
    <t>ES-EDU-1970-1979-02</t>
  </si>
  <si>
    <t>ES-EDU-1980-1989-02</t>
  </si>
  <si>
    <t>ES-EDU-1990-1999-02</t>
  </si>
  <si>
    <t>ES-EDU-2000-2010-02</t>
  </si>
  <si>
    <t>ES-EDU-2011-2021-02</t>
  </si>
  <si>
    <t>ES-HEA-1850-1944-01</t>
  </si>
  <si>
    <t>ES-HEA-1945-1969-01</t>
  </si>
  <si>
    <t>ES-HEA-1970-1979-01</t>
  </si>
  <si>
    <t>ES-HEA-1980-1989-01</t>
  </si>
  <si>
    <t>ES-HEA-1990-1999-01</t>
  </si>
  <si>
    <t>ES-HEA-2000-2010-01</t>
  </si>
  <si>
    <t>ES-HEA-2011-2021-01</t>
  </si>
  <si>
    <t>ES-HEA-1850-1944-02</t>
  </si>
  <si>
    <t>ES-HEA-1945-1969-02</t>
  </si>
  <si>
    <t>ES-HEA-1970-1979-02</t>
  </si>
  <si>
    <t>ES-HEA-1980-1989-02</t>
  </si>
  <si>
    <t>ES-HEA-1990-1999-02</t>
  </si>
  <si>
    <t>ES-HEA-2000-2010-02</t>
  </si>
  <si>
    <t>ES-HEA-2011-2021-02</t>
  </si>
  <si>
    <t>ES-HOR-1850-1944-01</t>
  </si>
  <si>
    <t>ES-HOR-1945-1969-01</t>
  </si>
  <si>
    <t>ES-HOR-1970-1979-01</t>
  </si>
  <si>
    <t>ES-HOR-1980-1989-01</t>
  </si>
  <si>
    <t>ES-HOR-1990-1999-01</t>
  </si>
  <si>
    <t>ES-HOR-2000-2010-01</t>
  </si>
  <si>
    <t>ES-HOR-2011-2021-01</t>
  </si>
  <si>
    <t>ES-HOR-1850-1944-02</t>
  </si>
  <si>
    <t>ES-HOR-1945-1969-02</t>
  </si>
  <si>
    <t>ES-HOR-1970-1979-02</t>
  </si>
  <si>
    <t>ES-HOR-1980-1989-02</t>
  </si>
  <si>
    <t>ES-HOR-1990-1999-02</t>
  </si>
  <si>
    <t>ES-HOR-2000-2010-02</t>
  </si>
  <si>
    <t>ES-HOR-2011-2021-02</t>
  </si>
  <si>
    <t>ES-OTH-1850-1944-01</t>
  </si>
  <si>
    <t>ES-OTH-1945-1969-01</t>
  </si>
  <si>
    <t>ES-OTH-1970-1979-01</t>
  </si>
  <si>
    <t>ES-OTH-1980-1989-01</t>
  </si>
  <si>
    <t>ES-OTH-1990-1999-01</t>
  </si>
  <si>
    <t>ES-OTH-2000-2010-01</t>
  </si>
  <si>
    <t>ES-OTH-2011-2021-01</t>
  </si>
  <si>
    <t>ES-OTH-1850-1944-02</t>
  </si>
  <si>
    <t>ES-OTH-1945-1969-02</t>
  </si>
  <si>
    <t>ES-OTH-1970-1979-02</t>
  </si>
  <si>
    <t>ES-OTH-1980-1989-02</t>
  </si>
  <si>
    <t>ES-OTH-1990-1999-02</t>
  </si>
  <si>
    <t>ES-OTH-2000-2010-02</t>
  </si>
  <si>
    <t>ES-OTH-2011-2021-02</t>
  </si>
  <si>
    <t>FI-OFF-1850-1944-01</t>
  </si>
  <si>
    <t>FI</t>
  </si>
  <si>
    <t>FI-OFF-1945-1969-01</t>
  </si>
  <si>
    <t>FI-OFF-1970-1979-01</t>
  </si>
  <si>
    <t>FI-OFF-1980-1989-01</t>
  </si>
  <si>
    <t>FI-OFF-1990-1999-01</t>
  </si>
  <si>
    <t>FI-OFF-2000-2010-01</t>
  </si>
  <si>
    <t>FI-OFF-2011-2021-01</t>
  </si>
  <si>
    <t>FI-OFF-1850-1944-02</t>
  </si>
  <si>
    <t>FI-OFF-1945-1969-02</t>
  </si>
  <si>
    <t>FI-OFF-1970-1979-02</t>
  </si>
  <si>
    <t>FI-OFF-1980-1989-02</t>
  </si>
  <si>
    <t>FI-OFF-1990-1999-02</t>
  </si>
  <si>
    <t>FI-OFF-2000-2010-02</t>
  </si>
  <si>
    <t>FI-OFF-2011-2021-02</t>
  </si>
  <si>
    <t>FI-TRA-1850-1944-01</t>
  </si>
  <si>
    <t>FI-TRA-1945-1969-01</t>
  </si>
  <si>
    <t>FI-TRA-1970-1979-01</t>
  </si>
  <si>
    <t>FI-TRA-1980-1989-01</t>
  </si>
  <si>
    <t>FI-TRA-1990-1999-01</t>
  </si>
  <si>
    <t>FI-TRA-2000-2010-01</t>
  </si>
  <si>
    <t>FI-TRA-2011-2021-01</t>
  </si>
  <si>
    <t>FI-TRA-1850-1944-02</t>
  </si>
  <si>
    <t>FI-TRA-1945-1969-02</t>
  </si>
  <si>
    <t>FI-TRA-1970-1979-02</t>
  </si>
  <si>
    <t>FI-TRA-1980-1989-02</t>
  </si>
  <si>
    <t>FI-TRA-1990-1999-02</t>
  </si>
  <si>
    <t>FI-TRA-2000-2010-02</t>
  </si>
  <si>
    <t>FI-TRA-2011-2021-02</t>
  </si>
  <si>
    <t>FI-EDU-1850-1944-01</t>
  </si>
  <si>
    <t>FI-EDU-1945-1969-01</t>
  </si>
  <si>
    <t>FI-EDU-1970-1979-01</t>
  </si>
  <si>
    <t>FI-EDU-1980-1989-01</t>
  </si>
  <si>
    <t>FI-EDU-1990-1999-01</t>
  </si>
  <si>
    <t>FI-EDU-2000-2010-01</t>
  </si>
  <si>
    <t>FI-EDU-2011-2021-01</t>
  </si>
  <si>
    <t>FI-EDU-1850-1944-02</t>
  </si>
  <si>
    <t>FI-EDU-1945-1969-02</t>
  </si>
  <si>
    <t>FI-EDU-1970-1979-02</t>
  </si>
  <si>
    <t>FI-EDU-1980-1989-02</t>
  </si>
  <si>
    <t>FI-EDU-1990-1999-02</t>
  </si>
  <si>
    <t>FI-EDU-2000-2010-02</t>
  </si>
  <si>
    <t>FI-EDU-2011-2021-02</t>
  </si>
  <si>
    <t>FI-HEA-1850-1944-01</t>
  </si>
  <si>
    <t>FI-HEA-1945-1969-01</t>
  </si>
  <si>
    <t>FI-HEA-1970-1979-01</t>
  </si>
  <si>
    <t>FI-HEA-1980-1989-01</t>
  </si>
  <si>
    <t>FI-HEA-1990-1999-01</t>
  </si>
  <si>
    <t>FI-HEA-2000-2010-01</t>
  </si>
  <si>
    <t>FI-HEA-2011-2021-01</t>
  </si>
  <si>
    <t>FI-HEA-1850-1944-02</t>
  </si>
  <si>
    <t>FI-HEA-1945-1969-02</t>
  </si>
  <si>
    <t>FI-HEA-1970-1979-02</t>
  </si>
  <si>
    <t>FI-HEA-1980-1989-02</t>
  </si>
  <si>
    <t>FI-HEA-1990-1999-02</t>
  </si>
  <si>
    <t>FI-HEA-2000-2010-02</t>
  </si>
  <si>
    <t>FI-HEA-2011-2021-02</t>
  </si>
  <si>
    <t>FI-HOR-1850-1944-01</t>
  </si>
  <si>
    <t>FI-HOR-1945-1969-01</t>
  </si>
  <si>
    <t>FI-HOR-1970-1979-01</t>
  </si>
  <si>
    <t>FI-HOR-1980-1989-01</t>
  </si>
  <si>
    <t>FI-HOR-1990-1999-01</t>
  </si>
  <si>
    <t>FI-HOR-2000-2010-01</t>
  </si>
  <si>
    <t>FI-HOR-2011-2021-01</t>
  </si>
  <si>
    <t>FI-HOR-1850-1944-02</t>
  </si>
  <si>
    <t>FI-HOR-1945-1969-02</t>
  </si>
  <si>
    <t>FI-HOR-1970-1979-02</t>
  </si>
  <si>
    <t>FI-HOR-1980-1989-02</t>
  </si>
  <si>
    <t>FI-HOR-1990-1999-02</t>
  </si>
  <si>
    <t>FI-HOR-2000-2010-02</t>
  </si>
  <si>
    <t>FI-HOR-2011-2021-02</t>
  </si>
  <si>
    <t>FI-OTH-1850-1944-01</t>
  </si>
  <si>
    <t>FI-OTH-1945-1969-01</t>
  </si>
  <si>
    <t>FI-OTH-1970-1979-01</t>
  </si>
  <si>
    <t>FI-OTH-1980-1989-01</t>
  </si>
  <si>
    <t>FI-OTH-1990-1999-01</t>
  </si>
  <si>
    <t>FI-OTH-2000-2010-01</t>
  </si>
  <si>
    <t>FI-OTH-2011-2021-01</t>
  </si>
  <si>
    <t>FI-OTH-1850-1944-02</t>
  </si>
  <si>
    <t>FI-OTH-1945-1969-02</t>
  </si>
  <si>
    <t>FI-OTH-1970-1979-02</t>
  </si>
  <si>
    <t>FI-OTH-1980-1989-02</t>
  </si>
  <si>
    <t>FI-OTH-1990-1999-02</t>
  </si>
  <si>
    <t>FI-OTH-2000-2010-02</t>
  </si>
  <si>
    <t>FI-OTH-2011-2021-02</t>
  </si>
  <si>
    <t>FR-OFF-1850-1944-00</t>
  </si>
  <si>
    <t>FR</t>
  </si>
  <si>
    <t>FR-OFF-1945-1969-00</t>
  </si>
  <si>
    <t>FR-OFF-1970-1979-00</t>
  </si>
  <si>
    <t>FR-OFF-1980-1989-00</t>
  </si>
  <si>
    <t>FR-OFF-1990-1999-00</t>
  </si>
  <si>
    <t>FR-OFF-2000-2010-00</t>
  </si>
  <si>
    <t>FR-OFF-2011-2021-00</t>
  </si>
  <si>
    <t>FR-TRA-1850-1944-01</t>
  </si>
  <si>
    <t>FR-TRA-1945-1969-01</t>
  </si>
  <si>
    <t>FR-TRA-1970-1979-01</t>
  </si>
  <si>
    <t>FR-TRA-1980-1989-01</t>
  </si>
  <si>
    <t>FR-TRA-1990-1999-01</t>
  </si>
  <si>
    <t>FR-TRA-2000-2010-01</t>
  </si>
  <si>
    <t>FR-TRA-2011-2021-01</t>
  </si>
  <si>
    <t>FR-TRA-1850-1944-02</t>
  </si>
  <si>
    <t>FR-TRA-1945-1969-02</t>
  </si>
  <si>
    <t>FR-TRA-1970-1979-02</t>
  </si>
  <si>
    <t>FR-TRA-1980-1989-02</t>
  </si>
  <si>
    <t>FR-TRA-1990-1999-02</t>
  </si>
  <si>
    <t>FR-TRA-2000-2010-02</t>
  </si>
  <si>
    <t>FR-TRA-2011-2021-02</t>
  </si>
  <si>
    <t>FR-EDU-1850-1944-00</t>
  </si>
  <si>
    <t>FR-EDU-1945-1969-00</t>
  </si>
  <si>
    <t>FR-EDU-1970-1979-00</t>
  </si>
  <si>
    <t>FR-EDU-1980-1989-00</t>
  </si>
  <si>
    <t>FR-EDU-1990-1999-00</t>
  </si>
  <si>
    <t>FR-EDU-2000-2010-00</t>
  </si>
  <si>
    <t>FR-EDU-2011-2021-00</t>
  </si>
  <si>
    <t>FR-HEA-1850-1944-00</t>
  </si>
  <si>
    <t>FR-HEA-1945-1969-00</t>
  </si>
  <si>
    <t>FR-HEA-1970-1979-00</t>
  </si>
  <si>
    <t>FR-HEA-1980-1989-00</t>
  </si>
  <si>
    <t>FR-HEA-1990-1999-00</t>
  </si>
  <si>
    <t>FR-HEA-2000-2010-00</t>
  </si>
  <si>
    <t>FR-HEA-2011-2021-00</t>
  </si>
  <si>
    <t>FR-HOR-1850-1944-01</t>
  </si>
  <si>
    <t>FR-HOR-1945-1969-01</t>
  </si>
  <si>
    <t>FR-HOR-1970-1979-01</t>
  </si>
  <si>
    <t>FR-HOR-1980-1989-01</t>
  </si>
  <si>
    <t>FR-HOR-1990-1999-01</t>
  </si>
  <si>
    <t>FR-HOR-2000-2010-01</t>
  </si>
  <si>
    <t>FR-HOR-2011-2021-01</t>
  </si>
  <si>
    <t>FR-HOR-1850-1944-02</t>
  </si>
  <si>
    <t>FR-HOR-1945-1969-02</t>
  </si>
  <si>
    <t>FR-HOR-1970-1979-02</t>
  </si>
  <si>
    <t>FR-HOR-1980-1989-02</t>
  </si>
  <si>
    <t>FR-HOR-1990-1999-02</t>
  </si>
  <si>
    <t>FR-HOR-2000-2010-02</t>
  </si>
  <si>
    <t>FR-HOR-2011-2021-02</t>
  </si>
  <si>
    <t>FR-OTH-1850-1944-00</t>
  </si>
  <si>
    <t>FR-OTH-1945-1969-00</t>
  </si>
  <si>
    <t>FR-OTH-1970-1979-00</t>
  </si>
  <si>
    <t>FR-OTH-1980-1989-00</t>
  </si>
  <si>
    <t>FR-OTH-1990-1999-00</t>
  </si>
  <si>
    <t>FR-OTH-2000-2010-00</t>
  </si>
  <si>
    <t>FR-OTH-2011-2021-00</t>
  </si>
  <si>
    <t>HR-OFF-1850-1944-00</t>
  </si>
  <si>
    <t>HR</t>
  </si>
  <si>
    <t>HR-OFF-1945-1969-00</t>
  </si>
  <si>
    <t>HR-OFF-1970-1979-00</t>
  </si>
  <si>
    <t>HR-OFF-1980-1989-00</t>
  </si>
  <si>
    <t>HR-OFF-1990-1999-00</t>
  </si>
  <si>
    <t>HR-OFF-2000-2010-00</t>
  </si>
  <si>
    <t>HR-OFF-2011-2021-00</t>
  </si>
  <si>
    <t>HR-TRA-1850-1944-00</t>
  </si>
  <si>
    <t>HR-TRA-1945-1969-00</t>
  </si>
  <si>
    <t>HR-TRA-1970-1979-00</t>
  </si>
  <si>
    <t>HR-TRA-1980-1989-00</t>
  </si>
  <si>
    <t>HR-TRA-1990-1999-00</t>
  </si>
  <si>
    <t>HR-TRA-2000-2010-00</t>
  </si>
  <si>
    <t>HR-TRA-2011-2021-00</t>
  </si>
  <si>
    <t>HR-EDU-1850-1944-00</t>
  </si>
  <si>
    <t>HR-EDU-1945-1969-00</t>
  </si>
  <si>
    <t>HR-EDU-1970-1979-00</t>
  </si>
  <si>
    <t>HR-EDU-1980-1989-00</t>
  </si>
  <si>
    <t>HR-EDU-1990-1999-00</t>
  </si>
  <si>
    <t>HR-EDU-2000-2010-00</t>
  </si>
  <si>
    <t>HR-EDU-2011-2021-00</t>
  </si>
  <si>
    <t>HR-HEA-1850-1944-00</t>
  </si>
  <si>
    <t>HR-HEA-1945-1969-00</t>
  </si>
  <si>
    <t>HR-HEA-1970-1979-00</t>
  </si>
  <si>
    <t>HR-HEA-1980-1989-00</t>
  </si>
  <si>
    <t>HR-HEA-1990-1999-00</t>
  </si>
  <si>
    <t>HR-HEA-2000-2010-00</t>
  </si>
  <si>
    <t>HR-HEA-2011-2021-00</t>
  </si>
  <si>
    <t>HR-HOR-1850-1944-01</t>
  </si>
  <si>
    <t>HR-HOR-1945-1969-01</t>
  </si>
  <si>
    <t>HR-HOR-1970-1979-01</t>
  </si>
  <si>
    <t>HR-HOR-1980-1989-01</t>
  </si>
  <si>
    <t>HR-HOR-1990-1999-01</t>
  </si>
  <si>
    <t>HR-HOR-2000-2010-01</t>
  </si>
  <si>
    <t>HR-HOR-2011-2021-01</t>
  </si>
  <si>
    <t>HR-HOR-1850-1944-02</t>
  </si>
  <si>
    <t>HR-HOR-1945-1969-02</t>
  </si>
  <si>
    <t>HR-HOR-1970-1979-02</t>
  </si>
  <si>
    <t>HR-HOR-1980-1989-02</t>
  </si>
  <si>
    <t>HR-HOR-1990-1999-02</t>
  </si>
  <si>
    <t>HR-HOR-2000-2010-02</t>
  </si>
  <si>
    <t>HR-HOR-2011-2021-02</t>
  </si>
  <si>
    <t>HR-OTH-1850-1944-00</t>
  </si>
  <si>
    <t>HR-OTH-1945-1969-00</t>
  </si>
  <si>
    <t>HR-OTH-1970-1979-00</t>
  </si>
  <si>
    <t>HR-OTH-1980-1989-00</t>
  </si>
  <si>
    <t>HR-OTH-1990-1999-00</t>
  </si>
  <si>
    <t>HR-OTH-2000-2010-00</t>
  </si>
  <si>
    <t>HR-OTH-2011-2021-00</t>
  </si>
  <si>
    <t>HU-OFF-1850-1944-00</t>
  </si>
  <si>
    <t>HU</t>
  </si>
  <si>
    <t>HU-OFF-1945-1969-00</t>
  </si>
  <si>
    <t>HU-OFF-1970-1979-00</t>
  </si>
  <si>
    <t>HU-OFF-1980-1989-00</t>
  </si>
  <si>
    <t>HU-OFF-1990-1999-00</t>
  </si>
  <si>
    <t>HU-OFF-2000-2010-00</t>
  </si>
  <si>
    <t>HU-OFF-2011-2021-00</t>
  </si>
  <si>
    <t>HU-TRA-1850-1944-00</t>
  </si>
  <si>
    <t>HU-TRA-1945-1969-00</t>
  </si>
  <si>
    <t>HU-TRA-1970-1979-00</t>
  </si>
  <si>
    <t>HU-TRA-1980-1989-00</t>
  </si>
  <si>
    <t>HU-TRA-1990-1999-00</t>
  </si>
  <si>
    <t>HU-TRA-2000-2010-00</t>
  </si>
  <si>
    <t>HU-TRA-2011-2021-00</t>
  </si>
  <si>
    <t>HU-EDU-1850-1944-00</t>
  </si>
  <si>
    <t>HU-EDU-1945-1969-00</t>
  </si>
  <si>
    <t>HU-EDU-1970-1979-00</t>
  </si>
  <si>
    <t>HU-EDU-1980-1989-00</t>
  </si>
  <si>
    <t>HU-EDU-1990-1999-00</t>
  </si>
  <si>
    <t>HU-EDU-2000-2010-00</t>
  </si>
  <si>
    <t>HU-EDU-2011-2021-00</t>
  </si>
  <si>
    <t>HU-HEA-1850-1944-00</t>
  </si>
  <si>
    <t>HU-HEA-1945-1969-00</t>
  </si>
  <si>
    <t>HU-HEA-1970-1979-00</t>
  </si>
  <si>
    <t>HU-HEA-1980-1989-00</t>
  </si>
  <si>
    <t>HU-HEA-1990-1999-00</t>
  </si>
  <si>
    <t>HU-HEA-2000-2010-00</t>
  </si>
  <si>
    <t>HU-HEA-2011-2021-00</t>
  </si>
  <si>
    <t>HU-HOR-1850-1944-01</t>
  </si>
  <si>
    <t>HU-HOR-1945-1969-01</t>
  </si>
  <si>
    <t>HU-HOR-1970-1979-01</t>
  </si>
  <si>
    <t>HU-HOR-1980-1989-01</t>
  </si>
  <si>
    <t>HU-HOR-1990-1999-01</t>
  </si>
  <si>
    <t>HU-HOR-2000-2010-01</t>
  </si>
  <si>
    <t>HU-HOR-2011-2021-01</t>
  </si>
  <si>
    <t>HU-HOR-1850-1944-02</t>
  </si>
  <si>
    <t>HU-HOR-1945-1969-02</t>
  </si>
  <si>
    <t>HU-HOR-1970-1979-02</t>
  </si>
  <si>
    <t>HU-HOR-1980-1989-02</t>
  </si>
  <si>
    <t>HU-HOR-1990-1999-02</t>
  </si>
  <si>
    <t>HU-HOR-2000-2010-02</t>
  </si>
  <si>
    <t>HU-HOR-2011-2021-02</t>
  </si>
  <si>
    <t>HU-OTH-1850-1944-00</t>
  </si>
  <si>
    <t>HU-OTH-1945-1969-00</t>
  </si>
  <si>
    <t>HU-OTH-1970-1979-00</t>
  </si>
  <si>
    <t>HU-OTH-1980-1989-00</t>
  </si>
  <si>
    <t>HU-OTH-1990-1999-00</t>
  </si>
  <si>
    <t>HU-OTH-2000-2010-00</t>
  </si>
  <si>
    <t>HU-OTH-2011-2021-00</t>
  </si>
  <si>
    <t>IE-OFF-1850-1944-00</t>
  </si>
  <si>
    <t>IE</t>
  </si>
  <si>
    <t>IE-OFF-1945-1969-00</t>
  </si>
  <si>
    <t>IE-OFF-1970-1979-00</t>
  </si>
  <si>
    <t>IE-OFF-1980-1989-00</t>
  </si>
  <si>
    <t>IE-OFF-1990-1999-00</t>
  </si>
  <si>
    <t>IE-OFF-2000-2010-00</t>
  </si>
  <si>
    <t>IE-OFF-2011-2021-00</t>
  </si>
  <si>
    <t>IE-TRA-1850-1944-01</t>
  </si>
  <si>
    <t>IE-TRA-1945-1969-01</t>
  </si>
  <si>
    <t>IE-TRA-1970-1979-01</t>
  </si>
  <si>
    <t>IE-TRA-1980-1989-01</t>
  </si>
  <si>
    <t>IE-TRA-1990-1999-01</t>
  </si>
  <si>
    <t>IE-TRA-2000-2010-01</t>
  </si>
  <si>
    <t>IE-TRA-2011-2021-01</t>
  </si>
  <si>
    <t>IE-TRA-1850-1944-02</t>
  </si>
  <si>
    <t>IE-TRA-1945-1969-02</t>
  </si>
  <si>
    <t>IE-TRA-1970-1979-02</t>
  </si>
  <si>
    <t>IE-TRA-1980-1989-02</t>
  </si>
  <si>
    <t>IE-TRA-1990-1999-02</t>
  </si>
  <si>
    <t>IE-TRA-2000-2010-02</t>
  </si>
  <si>
    <t>IE-TRA-2011-2021-02</t>
  </si>
  <si>
    <t>IE-EDU-1850-1944-00</t>
  </si>
  <si>
    <t>IE-EDU-1945-1969-00</t>
  </si>
  <si>
    <t>IE-EDU-1970-1979-00</t>
  </si>
  <si>
    <t>IE-EDU-1980-1989-00</t>
  </si>
  <si>
    <t>IE-EDU-1990-1999-00</t>
  </si>
  <si>
    <t>IE-EDU-2000-2010-00</t>
  </si>
  <si>
    <t>IE-EDU-2011-2021-00</t>
  </si>
  <si>
    <t>IE-HEA-1850-1944-00</t>
  </si>
  <si>
    <t>IE-HEA-1945-1969-00</t>
  </si>
  <si>
    <t>IE-HEA-1970-1979-00</t>
  </si>
  <si>
    <t>IE-HEA-1980-1989-00</t>
  </si>
  <si>
    <t>IE-HEA-1990-1999-00</t>
  </si>
  <si>
    <t>IE-HEA-2000-2010-00</t>
  </si>
  <si>
    <t>IE-HEA-2011-2021-00</t>
  </si>
  <si>
    <t>IE-HOR-1850-1944-01</t>
  </si>
  <si>
    <t>IE-HOR-1945-1969-01</t>
  </si>
  <si>
    <t>IE-HOR-1970-1979-01</t>
  </si>
  <si>
    <t>IE-HOR-1980-1989-01</t>
  </si>
  <si>
    <t>IE-HOR-1990-1999-01</t>
  </si>
  <si>
    <t>IE-HOR-2000-2010-01</t>
  </si>
  <si>
    <t>IE-HOR-2011-2021-01</t>
  </si>
  <si>
    <t>IE-HOR-1850-1944-02</t>
  </si>
  <si>
    <t>IE-HOR-1945-1969-02</t>
  </si>
  <si>
    <t>IE-HOR-1970-1979-02</t>
  </si>
  <si>
    <t>IE-HOR-1980-1989-02</t>
  </si>
  <si>
    <t>IE-HOR-1990-1999-02</t>
  </si>
  <si>
    <t>IE-HOR-2000-2010-02</t>
  </si>
  <si>
    <t>IE-HOR-2011-2021-02</t>
  </si>
  <si>
    <t>IE-OTH-1850-1944-00</t>
  </si>
  <si>
    <t>IE-OTH-1945-1969-00</t>
  </si>
  <si>
    <t>IE-OTH-1970-1979-00</t>
  </si>
  <si>
    <t>IE-OTH-1980-1989-00</t>
  </si>
  <si>
    <t>IE-OTH-1990-1999-00</t>
  </si>
  <si>
    <t>IE-OTH-2000-2010-00</t>
  </si>
  <si>
    <t>IE-OTH-2011-2021-00</t>
  </si>
  <si>
    <t>IT-OFF-1850-1944-01</t>
  </si>
  <si>
    <t>IT</t>
  </si>
  <si>
    <t>IT-OFF-1945-1969-01</t>
  </si>
  <si>
    <t>IT-OFF-1970-1979-01</t>
  </si>
  <si>
    <t>IT-OFF-1980-1989-01</t>
  </si>
  <si>
    <t>IT-OFF-1990-1999-01</t>
  </si>
  <si>
    <t>IT-OFF-2000-2010-01</t>
  </si>
  <si>
    <t>IT-OFF-2011-2021-01</t>
  </si>
  <si>
    <t>IT-OFF-1850-1944-02</t>
  </si>
  <si>
    <t>IT-OFF-1945-1969-02</t>
  </si>
  <si>
    <t>IT-OFF-1970-1979-02</t>
  </si>
  <si>
    <t>IT-OFF-1980-1989-02</t>
  </si>
  <si>
    <t>IT-OFF-1990-1999-02</t>
  </si>
  <si>
    <t>IT-OFF-2000-2010-02</t>
  </si>
  <si>
    <t>IT-OFF-2011-2021-02</t>
  </si>
  <si>
    <t>IT-TRA-1850-1944-01</t>
  </si>
  <si>
    <t>IT-TRA-1945-1969-01</t>
  </si>
  <si>
    <t>IT-TRA-1970-1979-01</t>
  </si>
  <si>
    <t>IT-TRA-1980-1989-01</t>
  </si>
  <si>
    <t>IT-TRA-1990-1999-01</t>
  </si>
  <si>
    <t>IT-TRA-2000-2010-01</t>
  </si>
  <si>
    <t>IT-TRA-2011-2021-01</t>
  </si>
  <si>
    <t>IT-TRA-1850-1944-02</t>
  </si>
  <si>
    <t>IT-TRA-1945-1969-02</t>
  </si>
  <si>
    <t>IT-TRA-1970-1979-02</t>
  </si>
  <si>
    <t>IT-TRA-1980-1989-02</t>
  </si>
  <si>
    <t>IT-TRA-1990-1999-02</t>
  </si>
  <si>
    <t>IT-TRA-2000-2010-02</t>
  </si>
  <si>
    <t>IT-TRA-2011-2021-02</t>
  </si>
  <si>
    <t>IT-EDU-1850-1944-01</t>
  </si>
  <si>
    <t>IT-EDU-1945-1969-01</t>
  </si>
  <si>
    <t>IT-EDU-1970-1979-01</t>
  </si>
  <si>
    <t>IT-EDU-1980-1989-01</t>
  </si>
  <si>
    <t>IT-EDU-1990-1999-01</t>
  </si>
  <si>
    <t>IT-EDU-2000-2010-01</t>
  </si>
  <si>
    <t>IT-EDU-2011-2021-01</t>
  </si>
  <si>
    <t>IT-EDU-1850-1944-02</t>
  </si>
  <si>
    <t>IT-EDU-1945-1969-02</t>
  </si>
  <si>
    <t>IT-EDU-1970-1979-02</t>
  </si>
  <si>
    <t>IT-EDU-1980-1989-02</t>
  </si>
  <si>
    <t>IT-EDU-1990-1999-02</t>
  </si>
  <si>
    <t>IT-EDU-2000-2010-02</t>
  </si>
  <si>
    <t>IT-EDU-2011-2021-02</t>
  </si>
  <si>
    <t>IT-HEA-1850-1944-01</t>
  </si>
  <si>
    <t>IT-HEA-1945-1969-01</t>
  </si>
  <si>
    <t>IT-HEA-1970-1979-01</t>
  </si>
  <si>
    <t>IT-HEA-1980-1989-01</t>
  </si>
  <si>
    <t>IT-HEA-1990-1999-01</t>
  </si>
  <si>
    <t>IT-HEA-2000-2010-01</t>
  </si>
  <si>
    <t>IT-HEA-2011-2021-01</t>
  </si>
  <si>
    <t>IT-HEA-1850-1944-02</t>
  </si>
  <si>
    <t>IT-HEA-1945-1969-02</t>
  </si>
  <si>
    <t>IT-HEA-1970-1979-02</t>
  </si>
  <si>
    <t>IT-HEA-1980-1989-02</t>
  </si>
  <si>
    <t>IT-HEA-1990-1999-02</t>
  </si>
  <si>
    <t>IT-HEA-2000-2010-02</t>
  </si>
  <si>
    <t>IT-HEA-2011-2021-02</t>
  </si>
  <si>
    <t>IT-HOR-1850-1944-01</t>
  </si>
  <si>
    <t>IT-HOR-1945-1969-01</t>
  </si>
  <si>
    <t>IT-HOR-1970-1979-01</t>
  </si>
  <si>
    <t>IT-HOR-1980-1989-01</t>
  </si>
  <si>
    <t>IT-HOR-1990-1999-01</t>
  </si>
  <si>
    <t>IT-HOR-2000-2010-01</t>
  </si>
  <si>
    <t>IT-HOR-2011-2021-01</t>
  </si>
  <si>
    <t>IT-HOR-1850-1944-02</t>
  </si>
  <si>
    <t>IT-HOR-1945-1969-02</t>
  </si>
  <si>
    <t>IT-HOR-1970-1979-02</t>
  </si>
  <si>
    <t>IT-HOR-1980-1989-02</t>
  </si>
  <si>
    <t>IT-HOR-1990-1999-02</t>
  </si>
  <si>
    <t>IT-HOR-2000-2010-02</t>
  </si>
  <si>
    <t>IT-HOR-2011-2021-02</t>
  </si>
  <si>
    <t>IT-OTH-1850-1944-01</t>
  </si>
  <si>
    <t>IT-OTH-1945-1969-01</t>
  </si>
  <si>
    <t>IT-OTH-1970-1979-01</t>
  </si>
  <si>
    <t>IT-OTH-1980-1989-01</t>
  </si>
  <si>
    <t>IT-OTH-1990-1999-01</t>
  </si>
  <si>
    <t>IT-OTH-2000-2010-01</t>
  </si>
  <si>
    <t>IT-OTH-2011-2021-01</t>
  </si>
  <si>
    <t>IT-OTH-1850-1944-02</t>
  </si>
  <si>
    <t>IT-OTH-1945-1969-02</t>
  </si>
  <si>
    <t>IT-OTH-1970-1979-02</t>
  </si>
  <si>
    <t>IT-OTH-1980-1989-02</t>
  </si>
  <si>
    <t>IT-OTH-1990-1999-02</t>
  </si>
  <si>
    <t>IT-OTH-2000-2010-02</t>
  </si>
  <si>
    <t>IT-OTH-2011-2021-02</t>
  </si>
  <si>
    <t>LT-OFF-1850-1944-01</t>
  </si>
  <si>
    <t>LT</t>
  </si>
  <si>
    <t>LT-OFF-1945-1969-01</t>
  </si>
  <si>
    <t>LT-OFF-1970-1979-01</t>
  </si>
  <si>
    <t>LT-OFF-1980-1989-01</t>
  </si>
  <si>
    <t>LT-OFF-1990-1999-01</t>
  </si>
  <si>
    <t>LT-OFF-2000-2010-01</t>
  </si>
  <si>
    <t>LT-OFF-2011-2021-01</t>
  </si>
  <si>
    <t>LT-OFF-1850-1944-02</t>
  </si>
  <si>
    <t>LT-OFF-1945-1969-02</t>
  </si>
  <si>
    <t>LT-OFF-1970-1979-02</t>
  </si>
  <si>
    <t>LT-OFF-1980-1989-02</t>
  </si>
  <si>
    <t>LT-OFF-1990-1999-02</t>
  </si>
  <si>
    <t>LT-OFF-2000-2010-02</t>
  </si>
  <si>
    <t>LT-OFF-2011-2021-02</t>
  </si>
  <si>
    <t>LT-TRA-1850-1944-01</t>
  </si>
  <si>
    <t>LT-TRA-1945-1969-01</t>
  </si>
  <si>
    <t>LT-TRA-1970-1979-01</t>
  </si>
  <si>
    <t>LT-TRA-1980-1989-01</t>
  </si>
  <si>
    <t>LT-TRA-1990-1999-01</t>
  </si>
  <si>
    <t>LT-TRA-2000-2010-01</t>
  </si>
  <si>
    <t>LT-TRA-2011-2021-01</t>
  </si>
  <si>
    <t>LT-TRA-1850-1944-02</t>
  </si>
  <si>
    <t>LT-TRA-1945-1969-02</t>
  </si>
  <si>
    <t>LT-TRA-1970-1979-02</t>
  </si>
  <si>
    <t>LT-TRA-1980-1989-02</t>
  </si>
  <si>
    <t>LT-TRA-1990-1999-02</t>
  </si>
  <si>
    <t>LT-TRA-2000-2010-02</t>
  </si>
  <si>
    <t>LT-TRA-2011-2021-02</t>
  </si>
  <si>
    <t>LT-EDU-1850-1944-01</t>
  </si>
  <si>
    <t>LT-EDU-1945-1969-01</t>
  </si>
  <si>
    <t>LT-EDU-1970-1979-01</t>
  </si>
  <si>
    <t>LT-EDU-1980-1989-01</t>
  </si>
  <si>
    <t>LT-EDU-1990-1999-01</t>
  </si>
  <si>
    <t>LT-EDU-2000-2010-01</t>
  </si>
  <si>
    <t>LT-EDU-2011-2021-01</t>
  </si>
  <si>
    <t>LT-EDU-1850-1944-02</t>
  </si>
  <si>
    <t>LT-EDU-1945-1969-02</t>
  </si>
  <si>
    <t>LT-EDU-1970-1979-02</t>
  </si>
  <si>
    <t>LT-EDU-1980-1989-02</t>
  </si>
  <si>
    <t>LT-EDU-1990-1999-02</t>
  </si>
  <si>
    <t>LT-EDU-2000-2010-02</t>
  </si>
  <si>
    <t>LT-EDU-2011-2021-02</t>
  </si>
  <si>
    <t>LT-HEA-1850-1944-01</t>
  </si>
  <si>
    <t>LT-HEA-1945-1969-01</t>
  </si>
  <si>
    <t>LT-HEA-1970-1979-01</t>
  </si>
  <si>
    <t>LT-HEA-1980-1989-01</t>
  </si>
  <si>
    <t>LT-HEA-1990-1999-01</t>
  </si>
  <si>
    <t>LT-HEA-2000-2010-01</t>
  </si>
  <si>
    <t>LT-HEA-2011-2021-01</t>
  </si>
  <si>
    <t>LT-HEA-1850-1944-02</t>
  </si>
  <si>
    <t>LT-HEA-1945-1969-02</t>
  </si>
  <si>
    <t>LT-HEA-1970-1979-02</t>
  </si>
  <si>
    <t>LT-HEA-1980-1989-02</t>
  </si>
  <si>
    <t>LT-HEA-1990-1999-02</t>
  </si>
  <si>
    <t>LT-HEA-2000-2010-02</t>
  </si>
  <si>
    <t>LT-HEA-2011-2021-02</t>
  </si>
  <si>
    <t>LT-HOR-1850-1944-01</t>
  </si>
  <si>
    <t>LT-HOR-1945-1969-01</t>
  </si>
  <si>
    <t>LT-HOR-1970-1979-01</t>
  </si>
  <si>
    <t>LT-HOR-1980-1989-01</t>
  </si>
  <si>
    <t>LT-HOR-1990-1999-01</t>
  </si>
  <si>
    <t>LT-HOR-2000-2010-01</t>
  </si>
  <si>
    <t>LT-HOR-2011-2021-01</t>
  </si>
  <si>
    <t>LT-HOR-1850-1944-02</t>
  </si>
  <si>
    <t>LT-HOR-1945-1969-02</t>
  </si>
  <si>
    <t>LT-HOR-1970-1979-02</t>
  </si>
  <si>
    <t>LT-HOR-1980-1989-02</t>
  </si>
  <si>
    <t>LT-HOR-1990-1999-02</t>
  </si>
  <si>
    <t>LT-HOR-2000-2010-02</t>
  </si>
  <si>
    <t>LT-HOR-2011-2021-02</t>
  </si>
  <si>
    <t>LT-OTH-1850-1944-01</t>
  </si>
  <si>
    <t>LT-OTH-1945-1969-01</t>
  </si>
  <si>
    <t>LT-OTH-1970-1979-01</t>
  </si>
  <si>
    <t>LT-OTH-1980-1989-01</t>
  </si>
  <si>
    <t>LT-OTH-1990-1999-01</t>
  </si>
  <si>
    <t>LT-OTH-2000-2010-01</t>
  </si>
  <si>
    <t>LT-OTH-2011-2021-01</t>
  </si>
  <si>
    <t>LT-OTH-1850-1944-02</t>
  </si>
  <si>
    <t>LT-OTH-1945-1969-02</t>
  </si>
  <si>
    <t>LT-OTH-1970-1979-02</t>
  </si>
  <si>
    <t>LT-OTH-1980-1989-02</t>
  </si>
  <si>
    <t>LT-OTH-1990-1999-02</t>
  </si>
  <si>
    <t>LT-OTH-2000-2010-02</t>
  </si>
  <si>
    <t>LT-OTH-2011-2021-02</t>
  </si>
  <si>
    <t>LU-OFF-1850-1944-00</t>
  </si>
  <si>
    <t>LU</t>
  </si>
  <si>
    <t>LU-OFF-1945-1969-00</t>
  </si>
  <si>
    <t>LU-OFF-1970-1979-00</t>
  </si>
  <si>
    <t>LU-OFF-1980-1989-00</t>
  </si>
  <si>
    <t>LU-OFF-1990-1999-00</t>
  </si>
  <si>
    <t>LU-OFF-2000-2010-00</t>
  </si>
  <si>
    <t>LU-OFF-2011-2021-00</t>
  </si>
  <si>
    <t>LU-TRA-1850-1944-01</t>
  </si>
  <si>
    <t>LU-TRA-1945-1969-01</t>
  </si>
  <si>
    <t>LU-TRA-1970-1979-01</t>
  </si>
  <si>
    <t>LU-TRA-1980-1989-01</t>
  </si>
  <si>
    <t>LU-TRA-1990-1999-01</t>
  </si>
  <si>
    <t>LU-TRA-2000-2010-01</t>
  </si>
  <si>
    <t>LU-TRA-2011-2021-01</t>
  </si>
  <si>
    <t>LU-TRA-1850-1944-02</t>
  </si>
  <si>
    <t>LU-TRA-1945-1969-02</t>
  </si>
  <si>
    <t>LU-TRA-1970-1979-02</t>
  </si>
  <si>
    <t>LU-TRA-1980-1989-02</t>
  </si>
  <si>
    <t>LU-TRA-1990-1999-02</t>
  </si>
  <si>
    <t>LU-TRA-2000-2010-02</t>
  </si>
  <si>
    <t>LU-TRA-2011-2021-02</t>
  </si>
  <si>
    <t>LU-EDU-1850-1944-00</t>
  </si>
  <si>
    <t>LU-EDU-1945-1969-00</t>
  </si>
  <si>
    <t>LU-EDU-1970-1979-00</t>
  </si>
  <si>
    <t>LU-EDU-1980-1989-00</t>
  </si>
  <si>
    <t>LU-EDU-1990-1999-00</t>
  </si>
  <si>
    <t>LU-EDU-2000-2010-00</t>
  </si>
  <si>
    <t>LU-EDU-2011-2021-00</t>
  </si>
  <si>
    <t>LU-HEA-1850-1944-00</t>
  </si>
  <si>
    <t>LU-HEA-1945-1969-00</t>
  </si>
  <si>
    <t>LU-HEA-1970-1979-00</t>
  </si>
  <si>
    <t>LU-HEA-1980-1989-00</t>
  </si>
  <si>
    <t>LU-HEA-1990-1999-00</t>
  </si>
  <si>
    <t>LU-HEA-2000-2010-00</t>
  </si>
  <si>
    <t>LU-HEA-2011-2021-00</t>
  </si>
  <si>
    <t>LU-HOR-1850-1944-01</t>
  </si>
  <si>
    <t>LU-HOR-1945-1969-01</t>
  </si>
  <si>
    <t>LU-HOR-1970-1979-01</t>
  </si>
  <si>
    <t>LU-HOR-1980-1989-01</t>
  </si>
  <si>
    <t>LU-HOR-1990-1999-01</t>
  </si>
  <si>
    <t>LU-HOR-2000-2010-01</t>
  </si>
  <si>
    <t>LU-HOR-2011-2021-01</t>
  </si>
  <si>
    <t>LU-HOR-1850-1944-02</t>
  </si>
  <si>
    <t>LU-HOR-1945-1969-02</t>
  </si>
  <si>
    <t>LU-HOR-1970-1979-02</t>
  </si>
  <si>
    <t>LU-HOR-1980-1989-02</t>
  </si>
  <si>
    <t>LU-HOR-1990-1999-02</t>
  </si>
  <si>
    <t>LU-HOR-2000-2010-02</t>
  </si>
  <si>
    <t>LU-HOR-2011-2021-02</t>
  </si>
  <si>
    <t>LU-OTH-1850-1944-00</t>
  </si>
  <si>
    <t>LU-OTH-1945-1969-00</t>
  </si>
  <si>
    <t>LU-OTH-1970-1979-00</t>
  </si>
  <si>
    <t>LU-OTH-1980-1989-00</t>
  </si>
  <si>
    <t>LU-OTH-1990-1999-00</t>
  </si>
  <si>
    <t>LU-OTH-2000-2010-00</t>
  </si>
  <si>
    <t>LU-OTH-2011-2021-00</t>
  </si>
  <si>
    <t>LV-OFF-1850-1944-01</t>
  </si>
  <si>
    <t>LV</t>
  </si>
  <si>
    <t>LV-OFF-1945-1969-01</t>
  </si>
  <si>
    <t>LV-OFF-1970-1979-01</t>
  </si>
  <si>
    <t>LV-OFF-1980-1989-01</t>
  </si>
  <si>
    <t>LV-OFF-1990-1999-01</t>
  </si>
  <si>
    <t>LV-OFF-2000-2010-01</t>
  </si>
  <si>
    <t>LV-OFF-2011-2021-01</t>
  </si>
  <si>
    <t>LV-OFF-1850-1944-02</t>
  </si>
  <si>
    <t>LV-OFF-1945-1969-02</t>
  </si>
  <si>
    <t>LV-OFF-1970-1979-02</t>
  </si>
  <si>
    <t>LV-OFF-1980-1989-02</t>
  </si>
  <si>
    <t>LV-OFF-1990-1999-02</t>
  </si>
  <si>
    <t>LV-OFF-2000-2010-02</t>
  </si>
  <si>
    <t>LV-OFF-2011-2021-02</t>
  </si>
  <si>
    <t>LV-TRA-1850-1944-01</t>
  </si>
  <si>
    <t>LV-TRA-1945-1969-01</t>
  </si>
  <si>
    <t>LV-TRA-1970-1979-01</t>
  </si>
  <si>
    <t>LV-TRA-1980-1989-01</t>
  </si>
  <si>
    <t>LV-TRA-1990-1999-01</t>
  </si>
  <si>
    <t>LV-TRA-2000-2010-01</t>
  </si>
  <si>
    <t>LV-TRA-2011-2021-01</t>
  </si>
  <si>
    <t>LV-TRA-1850-1944-02</t>
  </si>
  <si>
    <t>LV-TRA-1945-1969-02</t>
  </si>
  <si>
    <t>LV-TRA-1970-1979-02</t>
  </si>
  <si>
    <t>LV-TRA-1980-1989-02</t>
  </si>
  <si>
    <t>LV-TRA-1990-1999-02</t>
  </si>
  <si>
    <t>LV-TRA-2000-2010-02</t>
  </si>
  <si>
    <t>LV-TRA-2011-2021-02</t>
  </si>
  <si>
    <t>LV-EDU-1850-1944-01</t>
  </si>
  <si>
    <t>LV-EDU-1945-1969-01</t>
  </si>
  <si>
    <t>LV-EDU-1970-1979-01</t>
  </si>
  <si>
    <t>LV-EDU-1980-1989-01</t>
  </si>
  <si>
    <t>LV-EDU-1990-1999-01</t>
  </si>
  <si>
    <t>LV-EDU-2000-2010-01</t>
  </si>
  <si>
    <t>LV-EDU-2011-2021-01</t>
  </si>
  <si>
    <t>LV-EDU-1850-1944-02</t>
  </si>
  <si>
    <t>LV-EDU-1945-1969-02</t>
  </si>
  <si>
    <t>LV-EDU-1970-1979-02</t>
  </si>
  <si>
    <t>LV-EDU-1980-1989-02</t>
  </si>
  <si>
    <t>LV-EDU-1990-1999-02</t>
  </si>
  <si>
    <t>LV-EDU-2000-2010-02</t>
  </si>
  <si>
    <t>LV-EDU-2011-2021-02</t>
  </si>
  <si>
    <t>LV-HEA-1850-1944-01</t>
  </si>
  <si>
    <t>LV-HEA-1945-1969-01</t>
  </si>
  <si>
    <t>LV-HEA-1970-1979-01</t>
  </si>
  <si>
    <t>LV-HEA-1980-1989-01</t>
  </si>
  <si>
    <t>LV-HEA-1990-1999-01</t>
  </si>
  <si>
    <t>LV-HEA-2000-2010-01</t>
  </si>
  <si>
    <t>LV-HEA-2011-2021-01</t>
  </si>
  <si>
    <t>LV-HEA-1850-1944-02</t>
  </si>
  <si>
    <t>LV-HEA-1945-1969-02</t>
  </si>
  <si>
    <t>LV-HEA-1970-1979-02</t>
  </si>
  <si>
    <t>LV-HEA-1980-1989-02</t>
  </si>
  <si>
    <t>LV-HEA-1990-1999-02</t>
  </si>
  <si>
    <t>LV-HEA-2000-2010-02</t>
  </si>
  <si>
    <t>LV-HEA-2011-2021-02</t>
  </si>
  <si>
    <t>LV-HOR-1850-1944-01</t>
  </si>
  <si>
    <t>LV-HOR-1945-1969-01</t>
  </si>
  <si>
    <t>LV-HOR-1970-1979-01</t>
  </si>
  <si>
    <t>LV-HOR-1980-1989-01</t>
  </si>
  <si>
    <t>LV-HOR-1990-1999-01</t>
  </si>
  <si>
    <t>LV-HOR-2000-2010-01</t>
  </si>
  <si>
    <t>LV-HOR-2011-2021-01</t>
  </si>
  <si>
    <t>LV-HOR-1850-1944-02</t>
  </si>
  <si>
    <t>LV-HOR-1945-1969-02</t>
  </si>
  <si>
    <t>LV-HOR-1970-1979-02</t>
  </si>
  <si>
    <t>LV-HOR-1980-1989-02</t>
  </si>
  <si>
    <t>LV-HOR-1990-1999-02</t>
  </si>
  <si>
    <t>LV-HOR-2000-2010-02</t>
  </si>
  <si>
    <t>LV-HOR-2011-2021-02</t>
  </si>
  <si>
    <t>LV-OTH-1850-1944-01</t>
  </si>
  <si>
    <t>LV-OTH-1945-1969-01</t>
  </si>
  <si>
    <t>LV-OTH-1970-1979-01</t>
  </si>
  <si>
    <t>LV-OTH-1980-1989-01</t>
  </si>
  <si>
    <t>LV-OTH-1990-1999-01</t>
  </si>
  <si>
    <t>LV-OTH-2000-2010-01</t>
  </si>
  <si>
    <t>LV-OTH-2011-2021-01</t>
  </si>
  <si>
    <t>LV-OTH-1850-1944-02</t>
  </si>
  <si>
    <t>LV-OTH-1945-1969-02</t>
  </si>
  <si>
    <t>LV-OTH-1970-1979-02</t>
  </si>
  <si>
    <t>LV-OTH-1980-1989-02</t>
  </si>
  <si>
    <t>LV-OTH-1990-1999-02</t>
  </si>
  <si>
    <t>LV-OTH-2000-2010-02</t>
  </si>
  <si>
    <t>LV-OTH-2011-2021-02</t>
  </si>
  <si>
    <t>MT-OFF-1850-1944-01</t>
  </si>
  <si>
    <t>MT</t>
  </si>
  <si>
    <t>MT-OFF-1945-1969-01</t>
  </si>
  <si>
    <t>MT-OFF-1970-1979-01</t>
  </si>
  <si>
    <t>MT-OFF-1980-1989-01</t>
  </si>
  <si>
    <t>MT-OFF-1990-1999-01</t>
  </si>
  <si>
    <t>MT-OFF-2000-2010-01</t>
  </si>
  <si>
    <t>MT-OFF-2011-2021-01</t>
  </si>
  <si>
    <t>MT-OFF-1850-1944-02</t>
  </si>
  <si>
    <t>MT-OFF-1945-1969-02</t>
  </si>
  <si>
    <t>MT-OFF-1970-1979-02</t>
  </si>
  <si>
    <t>MT-OFF-1980-1989-02</t>
  </si>
  <si>
    <t>MT-OFF-1990-1999-02</t>
  </si>
  <si>
    <t>MT-OFF-2000-2010-02</t>
  </si>
  <si>
    <t>MT-OFF-2011-2021-02</t>
  </si>
  <si>
    <t>MT-TRA-1850-1944-01</t>
  </si>
  <si>
    <t>MT-TRA-1945-1969-01</t>
  </si>
  <si>
    <t>MT-TRA-1970-1979-01</t>
  </si>
  <si>
    <t>MT-TRA-1980-1989-01</t>
  </si>
  <si>
    <t>MT-TRA-1990-1999-01</t>
  </si>
  <si>
    <t>MT-TRA-2000-2010-01</t>
  </si>
  <si>
    <t>MT-TRA-2011-2021-01</t>
  </si>
  <si>
    <t>MT-TRA-1850-1944-02</t>
  </si>
  <si>
    <t>MT-TRA-1945-1969-02</t>
  </si>
  <si>
    <t>MT-TRA-1970-1979-02</t>
  </si>
  <si>
    <t>MT-TRA-1980-1989-02</t>
  </si>
  <si>
    <t>MT-TRA-1990-1999-02</t>
  </si>
  <si>
    <t>MT-TRA-2000-2010-02</t>
  </si>
  <si>
    <t>MT-TRA-2011-2021-02</t>
  </si>
  <si>
    <t>MT-EDU-1850-1944-01</t>
  </si>
  <si>
    <t>MT-EDU-1945-1969-01</t>
  </si>
  <si>
    <t>MT-EDU-1970-1979-01</t>
  </si>
  <si>
    <t>MT-EDU-1980-1989-01</t>
  </si>
  <si>
    <t>MT-EDU-1990-1999-01</t>
  </si>
  <si>
    <t>MT-EDU-2000-2010-01</t>
  </si>
  <si>
    <t>MT-EDU-2011-2021-01</t>
  </si>
  <si>
    <t>MT-EDU-1850-1944-02</t>
  </si>
  <si>
    <t>MT-EDU-1945-1969-02</t>
  </si>
  <si>
    <t>MT-EDU-1970-1979-02</t>
  </si>
  <si>
    <t>MT-EDU-1980-1989-02</t>
  </si>
  <si>
    <t>MT-EDU-1990-1999-02</t>
  </si>
  <si>
    <t>MT-EDU-2000-2010-02</t>
  </si>
  <si>
    <t>MT-EDU-2011-2021-02</t>
  </si>
  <si>
    <t>MT-HEA-1850-1944-01</t>
  </si>
  <si>
    <t>MT-HEA-1945-1969-01</t>
  </si>
  <si>
    <t>MT-HEA-1970-1979-01</t>
  </si>
  <si>
    <t>MT-HEA-1980-1989-01</t>
  </si>
  <si>
    <t>MT-HEA-1990-1999-01</t>
  </si>
  <si>
    <t>MT-HEA-2000-2010-01</t>
  </si>
  <si>
    <t>MT-HEA-2011-2021-01</t>
  </si>
  <si>
    <t>MT-HEA-1850-1944-02</t>
  </si>
  <si>
    <t>MT-HEA-1945-1969-02</t>
  </si>
  <si>
    <t>MT-HEA-1970-1979-02</t>
  </si>
  <si>
    <t>MT-HEA-1980-1989-02</t>
  </si>
  <si>
    <t>MT-HEA-1990-1999-02</t>
  </si>
  <si>
    <t>MT-HEA-2000-2010-02</t>
  </si>
  <si>
    <t>MT-HEA-2011-2021-02</t>
  </si>
  <si>
    <t>MT-HOR-1850-1944-01</t>
  </si>
  <si>
    <t>MT-HOR-1945-1969-01</t>
  </si>
  <si>
    <t>MT-HOR-1970-1979-01</t>
  </si>
  <si>
    <t>MT-HOR-1980-1989-01</t>
  </si>
  <si>
    <t>MT-HOR-1990-1999-01</t>
  </si>
  <si>
    <t>MT-HOR-2000-2010-01</t>
  </si>
  <si>
    <t>MT-HOR-2011-2021-01</t>
  </si>
  <si>
    <t>MT-HOR-1850-1944-02</t>
  </si>
  <si>
    <t>MT-HOR-1945-1969-02</t>
  </si>
  <si>
    <t>MT-HOR-1970-1979-02</t>
  </si>
  <si>
    <t>MT-HOR-1980-1989-02</t>
  </si>
  <si>
    <t>MT-HOR-1990-1999-02</t>
  </si>
  <si>
    <t>MT-HOR-2000-2010-02</t>
  </si>
  <si>
    <t>MT-HOR-2011-2021-02</t>
  </si>
  <si>
    <t>MT-OTH-1850-1944-01</t>
  </si>
  <si>
    <t>MT-OTH-1945-1969-01</t>
  </si>
  <si>
    <t>MT-OTH-1970-1979-01</t>
  </si>
  <si>
    <t>MT-OTH-1980-1989-01</t>
  </si>
  <si>
    <t>MT-OTH-1990-1999-01</t>
  </si>
  <si>
    <t>MT-OTH-2000-2010-01</t>
  </si>
  <si>
    <t>MT-OTH-2011-2021-01</t>
  </si>
  <si>
    <t>MT-OTH-1850-1944-02</t>
  </si>
  <si>
    <t>MT-OTH-1945-1969-02</t>
  </si>
  <si>
    <t>MT-OTH-1970-1979-02</t>
  </si>
  <si>
    <t>MT-OTH-1980-1989-02</t>
  </si>
  <si>
    <t>MT-OTH-1990-1999-02</t>
  </si>
  <si>
    <t>MT-OTH-2000-2010-02</t>
  </si>
  <si>
    <t>MT-OTH-2011-2021-02</t>
  </si>
  <si>
    <t>NL-OFF-1850-1944-00</t>
  </si>
  <si>
    <t>NL</t>
  </si>
  <si>
    <t>Central gas condensing boiler after 2000</t>
  </si>
  <si>
    <t>NL-OFF-1945-1969-00</t>
  </si>
  <si>
    <t>NL-OFF-1970-1979-00</t>
  </si>
  <si>
    <t>NL-OFF-1980-1989-00</t>
  </si>
  <si>
    <t>NL-OFF-1990-1999-00</t>
  </si>
  <si>
    <t>NL-OFF-2000-2010-00</t>
  </si>
  <si>
    <t>NL-OFF-2011-2021-00</t>
  </si>
  <si>
    <t>NL-TRA-1850-1944-01</t>
  </si>
  <si>
    <t>NL-TRA-1945-1969-01</t>
  </si>
  <si>
    <t>NL-TRA-1970-1979-01</t>
  </si>
  <si>
    <t>NL-TRA-1980-1989-01</t>
  </si>
  <si>
    <t>NL-TRA-1990-1999-01</t>
  </si>
  <si>
    <t>NL-TRA-2000-2010-01</t>
  </si>
  <si>
    <t>NL-TRA-2011-2021-01</t>
  </si>
  <si>
    <t>NL-TRA-1850-1944-02</t>
  </si>
  <si>
    <t>NL-TRA-1945-1969-02</t>
  </si>
  <si>
    <t>NL-TRA-1970-1979-02</t>
  </si>
  <si>
    <t>NL-TRA-1980-1989-02</t>
  </si>
  <si>
    <t>NL-TRA-1990-1999-02</t>
  </si>
  <si>
    <t>NL-TRA-2000-2010-02</t>
  </si>
  <si>
    <t>NL-TRA-2011-2021-02</t>
  </si>
  <si>
    <t>NL-EDU-1850-1944-00</t>
  </si>
  <si>
    <t>NL-EDU-1945-1969-00</t>
  </si>
  <si>
    <t>NL-EDU-1970-1979-00</t>
  </si>
  <si>
    <t>NL-EDU-1980-1989-00</t>
  </si>
  <si>
    <t>NL-EDU-1990-1999-00</t>
  </si>
  <si>
    <t>NL-EDU-2000-2010-00</t>
  </si>
  <si>
    <t>NL-EDU-2011-2021-00</t>
  </si>
  <si>
    <t>NL-HEA-1850-1944-00</t>
  </si>
  <si>
    <t>NL-HEA-1945-1969-00</t>
  </si>
  <si>
    <t>NL-HEA-1970-1979-00</t>
  </si>
  <si>
    <t>NL-HEA-1980-1989-00</t>
  </si>
  <si>
    <t>NL-HEA-1990-1999-00</t>
  </si>
  <si>
    <t>NL-HEA-2000-2010-00</t>
  </si>
  <si>
    <t>NL-HEA-2011-2021-00</t>
  </si>
  <si>
    <t>NL-HOR-1850-1944-01</t>
  </si>
  <si>
    <t>NL-HOR-1945-1969-01</t>
  </si>
  <si>
    <t>NL-HOR-1970-1979-01</t>
  </si>
  <si>
    <t>NL-HOR-1980-1989-01</t>
  </si>
  <si>
    <t>NL-HOR-1990-1999-01</t>
  </si>
  <si>
    <t>NL-HOR-2000-2010-01</t>
  </si>
  <si>
    <t>NL-HOR-2011-2021-01</t>
  </si>
  <si>
    <t>NL-HOR-1850-1944-02</t>
  </si>
  <si>
    <t>NL-HOR-1945-1969-02</t>
  </si>
  <si>
    <t>NL-HOR-1970-1979-02</t>
  </si>
  <si>
    <t>NL-HOR-1980-1989-02</t>
  </si>
  <si>
    <t>NL-HOR-1990-1999-02</t>
  </si>
  <si>
    <t>NL-HOR-2000-2010-02</t>
  </si>
  <si>
    <t>NL-HOR-2011-2021-02</t>
  </si>
  <si>
    <t>NL-OTH-1850-1944-00</t>
  </si>
  <si>
    <t>NL-OTH-1945-1969-00</t>
  </si>
  <si>
    <t>NL-OTH-1970-1979-00</t>
  </si>
  <si>
    <t>NL-OTH-1980-1989-00</t>
  </si>
  <si>
    <t>NL-OTH-1990-1999-00</t>
  </si>
  <si>
    <t>NL-OTH-2000-2010-00</t>
  </si>
  <si>
    <t>NL-OTH-2011-2021-00</t>
  </si>
  <si>
    <t>PL-OFF-1850-1944-00</t>
  </si>
  <si>
    <t>PL</t>
  </si>
  <si>
    <t>PL-OFF-1945-1969-00</t>
  </si>
  <si>
    <t>PL-OFF-1970-1979-00</t>
  </si>
  <si>
    <t>PL-OFF-1980-1989-00</t>
  </si>
  <si>
    <t>PL-OFF-1990-1999-00</t>
  </si>
  <si>
    <t>PL-OFF-2000-2010-00</t>
  </si>
  <si>
    <t>PL-OFF-2011-2021-00</t>
  </si>
  <si>
    <t>PL-TRA-1850-1944-00</t>
  </si>
  <si>
    <t>PL-TRA-1945-1969-00</t>
  </si>
  <si>
    <t>PL-TRA-1970-1979-00</t>
  </si>
  <si>
    <t>PL-TRA-1980-1989-00</t>
  </si>
  <si>
    <t>PL-TRA-1990-1999-00</t>
  </si>
  <si>
    <t>PL-TRA-2000-2010-00</t>
  </si>
  <si>
    <t>PL-TRA-2011-2021-00</t>
  </si>
  <si>
    <t>PL-EDU-1850-1944-00</t>
  </si>
  <si>
    <t>PL-EDU-1945-1969-00</t>
  </si>
  <si>
    <t>PL-EDU-1970-1979-00</t>
  </si>
  <si>
    <t>PL-EDU-1980-1989-00</t>
  </si>
  <si>
    <t>PL-EDU-1990-1999-00</t>
  </si>
  <si>
    <t>PL-EDU-2000-2010-00</t>
  </si>
  <si>
    <t>PL-EDU-2011-2021-00</t>
  </si>
  <si>
    <t>PL-HEA-1850-1944-00</t>
  </si>
  <si>
    <t>PL-HEA-1945-1969-00</t>
  </si>
  <si>
    <t>PL-HEA-1970-1979-00</t>
  </si>
  <si>
    <t>PL-HEA-1980-1989-00</t>
  </si>
  <si>
    <t>PL-HEA-1990-1999-00</t>
  </si>
  <si>
    <t>PL-HEA-2000-2010-00</t>
  </si>
  <si>
    <t>PL-HEA-2011-2021-00</t>
  </si>
  <si>
    <t>PL-HOR-1850-1944-01</t>
  </si>
  <si>
    <t>PL-HOR-1945-1969-01</t>
  </si>
  <si>
    <t>PL-HOR-1970-1979-01</t>
  </si>
  <si>
    <t>PL-HOR-1980-1989-01</t>
  </si>
  <si>
    <t>PL-HOR-1990-1999-01</t>
  </si>
  <si>
    <t>PL-HOR-2000-2010-01</t>
  </si>
  <si>
    <t>PL-HOR-2011-2021-01</t>
  </si>
  <si>
    <t>PL-HOR-1850-1944-02</t>
  </si>
  <si>
    <t>PL-HOR-1945-1969-02</t>
  </si>
  <si>
    <t>PL-HOR-1970-1979-02</t>
  </si>
  <si>
    <t>PL-HOR-1980-1989-02</t>
  </si>
  <si>
    <t>PL-HOR-1990-1999-02</t>
  </si>
  <si>
    <t>PL-HOR-2000-2010-02</t>
  </si>
  <si>
    <t>PL-HOR-2011-2021-02</t>
  </si>
  <si>
    <t>PL-OTH-1850-1944-00</t>
  </si>
  <si>
    <t>PL-OTH-1945-1969-00</t>
  </si>
  <si>
    <t>PL-OTH-1970-1979-00</t>
  </si>
  <si>
    <t>PL-OTH-1980-1989-00</t>
  </si>
  <si>
    <t>PL-OTH-1990-1999-00</t>
  </si>
  <si>
    <t>PL-OTH-2000-2010-00</t>
  </si>
  <si>
    <t>PL-OTH-2011-2021-00</t>
  </si>
  <si>
    <t>PT-OFF-1850-1944-01</t>
  </si>
  <si>
    <t>PT</t>
  </si>
  <si>
    <t>PT-OFF-1945-1969-01</t>
  </si>
  <si>
    <t>PT-OFF-1970-1979-01</t>
  </si>
  <si>
    <t>PT-OFF-1980-1989-01</t>
  </si>
  <si>
    <t>PT-OFF-1990-1999-01</t>
  </si>
  <si>
    <t>PT-OFF-2000-2010-01</t>
  </si>
  <si>
    <t>PT-OFF-2011-2021-01</t>
  </si>
  <si>
    <t>PT-OFF-1850-1944-02</t>
  </si>
  <si>
    <t>PT-OFF-1945-1969-02</t>
  </si>
  <si>
    <t>PT-OFF-1970-1979-02</t>
  </si>
  <si>
    <t>PT-OFF-1980-1989-02</t>
  </si>
  <si>
    <t>PT-OFF-1990-1999-02</t>
  </si>
  <si>
    <t>PT-OFF-2000-2010-02</t>
  </si>
  <si>
    <t>PT-OFF-2011-2021-02</t>
  </si>
  <si>
    <t>PT-TRA-1850-1944-01</t>
  </si>
  <si>
    <t>PT-TRA-1945-1969-01</t>
  </si>
  <si>
    <t>PT-TRA-1970-1979-01</t>
  </si>
  <si>
    <t>PT-TRA-1980-1989-01</t>
  </si>
  <si>
    <t>PT-TRA-1990-1999-01</t>
  </si>
  <si>
    <t>PT-TRA-2000-2010-01</t>
  </si>
  <si>
    <t>PT-TRA-2011-2021-01</t>
  </si>
  <si>
    <t>PT-TRA-1850-1944-02</t>
  </si>
  <si>
    <t>PT-TRA-1945-1969-02</t>
  </si>
  <si>
    <t>PT-TRA-1970-1979-02</t>
  </si>
  <si>
    <t>PT-TRA-1980-1989-02</t>
  </si>
  <si>
    <t>PT-TRA-1990-1999-02</t>
  </si>
  <si>
    <t>PT-TRA-2000-2010-02</t>
  </si>
  <si>
    <t>PT-TRA-2011-2021-02</t>
  </si>
  <si>
    <t>PT-EDU-1850-1944-01</t>
  </si>
  <si>
    <t>PT-EDU-1945-1969-01</t>
  </si>
  <si>
    <t>PT-EDU-1970-1979-01</t>
  </si>
  <si>
    <t>PT-EDU-1980-1989-01</t>
  </si>
  <si>
    <t>PT-EDU-1990-1999-01</t>
  </si>
  <si>
    <t>PT-EDU-2000-2010-01</t>
  </si>
  <si>
    <t>PT-EDU-2011-2021-01</t>
  </si>
  <si>
    <t>PT-EDU-1850-1944-02</t>
  </si>
  <si>
    <t>PT-EDU-1945-1969-02</t>
  </si>
  <si>
    <t>PT-EDU-1970-1979-02</t>
  </si>
  <si>
    <t>PT-EDU-1980-1989-02</t>
  </si>
  <si>
    <t>PT-EDU-1990-1999-02</t>
  </si>
  <si>
    <t>PT-EDU-2000-2010-02</t>
  </si>
  <si>
    <t>PT-EDU-2011-2021-02</t>
  </si>
  <si>
    <t>PT-HEA-1850-1944-01</t>
  </si>
  <si>
    <t>PT-HEA-1945-1969-01</t>
  </si>
  <si>
    <t>PT-HEA-1970-1979-01</t>
  </si>
  <si>
    <t>PT-HEA-1980-1989-01</t>
  </si>
  <si>
    <t>PT-HEA-1990-1999-01</t>
  </si>
  <si>
    <t>PT-HEA-2000-2010-01</t>
  </si>
  <si>
    <t>PT-HEA-2011-2021-01</t>
  </si>
  <si>
    <t>PT-HEA-1850-1944-02</t>
  </si>
  <si>
    <t>PT-HEA-1945-1969-02</t>
  </si>
  <si>
    <t>PT-HEA-1970-1979-02</t>
  </si>
  <si>
    <t>PT-HEA-1980-1989-02</t>
  </si>
  <si>
    <t>PT-HEA-1990-1999-02</t>
  </si>
  <si>
    <t>PT-HEA-2000-2010-02</t>
  </si>
  <si>
    <t>PT-HEA-2011-2021-02</t>
  </si>
  <si>
    <t>PT-HOR-1850-1944-01</t>
  </si>
  <si>
    <t>PT-HOR-1945-1969-01</t>
  </si>
  <si>
    <t>PT-HOR-1970-1979-01</t>
  </si>
  <si>
    <t>PT-HOR-1980-1989-01</t>
  </si>
  <si>
    <t>PT-HOR-1990-1999-01</t>
  </si>
  <si>
    <t>PT-HOR-2000-2010-01</t>
  </si>
  <si>
    <t>PT-HOR-2011-2021-01</t>
  </si>
  <si>
    <t>PT-HOR-1850-1944-02</t>
  </si>
  <si>
    <t>PT-HOR-1945-1969-02</t>
  </si>
  <si>
    <t>PT-HOR-1970-1979-02</t>
  </si>
  <si>
    <t>PT-HOR-1980-1989-02</t>
  </si>
  <si>
    <t>PT-HOR-1990-1999-02</t>
  </si>
  <si>
    <t>PT-HOR-2000-2010-02</t>
  </si>
  <si>
    <t>PT-HOR-2011-2021-02</t>
  </si>
  <si>
    <t>PT-OTH-1850-1944-01</t>
  </si>
  <si>
    <t>PT-OTH-1945-1969-01</t>
  </si>
  <si>
    <t>PT-OTH-1970-1979-01</t>
  </si>
  <si>
    <t>PT-OTH-1980-1989-01</t>
  </si>
  <si>
    <t>PT-OTH-1990-1999-01</t>
  </si>
  <si>
    <t>PT-OTH-2000-2010-01</t>
  </si>
  <si>
    <t>PT-OTH-2011-2021-01</t>
  </si>
  <si>
    <t>PT-OTH-1850-1944-02</t>
  </si>
  <si>
    <t>PT-OTH-1945-1969-02</t>
  </si>
  <si>
    <t>PT-OTH-1970-1979-02</t>
  </si>
  <si>
    <t>PT-OTH-1980-1989-02</t>
  </si>
  <si>
    <t>PT-OTH-1990-1999-02</t>
  </si>
  <si>
    <t>PT-OTH-2000-2010-02</t>
  </si>
  <si>
    <t>PT-OTH-2011-2021-02</t>
  </si>
  <si>
    <t>RO-OFF-1850-1944-00</t>
  </si>
  <si>
    <t>RO</t>
  </si>
  <si>
    <t>RO-OFF-1945-1969-00</t>
  </si>
  <si>
    <t>RO-OFF-1970-1979-00</t>
  </si>
  <si>
    <t>RO-OFF-1980-1989-00</t>
  </si>
  <si>
    <t>RO-OFF-1990-1999-00</t>
  </si>
  <si>
    <t>RO-OFF-2000-2010-00</t>
  </si>
  <si>
    <t>RO-OFF-2011-2021-00</t>
  </si>
  <si>
    <t>RO-TRA-1850-1944-00</t>
  </si>
  <si>
    <t>RO-TRA-1945-1969-00</t>
  </si>
  <si>
    <t>RO-TRA-1970-1979-00</t>
  </si>
  <si>
    <t>RO-TRA-1980-1989-00</t>
  </si>
  <si>
    <t>RO-TRA-1990-1999-00</t>
  </si>
  <si>
    <t>RO-TRA-2000-2010-00</t>
  </si>
  <si>
    <t>RO-TRA-2011-2021-00</t>
  </si>
  <si>
    <t>RO-EDU-1850-1944-00</t>
  </si>
  <si>
    <t>RO-EDU-1945-1969-00</t>
  </si>
  <si>
    <t>RO-EDU-1970-1979-00</t>
  </si>
  <si>
    <t>RO-EDU-1980-1989-00</t>
  </si>
  <si>
    <t>RO-EDU-1990-1999-00</t>
  </si>
  <si>
    <t>RO-EDU-2000-2010-00</t>
  </si>
  <si>
    <t>RO-EDU-2011-2021-00</t>
  </si>
  <si>
    <t>RO-HEA-1850-1944-00</t>
  </si>
  <si>
    <t>RO-HEA-1945-1969-00</t>
  </si>
  <si>
    <t>RO-HEA-1970-1979-00</t>
  </si>
  <si>
    <t>RO-HEA-1980-1989-00</t>
  </si>
  <si>
    <t>RO-HEA-1990-1999-00</t>
  </si>
  <si>
    <t>RO-HEA-2000-2010-00</t>
  </si>
  <si>
    <t>RO-HEA-2011-2021-00</t>
  </si>
  <si>
    <t>RO-HOR-1850-1944-01</t>
  </si>
  <si>
    <t>RO-HOR-1945-1969-01</t>
  </si>
  <si>
    <t>RO-HOR-1970-1979-01</t>
  </si>
  <si>
    <t>RO-HOR-1980-1989-01</t>
  </si>
  <si>
    <t>RO-HOR-1990-1999-01</t>
  </si>
  <si>
    <t>RO-HOR-2000-2010-01</t>
  </si>
  <si>
    <t>RO-HOR-2011-2021-01</t>
  </si>
  <si>
    <t>RO-HOR-1850-1944-02</t>
  </si>
  <si>
    <t>RO-HOR-1945-1969-02</t>
  </si>
  <si>
    <t>RO-HOR-1970-1979-02</t>
  </si>
  <si>
    <t>RO-HOR-1980-1989-02</t>
  </si>
  <si>
    <t>RO-HOR-1990-1999-02</t>
  </si>
  <si>
    <t>RO-HOR-2000-2010-02</t>
  </si>
  <si>
    <t>RO-HOR-2011-2021-02</t>
  </si>
  <si>
    <t>RO-OTH-1850-1944-00</t>
  </si>
  <si>
    <t>RO-OTH-1945-1969-00</t>
  </si>
  <si>
    <t>RO-OTH-1970-1979-00</t>
  </si>
  <si>
    <t>RO-OTH-1980-1989-00</t>
  </si>
  <si>
    <t>RO-OTH-1990-1999-00</t>
  </si>
  <si>
    <t>RO-OTH-2000-2010-00</t>
  </si>
  <si>
    <t>RO-OTH-2011-2021-00</t>
  </si>
  <si>
    <t>SE-OFF-1850-1944-01</t>
  </si>
  <si>
    <t>SE</t>
  </si>
  <si>
    <t>SE-OFF-1945-1969-01</t>
  </si>
  <si>
    <t>SE-OFF-1970-1979-01</t>
  </si>
  <si>
    <t>SE-OFF-1980-1989-01</t>
  </si>
  <si>
    <t>SE-OFF-1990-1999-01</t>
  </si>
  <si>
    <t>SE-OFF-2000-2010-01</t>
  </si>
  <si>
    <t>SE-OFF-2011-2021-01</t>
  </si>
  <si>
    <t>SE-OFF-1850-1944-02</t>
  </si>
  <si>
    <t>SE-OFF-1945-1969-02</t>
  </si>
  <si>
    <t>SE-OFF-1970-1979-02</t>
  </si>
  <si>
    <t>SE-OFF-1980-1989-02</t>
  </si>
  <si>
    <t>SE-OFF-1990-1999-02</t>
  </si>
  <si>
    <t>SE-OFF-2000-2010-02</t>
  </si>
  <si>
    <t>SE-OFF-2011-2021-02</t>
  </si>
  <si>
    <t>SE-TRA-1850-1944-01</t>
  </si>
  <si>
    <t>SE-TRA-1945-1969-01</t>
  </si>
  <si>
    <t>SE-TRA-1970-1979-01</t>
  </si>
  <si>
    <t>SE-TRA-1980-1989-01</t>
  </si>
  <si>
    <t>SE-TRA-1990-1999-01</t>
  </si>
  <si>
    <t>SE-TRA-2000-2010-01</t>
  </si>
  <si>
    <t>SE-TRA-2011-2021-01</t>
  </si>
  <si>
    <t>SE-TRA-1850-1944-02</t>
  </si>
  <si>
    <t>SE-TRA-1945-1969-02</t>
  </si>
  <si>
    <t>SE-TRA-1970-1979-02</t>
  </si>
  <si>
    <t>SE-TRA-1980-1989-02</t>
  </si>
  <si>
    <t>SE-TRA-1990-1999-02</t>
  </si>
  <si>
    <t>SE-TRA-2000-2010-02</t>
  </si>
  <si>
    <t>SE-TRA-2011-2021-02</t>
  </si>
  <si>
    <t>SE-EDU-1850-1944-01</t>
  </si>
  <si>
    <t>SE-EDU-1945-1969-01</t>
  </si>
  <si>
    <t>SE-EDU-1970-1979-01</t>
  </si>
  <si>
    <t>SE-EDU-1980-1989-01</t>
  </si>
  <si>
    <t>SE-EDU-1990-1999-01</t>
  </si>
  <si>
    <t>SE-EDU-2000-2010-01</t>
  </si>
  <si>
    <t>SE-EDU-2011-2021-01</t>
  </si>
  <si>
    <t>SE-EDU-1850-1944-02</t>
  </si>
  <si>
    <t>SE-EDU-1945-1969-02</t>
  </si>
  <si>
    <t>SE-EDU-1970-1979-02</t>
  </si>
  <si>
    <t>SE-EDU-1980-1989-02</t>
  </si>
  <si>
    <t>SE-EDU-1990-1999-02</t>
  </si>
  <si>
    <t>SE-EDU-2000-2010-02</t>
  </si>
  <si>
    <t>SE-EDU-2011-2021-02</t>
  </si>
  <si>
    <t>SE-HEA-1850-1944-01</t>
  </si>
  <si>
    <t>SE-HEA-1945-1969-01</t>
  </si>
  <si>
    <t>SE-HEA-1970-1979-01</t>
  </si>
  <si>
    <t>SE-HEA-1980-1989-01</t>
  </si>
  <si>
    <t>SE-HEA-1990-1999-01</t>
  </si>
  <si>
    <t>SE-HEA-2000-2010-01</t>
  </si>
  <si>
    <t>SE-HEA-2011-2021-01</t>
  </si>
  <si>
    <t>SE-HEA-1850-1944-02</t>
  </si>
  <si>
    <t>SE-HEA-1945-1969-02</t>
  </si>
  <si>
    <t>SE-HEA-1970-1979-02</t>
  </si>
  <si>
    <t>SE-HEA-1980-1989-02</t>
  </si>
  <si>
    <t>SE-HEA-1990-1999-02</t>
  </si>
  <si>
    <t>SE-HEA-2000-2010-02</t>
  </si>
  <si>
    <t>SE-HEA-2011-2021-02</t>
  </si>
  <si>
    <t>SE-HOR-1850-1944-01</t>
  </si>
  <si>
    <t>SE-HOR-1945-1969-01</t>
  </si>
  <si>
    <t>SE-HOR-1970-1979-01</t>
  </si>
  <si>
    <t>SE-HOR-1980-1989-01</t>
  </si>
  <si>
    <t>SE-HOR-1990-1999-01</t>
  </si>
  <si>
    <t>SE-HOR-2000-2010-01</t>
  </si>
  <si>
    <t>SE-HOR-2011-2021-01</t>
  </si>
  <si>
    <t>SE-HOR-1850-1944-02</t>
  </si>
  <si>
    <t>SE-HOR-1945-1969-02</t>
  </si>
  <si>
    <t>SE-HOR-1970-1979-02</t>
  </si>
  <si>
    <t>SE-HOR-1980-1989-02</t>
  </si>
  <si>
    <t>SE-HOR-1990-1999-02</t>
  </si>
  <si>
    <t>SE-HOR-2000-2010-02</t>
  </si>
  <si>
    <t>SE-HOR-2011-2021-02</t>
  </si>
  <si>
    <t>SE-OTH-1850-1944-01</t>
  </si>
  <si>
    <t>SE-OTH-1945-1969-01</t>
  </si>
  <si>
    <t>SE-OTH-1970-1979-01</t>
  </si>
  <si>
    <t>SE-OTH-1980-1989-01</t>
  </si>
  <si>
    <t>SE-OTH-1990-1999-01</t>
  </si>
  <si>
    <t>SE-OTH-2000-2010-01</t>
  </si>
  <si>
    <t>SE-OTH-2011-2021-01</t>
  </si>
  <si>
    <t>SE-OTH-1850-1944-02</t>
  </si>
  <si>
    <t>SE-OTH-1945-1969-02</t>
  </si>
  <si>
    <t>SE-OTH-1970-1979-02</t>
  </si>
  <si>
    <t>SE-OTH-1980-1989-02</t>
  </si>
  <si>
    <t>SE-OTH-1990-1999-02</t>
  </si>
  <si>
    <t>SE-OTH-2000-2010-02</t>
  </si>
  <si>
    <t>SE-OTH-2011-2021-02</t>
  </si>
  <si>
    <t>SI-OFF-1850-1944-00</t>
  </si>
  <si>
    <t>SI</t>
  </si>
  <si>
    <t>SI-OFF-1945-1969-00</t>
  </si>
  <si>
    <t>SI-OFF-1970-1979-00</t>
  </si>
  <si>
    <t>SI-OFF-1980-1989-00</t>
  </si>
  <si>
    <t>SI-OFF-1990-1999-00</t>
  </si>
  <si>
    <t>SI-OFF-2000-2010-00</t>
  </si>
  <si>
    <t>SI-OFF-2011-2021-00</t>
  </si>
  <si>
    <t>SI-TRA-1850-1944-00</t>
  </si>
  <si>
    <t>SI-TRA-1945-1969-00</t>
  </si>
  <si>
    <t>SI-TRA-1970-1979-00</t>
  </si>
  <si>
    <t>SI-TRA-1980-1989-00</t>
  </si>
  <si>
    <t>SI-TRA-1990-1999-00</t>
  </si>
  <si>
    <t>SI-TRA-2000-2010-00</t>
  </si>
  <si>
    <t>SI-TRA-2011-2021-00</t>
  </si>
  <si>
    <t>SI-EDU-1850-1944-00</t>
  </si>
  <si>
    <t>SI-EDU-1945-1969-00</t>
  </si>
  <si>
    <t>SI-EDU-1970-1979-00</t>
  </si>
  <si>
    <t>SI-EDU-1980-1989-00</t>
  </si>
  <si>
    <t>SI-EDU-1990-1999-00</t>
  </si>
  <si>
    <t>SI-EDU-2000-2010-00</t>
  </si>
  <si>
    <t>SI-EDU-2011-2021-00</t>
  </si>
  <si>
    <t>SI-HEA-1850-1944-00</t>
  </si>
  <si>
    <t>SI-HEA-1945-1969-00</t>
  </si>
  <si>
    <t>SI-HEA-1970-1979-00</t>
  </si>
  <si>
    <t>SI-HEA-1980-1989-00</t>
  </si>
  <si>
    <t>SI-HEA-1990-1999-00</t>
  </si>
  <si>
    <t>SI-HEA-2000-2010-00</t>
  </si>
  <si>
    <t>SI-HEA-2011-2021-00</t>
  </si>
  <si>
    <t>SI-HOR-1850-1944-01</t>
  </si>
  <si>
    <t>SI-HOR-1945-1969-01</t>
  </si>
  <si>
    <t>SI-HOR-1970-1979-01</t>
  </si>
  <si>
    <t>SI-HOR-1980-1989-01</t>
  </si>
  <si>
    <t>SI-HOR-1990-1999-01</t>
  </si>
  <si>
    <t>SI-HOR-2000-2010-01</t>
  </si>
  <si>
    <t>SI-HOR-2011-2021-01</t>
  </si>
  <si>
    <t>SI-HOR-1850-1944-02</t>
  </si>
  <si>
    <t>SI-HOR-1945-1969-02</t>
  </si>
  <si>
    <t>SI-HOR-1970-1979-02</t>
  </si>
  <si>
    <t>SI-HOR-1980-1989-02</t>
  </si>
  <si>
    <t>SI-HOR-1990-1999-02</t>
  </si>
  <si>
    <t>SI-HOR-2000-2010-02</t>
  </si>
  <si>
    <t>SI-HOR-2011-2021-02</t>
  </si>
  <si>
    <t>SI-OTH-1850-1944-00</t>
  </si>
  <si>
    <t>SI-OTH-1945-1969-00</t>
  </si>
  <si>
    <t>SI-OTH-1970-1979-00</t>
  </si>
  <si>
    <t>SI-OTH-1980-1989-00</t>
  </si>
  <si>
    <t>SI-OTH-1990-1999-00</t>
  </si>
  <si>
    <t>SI-OTH-2000-2010-00</t>
  </si>
  <si>
    <t>SI-OTH-2011-2021-00</t>
  </si>
  <si>
    <t>SK-OFF-1850-1944-00</t>
  </si>
  <si>
    <t>SK</t>
  </si>
  <si>
    <t>SK-OFF-1945-1969-00</t>
  </si>
  <si>
    <t>SK-OFF-1970-1979-00</t>
  </si>
  <si>
    <t>SK-OFF-1980-1989-00</t>
  </si>
  <si>
    <t>SK-OFF-1990-1999-00</t>
  </si>
  <si>
    <t>SK-OFF-2000-2010-00</t>
  </si>
  <si>
    <t>SK-OFF-2011-2021-00</t>
  </si>
  <si>
    <t>SK-TRA-1850-1944-00</t>
  </si>
  <si>
    <t>SK-TRA-1945-1969-00</t>
  </si>
  <si>
    <t>SK-TRA-1970-1979-00</t>
  </si>
  <si>
    <t>SK-TRA-1980-1989-00</t>
  </si>
  <si>
    <t>SK-TRA-1990-1999-00</t>
  </si>
  <si>
    <t>SK-TRA-2000-2010-00</t>
  </si>
  <si>
    <t>SK-TRA-2011-2021-00</t>
  </si>
  <si>
    <t>SK-EDU-1850-1944-00</t>
  </si>
  <si>
    <t>SK-EDU-1945-1969-00</t>
  </si>
  <si>
    <t>SK-EDU-1970-1979-00</t>
  </si>
  <si>
    <t>SK-EDU-1980-1989-00</t>
  </si>
  <si>
    <t>SK-EDU-1990-1999-00</t>
  </si>
  <si>
    <t>SK-EDU-2000-2010-00</t>
  </si>
  <si>
    <t>SK-EDU-2011-2021-00</t>
  </si>
  <si>
    <t>SK-HEA-1850-1944-00</t>
  </si>
  <si>
    <t>SK-HEA-1945-1969-00</t>
  </si>
  <si>
    <t>SK-HEA-1970-1979-00</t>
  </si>
  <si>
    <t>SK-HEA-1980-1989-00</t>
  </si>
  <si>
    <t>SK-HEA-1990-1999-00</t>
  </si>
  <si>
    <t>SK-HEA-2000-2010-00</t>
  </si>
  <si>
    <t>SK-HEA-2011-2021-00</t>
  </si>
  <si>
    <t>SK-HOR-1850-1944-01</t>
  </si>
  <si>
    <t>SK-HOR-1945-1969-01</t>
  </si>
  <si>
    <t>SK-HOR-1970-1979-01</t>
  </si>
  <si>
    <t>SK-HOR-1980-1989-01</t>
  </si>
  <si>
    <t>SK-HOR-1990-1999-01</t>
  </si>
  <si>
    <t>SK-HOR-2000-2010-01</t>
  </si>
  <si>
    <t>SK-HOR-2011-2021-01</t>
  </si>
  <si>
    <t>SK-HOR-1850-1944-02</t>
  </si>
  <si>
    <t>SK-HOR-1945-1969-02</t>
  </si>
  <si>
    <t>SK-HOR-1970-1979-02</t>
  </si>
  <si>
    <t>SK-HOR-1980-1989-02</t>
  </si>
  <si>
    <t>SK-HOR-1990-1999-02</t>
  </si>
  <si>
    <t>SK-HOR-2000-2010-02</t>
  </si>
  <si>
    <t>SK-HOR-2011-2021-02</t>
  </si>
  <si>
    <t>SK-OTH-1850-1944-00</t>
  </si>
  <si>
    <t>SK-OTH-1945-1969-00</t>
  </si>
  <si>
    <t>SK-OTH-1970-1979-00</t>
  </si>
  <si>
    <t>SK-OTH-1980-1989-00</t>
  </si>
  <si>
    <t>SK-OTH-1990-1999-00</t>
  </si>
  <si>
    <t>SK-OTH-2000-2010-00</t>
  </si>
  <si>
    <t>SK-OTH-2011-2021-00</t>
  </si>
  <si>
    <t>RESIDENTIAL BUILDINGS</t>
  </si>
  <si>
    <t>COOLING SYSTEM PREVALENCY ON BUILDING STOCK</t>
  </si>
  <si>
    <t>Cooling presence</t>
  </si>
  <si>
    <t>AT-SFH-1850-1918-00</t>
  </si>
  <si>
    <t>Central fueloil non-condensing boiler</t>
  </si>
  <si>
    <t>Liquid</t>
  </si>
  <si>
    <t>AT-SFH-1919-1944-00</t>
  </si>
  <si>
    <t>AT-SFH-1945-1960-00</t>
  </si>
  <si>
    <t>AT-SFH-1961-1980-00</t>
  </si>
  <si>
    <t>AT-SFH-1981-1990-00</t>
  </si>
  <si>
    <t>AT-SFH-1991-2000-00</t>
  </si>
  <si>
    <t>Central fueloil condensing boiler</t>
  </si>
  <si>
    <t>AT-SFH-2001-2009-00</t>
  </si>
  <si>
    <t>AT-SFH-2010-2021-00</t>
  </si>
  <si>
    <t>AT-MFH-1850-1918-00</t>
  </si>
  <si>
    <t>AT-MFH-1919-1944-00</t>
  </si>
  <si>
    <t>AT-MFH-1945-1960-00</t>
  </si>
  <si>
    <t>AT-MFH-1961-1980-00</t>
  </si>
  <si>
    <t>AT-MFH-1981-1990-00</t>
  </si>
  <si>
    <t>AT-MFH-1991-2000-00</t>
  </si>
  <si>
    <t>AT-MFH-2001-2009-00</t>
  </si>
  <si>
    <t>AT-MFH-2010-2021-00</t>
  </si>
  <si>
    <t>AT-ABL-1850-1918-00</t>
  </si>
  <si>
    <t>AT-ABL-1919-1944-00</t>
  </si>
  <si>
    <t>AT-ABL-1945-1960-00</t>
  </si>
  <si>
    <t>AT-ABL-1961-1980-00</t>
  </si>
  <si>
    <t>AT-ABL-1981-1990-00</t>
  </si>
  <si>
    <t>AT-ABL-1991-2000-00</t>
  </si>
  <si>
    <t>AT-ABL-2001-2009-00</t>
  </si>
  <si>
    <t>AT-ABL-2010-2021-00</t>
  </si>
  <si>
    <t>BE-SFH-1850-1945-00</t>
  </si>
  <si>
    <t>Individual fueloil stove</t>
  </si>
  <si>
    <t>Individual electric heated DHW tank</t>
  </si>
  <si>
    <t>BE-SFH-1946-1970-00</t>
  </si>
  <si>
    <t>Individual gas low temperature non-condensing boiler</t>
  </si>
  <si>
    <t>BE-SFH-1971-1990-00</t>
  </si>
  <si>
    <t>BE-SFH-1991-2005-00</t>
  </si>
  <si>
    <t xml:space="preserve">Individual gas low temperature non-condensing boiler </t>
  </si>
  <si>
    <t>Individual fueloil condensing boiler</t>
  </si>
  <si>
    <t>BE-SFH-2006-2011-00</t>
  </si>
  <si>
    <t>BE-SFH-2012-2021-00</t>
  </si>
  <si>
    <t>BE-MFH-1850-1945-00</t>
  </si>
  <si>
    <t>Individual gas stove</t>
  </si>
  <si>
    <t>BE-MFH-1946-1970-00</t>
  </si>
  <si>
    <t>BE-MFH-1971-1990-00</t>
  </si>
  <si>
    <t>BE-MFH-1991-2005-00</t>
  </si>
  <si>
    <t>BE-MFH-2006-2011-00</t>
  </si>
  <si>
    <t>BE-MFH-2012-2021-00</t>
  </si>
  <si>
    <t>BE-ABL-1850-1970-00</t>
  </si>
  <si>
    <t>BE-ABL-1971-1990-00</t>
  </si>
  <si>
    <t>BE-ABL-1991-2005-00</t>
  </si>
  <si>
    <t>BE-ABL-2006-2011-00</t>
  </si>
  <si>
    <t>BE-ABL-2012-2021-00</t>
  </si>
  <si>
    <t>BG-SFH-1850-1918-00</t>
  </si>
  <si>
    <t>District heating gas boilers</t>
  </si>
  <si>
    <t>Individual electric heater</t>
  </si>
  <si>
    <t>BG-SFH-1919-1929-00</t>
  </si>
  <si>
    <t>BG-SFH-1930-1959-00</t>
  </si>
  <si>
    <t>BG-SFH-1960-1998-00</t>
  </si>
  <si>
    <t>BG-SFH-1999-2008-00</t>
  </si>
  <si>
    <t>BG-SFH-2009-2021-00</t>
  </si>
  <si>
    <t>BG-MFH-1850-1918-00</t>
  </si>
  <si>
    <t>BG-MFH-1919-1929-00</t>
  </si>
  <si>
    <t>BG-MFH-1930-1959-00</t>
  </si>
  <si>
    <t>BG-MFH-1960-1998-00</t>
  </si>
  <si>
    <t>BG-MFH-1999-2008-00</t>
  </si>
  <si>
    <t>BG-MFH-2009-2021-00</t>
  </si>
  <si>
    <t>BG-ABL-1850-1959-00</t>
  </si>
  <si>
    <t>BG-ABL-1960-1998-00</t>
  </si>
  <si>
    <t>BG-ABL-1999-2008-00</t>
  </si>
  <si>
    <t>BG-ABL-2009-2021-00</t>
  </si>
  <si>
    <t>CY-SFH-1850-1980-00</t>
  </si>
  <si>
    <t>CY-SFH-1981-2006-00</t>
  </si>
  <si>
    <t>CY-SFH-2007-2013-00</t>
  </si>
  <si>
    <t>Individual gas non-condensing boiler</t>
  </si>
  <si>
    <t>Individual solar collectors</t>
  </si>
  <si>
    <t>RES</t>
  </si>
  <si>
    <t>CY-SFH-2014-2021-00</t>
  </si>
  <si>
    <t>Central gas non-condensing boiler new</t>
  </si>
  <si>
    <t>CY-MFH-1850-1980-00</t>
  </si>
  <si>
    <t>CY-MFH-1981-2006-00</t>
  </si>
  <si>
    <t>CY-MFH-2007-2013-00</t>
  </si>
  <si>
    <t>CY-MFH-2014-2021-00</t>
  </si>
  <si>
    <t>CZ-SFH-1850-1920-00</t>
  </si>
  <si>
    <t>Individual electrical night storage heater</t>
  </si>
  <si>
    <t>CZ-SFH-1921-1945-00</t>
  </si>
  <si>
    <t>CZ-SFH-1946-1960-00</t>
  </si>
  <si>
    <t>CZ-SFH-1961-1980-00</t>
  </si>
  <si>
    <t>CZ-SFH-1981-1994-00</t>
  </si>
  <si>
    <t>CZ-SFH-1995-2010-00</t>
  </si>
  <si>
    <t>Central gas condensing boiler new</t>
  </si>
  <si>
    <t>CZ-SFH-2011-2021-00</t>
  </si>
  <si>
    <t>CZ-MFH-1850-1920-00</t>
  </si>
  <si>
    <t>District heating gas-powered station</t>
  </si>
  <si>
    <t>CZ-MFH-1921-1945-00</t>
  </si>
  <si>
    <t>CZ-MFH-1946-1960-00</t>
  </si>
  <si>
    <t>CZ-MFH-1961-1980-00</t>
  </si>
  <si>
    <t>CZ-MFH-1981-1994-00</t>
  </si>
  <si>
    <t>CZ-MFH-1995-2010-00</t>
  </si>
  <si>
    <t>CZ-MFH-2011-2021-00</t>
  </si>
  <si>
    <t>CZ-ABL-1850-1920-00</t>
  </si>
  <si>
    <t>CZ-ABL-1921-1945-00</t>
  </si>
  <si>
    <t>CZ-ABL-1946-1960-00</t>
  </si>
  <si>
    <t>CZ-ABL-1961-1980-00</t>
  </si>
  <si>
    <t>CZ-ABL-1981-1994-00</t>
  </si>
  <si>
    <t>CZ-ABL-1995-2021-00</t>
  </si>
  <si>
    <t>DE-SFH-1850-1859-00</t>
  </si>
  <si>
    <t>DE-SFH-1860-1918-00</t>
  </si>
  <si>
    <t>DE-SFH-1919-1948-00</t>
  </si>
  <si>
    <t>DE-SFH-1949-1957-00</t>
  </si>
  <si>
    <t>DE-SFH-1958-1968-00</t>
  </si>
  <si>
    <t>DE-SFH-1969-1978-00</t>
  </si>
  <si>
    <t>DE-SFH-1979-1983-00</t>
  </si>
  <si>
    <t>DE-SFH-1984-1994-00</t>
  </si>
  <si>
    <t>DE-SFH-1995-2001-00</t>
  </si>
  <si>
    <t>DE-SFH-2002-2009-00</t>
  </si>
  <si>
    <t>DE-SFH-2010-2015-00</t>
  </si>
  <si>
    <t>DE-SFH-2016-2021-00</t>
  </si>
  <si>
    <t>DE-MFH-1850-1859-00</t>
  </si>
  <si>
    <t>DE-MFH-1860-1918-00</t>
  </si>
  <si>
    <t>DE-MFH-1919-1948-00</t>
  </si>
  <si>
    <t>DE-MFH-1949-1957-00</t>
  </si>
  <si>
    <t>DE-MFH-1958-1968-00</t>
  </si>
  <si>
    <t>DE-MFH-1969-1978-00</t>
  </si>
  <si>
    <t>DE-MFH-1979-1983-00</t>
  </si>
  <si>
    <t>DE-MFH-1984-1994-00</t>
  </si>
  <si>
    <t>DE-MFH-1995-2001-00</t>
  </si>
  <si>
    <t>DE-MFH-2002-2009-00</t>
  </si>
  <si>
    <t>DE-MFH-2010-2015-00</t>
  </si>
  <si>
    <t>DE-MFH-2016-2021-00</t>
  </si>
  <si>
    <t>DE-ABL-1850-1918-00</t>
  </si>
  <si>
    <t>DE-ABL-1919-1948-00</t>
  </si>
  <si>
    <t>DE-ABL-1949-1957-00</t>
  </si>
  <si>
    <t>DE-ABL-1958-1968-00</t>
  </si>
  <si>
    <t>DE-ABL-1969-2021-00</t>
  </si>
  <si>
    <t>Special case</t>
  </si>
  <si>
    <t>DK-SFH-1850-1850-00</t>
  </si>
  <si>
    <t>DK-SFH-1851-1930-00</t>
  </si>
  <si>
    <t>DK-SFH-1931-1950-00</t>
  </si>
  <si>
    <t>DK-SFH-1951-1960-00</t>
  </si>
  <si>
    <t>DK-SFH-1961-1972-00</t>
  </si>
  <si>
    <t>DK-SFH-1973-1978-00</t>
  </si>
  <si>
    <t>DK-SFH-1979-1998-00</t>
  </si>
  <si>
    <t>DK-SFH-1999-2006-00</t>
  </si>
  <si>
    <t>District heating gas boilers new with heat recovery</t>
  </si>
  <si>
    <t>DK-SFH-2007-2010-00</t>
  </si>
  <si>
    <t>DK-SFH-2011-2021-00</t>
  </si>
  <si>
    <t>DK-ABL-1850-1850-00</t>
  </si>
  <si>
    <t>DK-ABL-1851-1930-00</t>
  </si>
  <si>
    <t>DK-ABL-1931-1950-00</t>
  </si>
  <si>
    <t>DK-ABL-1951-1960-00</t>
  </si>
  <si>
    <t>DK-ABL-1961-1972-00</t>
  </si>
  <si>
    <t>DK-ABL-1973-1978-00</t>
  </si>
  <si>
    <t>DK-ABL-1979-1998-00</t>
  </si>
  <si>
    <t>DK-ABL-1999-2006-00</t>
  </si>
  <si>
    <t>DK-ABL-2007-2010-00</t>
  </si>
  <si>
    <t>DK-ABL-2011-2021-00</t>
  </si>
  <si>
    <t>EE-SFH-1850-1960-00</t>
  </si>
  <si>
    <t>Central fueloil boiler</t>
  </si>
  <si>
    <t>EE-SFH-1961-1975-00</t>
  </si>
  <si>
    <t>EE-SFH-1976-1985-00</t>
  </si>
  <si>
    <t>EE-SFH-1986-1995-00</t>
  </si>
  <si>
    <t>EE-SFH-1996-2021-00</t>
  </si>
  <si>
    <t>EE-MFH-1850-1960-00</t>
  </si>
  <si>
    <t>EE-MFH-1961-1975-00</t>
  </si>
  <si>
    <t>EE-MFH-1976-1985-00</t>
  </si>
  <si>
    <t>EE-MFH-1986-1995-00</t>
  </si>
  <si>
    <t>EE-MFH-1996-2021-00</t>
  </si>
  <si>
    <t>EL-SFH-1850-1980-00</t>
  </si>
  <si>
    <t>EL-SFH-1981-2000-00</t>
  </si>
  <si>
    <t>EL-SFH-2001-2010-00</t>
  </si>
  <si>
    <t>EL-SFH-2011-2021-00</t>
  </si>
  <si>
    <t>EL-MFH-1850-1980-00</t>
  </si>
  <si>
    <t>EL-MFH-1981-2000-00</t>
  </si>
  <si>
    <t>EL-MFH-2001-2010-00</t>
  </si>
  <si>
    <t>EL-MFH-2011-2021-00</t>
  </si>
  <si>
    <t>ES-SFH-1850-1900-00</t>
  </si>
  <si>
    <t>Central gas non-condensing boiler old</t>
  </si>
  <si>
    <t>ES-SFH-1901-1936-00</t>
  </si>
  <si>
    <t>ES-SFH-1937-1959-00</t>
  </si>
  <si>
    <t>ES-SFH-1960-1979-00</t>
  </si>
  <si>
    <t>ES-SFH-1980-2006-00</t>
  </si>
  <si>
    <t>ES-SFH-2007-2021-00</t>
  </si>
  <si>
    <t>ES-MFH-1850-1900-00</t>
  </si>
  <si>
    <t>ES-MFH-1901-1936-00</t>
  </si>
  <si>
    <t>ES-MFH-1937-1959-00</t>
  </si>
  <si>
    <t>ES-MFH-1960-1979-00</t>
  </si>
  <si>
    <t>ES-MFH-1980-2006-00</t>
  </si>
  <si>
    <t>ES-MFH-2007-2021-00</t>
  </si>
  <si>
    <t>ES-ABL-1850-1900-00</t>
  </si>
  <si>
    <t>ES-ABL-1901-1936-00</t>
  </si>
  <si>
    <t>ES-ABL-1937-1959-00</t>
  </si>
  <si>
    <t>ES-ABL-1960-1979-00</t>
  </si>
  <si>
    <t>ES-ABL-1980-2006-00</t>
  </si>
  <si>
    <t>ES-ABL-2007-2021-00</t>
  </si>
  <si>
    <t>FI-SFH-1850-1960-00</t>
  </si>
  <si>
    <t>FI-SFH-1961-1975-00</t>
  </si>
  <si>
    <t>FI-SFH-1976-1985-00</t>
  </si>
  <si>
    <t>FI-SFH-1986-1995-00</t>
  </si>
  <si>
    <t>FI-SFH-1996-2021-00</t>
  </si>
  <si>
    <t>FI-MFH-1850-1960-00</t>
  </si>
  <si>
    <t>FI-MFH-1961-1975-00</t>
  </si>
  <si>
    <t>FI-MFH-1976-1985-00</t>
  </si>
  <si>
    <t>FI-MFH-1986-1995-00</t>
  </si>
  <si>
    <t>FI-MFH-1996-2021-00</t>
  </si>
  <si>
    <t>FR-SFH-1850-1914-00</t>
  </si>
  <si>
    <t>FR-SFH-1915-1948-00</t>
  </si>
  <si>
    <t>FR-SFH-1949-1967-00</t>
  </si>
  <si>
    <t>FR-SFH-1968-1974-00</t>
  </si>
  <si>
    <t>FR-SFH-1975-1981-00</t>
  </si>
  <si>
    <t>FR-SFH-1982-1989-00</t>
  </si>
  <si>
    <t>Individual wood stove</t>
  </si>
  <si>
    <t>Biomass</t>
  </si>
  <si>
    <t>FR-SFH-1990-1999-00</t>
  </si>
  <si>
    <t>Individual heat pump with auxiliary resistance heating</t>
  </si>
  <si>
    <t>FR-SFH-2000-2005-00</t>
  </si>
  <si>
    <t>FR-SFH-2006-2012-00</t>
  </si>
  <si>
    <t>FR-SFH-2013-2021-00</t>
  </si>
  <si>
    <t>FR-MFH-1850-1914-00</t>
  </si>
  <si>
    <t>FR-MFH-1915-1948-00</t>
  </si>
  <si>
    <t>FR-MFH-1949-1967-00</t>
  </si>
  <si>
    <t>FR-MFH-1968-1974-00</t>
  </si>
  <si>
    <t>FR-MFH-1975-1981-00</t>
  </si>
  <si>
    <t>FR-MFH-1982-1989-00</t>
  </si>
  <si>
    <t>FR-MFH-1990-1999-00</t>
  </si>
  <si>
    <t>FR-MFH-2000-2005-00</t>
  </si>
  <si>
    <t>FR-MFH-2006-2012-00</t>
  </si>
  <si>
    <t>FR-MFH-2013-2021-00</t>
  </si>
  <si>
    <t>FR-ABL-1850-1914-00</t>
  </si>
  <si>
    <t>FR-ABL-1915-1948-00</t>
  </si>
  <si>
    <t>FR-ABL-1949-1967-00</t>
  </si>
  <si>
    <t>FR-ABL-1968-1974-00</t>
  </si>
  <si>
    <t>FR-ABL-1975-1981-00</t>
  </si>
  <si>
    <t>FR-ABL-1982-1989-00</t>
  </si>
  <si>
    <t>FR-ABL-1990-1999-00</t>
  </si>
  <si>
    <t>FR-ABL-2000-2005-00</t>
  </si>
  <si>
    <t>FR-ABL-2006-2012-00</t>
  </si>
  <si>
    <t>FR-ABL-2013-2021-00</t>
  </si>
  <si>
    <t>HR-SFH-1850-1945-00</t>
  </si>
  <si>
    <t>Central biomass boiler old</t>
  </si>
  <si>
    <t>HR-SFH-1946-1970-00</t>
  </si>
  <si>
    <t>HR-SFH-1971-1980-00</t>
  </si>
  <si>
    <t>HR-SFH-1981-2001-00</t>
  </si>
  <si>
    <t>Central biomass boiler new</t>
  </si>
  <si>
    <t>HR-SFH-2002-2008-00</t>
  </si>
  <si>
    <t>HR-SFH-2009-2021-00</t>
  </si>
  <si>
    <t>HR-MFH-1850-1945-00</t>
  </si>
  <si>
    <t>Central fueloil boiler old</t>
  </si>
  <si>
    <t>HR-MFH-1946-1970-00</t>
  </si>
  <si>
    <t>HR-MFH-1971-1980-00</t>
  </si>
  <si>
    <t>HR-MFH-1981-2001-00</t>
  </si>
  <si>
    <t>HR-MFH-2002-2008-00</t>
  </si>
  <si>
    <t>HR-MFH-2009-2021-00</t>
  </si>
  <si>
    <t>HR-ABL-1850-1945-00</t>
  </si>
  <si>
    <t>HR-ABL-1946-1970-00</t>
  </si>
  <si>
    <t>HR-ABL-1971-1980-00</t>
  </si>
  <si>
    <t>HR-ABL-1981-2001-00</t>
  </si>
  <si>
    <t>HR-ABL-2002-2008-00</t>
  </si>
  <si>
    <t>HR-ABL-2009-2021-00</t>
  </si>
  <si>
    <t>HU-SFH-1850-1944-00</t>
  </si>
  <si>
    <t xml:space="preserve">Individual gas non-condensing boiler </t>
  </si>
  <si>
    <t>HU-SFH-1945-1979-00</t>
  </si>
  <si>
    <t>HU-SFH-1980-1989-00</t>
  </si>
  <si>
    <t>HU-SFH-1990-2005-00</t>
  </si>
  <si>
    <t>HU-SFH-2006-2021-00</t>
  </si>
  <si>
    <t>HU-MFH-1850-1944-00</t>
  </si>
  <si>
    <t>HU-MFH-1945-1979-00</t>
  </si>
  <si>
    <t>HU-MFH-1980-1989-00</t>
  </si>
  <si>
    <t>HU-MFH-1990-2005-00</t>
  </si>
  <si>
    <t>HU-MFH-2006-2021-00</t>
  </si>
  <si>
    <t>IE-SFH-1850-1899-00</t>
  </si>
  <si>
    <t>IE-SFH-1900-1929-00</t>
  </si>
  <si>
    <t>IE-SFH-1930-1949-00</t>
  </si>
  <si>
    <t>IE-SFH-1950-1966-00</t>
  </si>
  <si>
    <t>IE-SFH-1967-1977-00</t>
  </si>
  <si>
    <t>IE-SFH-1978-1982-00</t>
  </si>
  <si>
    <t>IE-SFH-1983-1993-00</t>
  </si>
  <si>
    <t>IE-SFH-1994-2004-00</t>
  </si>
  <si>
    <t>IE-SFH-2005-2010-00</t>
  </si>
  <si>
    <t>IE-SFH-2011-2021-00</t>
  </si>
  <si>
    <t>Central heat pump air source new</t>
  </si>
  <si>
    <t>IE-ABL-1850-1977-00</t>
  </si>
  <si>
    <t>IE-ABL-1978-1982-00</t>
  </si>
  <si>
    <t>IE-ABL-1983-1993-00</t>
  </si>
  <si>
    <t>IE-ABL-1994-2004-00</t>
  </si>
  <si>
    <t>IE-ABL-2005-2010-00</t>
  </si>
  <si>
    <t>IE-ABL-2011-2021-00</t>
  </si>
  <si>
    <t>IT-SFH-1850-1900-00</t>
  </si>
  <si>
    <t>IT-SFH-1901-1920-00</t>
  </si>
  <si>
    <t>IT-SFH-1921-1945-00</t>
  </si>
  <si>
    <t>IT-SFH-1946-1960-00</t>
  </si>
  <si>
    <t>IT-SFH-1961-1975-00</t>
  </si>
  <si>
    <t>IT-SFH-1976-1990-00</t>
  </si>
  <si>
    <t>IT-SFH-1991-2005-00</t>
  </si>
  <si>
    <t>IT-SFH-2006-2021-00</t>
  </si>
  <si>
    <t>IT-MFH-1850-1900-00</t>
  </si>
  <si>
    <t>IT-MFH-1901-1920-00</t>
  </si>
  <si>
    <t>IT-MFH-1921-1945-00</t>
  </si>
  <si>
    <t>IT-MFH-1946-1960-00</t>
  </si>
  <si>
    <t>IT-MFH-1961-1975-00</t>
  </si>
  <si>
    <t>IT-MFH-1976-1990-00</t>
  </si>
  <si>
    <t>IT-MFH-1991-2005-00</t>
  </si>
  <si>
    <t>IT-MFH-2006-2021-00</t>
  </si>
  <si>
    <t>IT-ABL-1850-1900-00</t>
  </si>
  <si>
    <t>IT-ABL-1901-1920-00</t>
  </si>
  <si>
    <t>IT-ABL-1921-1945-00</t>
  </si>
  <si>
    <t>IT-ABL-1946-1960-00</t>
  </si>
  <si>
    <t>IT-ABL-1961-1975-00</t>
  </si>
  <si>
    <t>IT-ABL-1976-1990-00</t>
  </si>
  <si>
    <t>IT-ABL-1991-2005-00</t>
  </si>
  <si>
    <t>IT-ABL-2006-2021-00</t>
  </si>
  <si>
    <t>LT-SFH-1850-1960-00</t>
  </si>
  <si>
    <t>LT-SFH-1961-1975-00</t>
  </si>
  <si>
    <t>LT-SFH-1976-1985-00</t>
  </si>
  <si>
    <t>LT-SFH-1986-1995-00</t>
  </si>
  <si>
    <t>LT-SFH-1996-2021-00</t>
  </si>
  <si>
    <t>LT-MFH-1850-1960-00</t>
  </si>
  <si>
    <t>LT-MFH-1961-1975-00</t>
  </si>
  <si>
    <t>LT-MFH-1976-1985-00</t>
  </si>
  <si>
    <t>LT-MFH-1986-1995-00</t>
  </si>
  <si>
    <t>LT-MFH-1996-2021-00</t>
  </si>
  <si>
    <t>LU-SFH-1850-1964-00</t>
  </si>
  <si>
    <t>LU-SFH-1965-1974-00</t>
  </si>
  <si>
    <t>LU-SFH-1975-1991-00</t>
  </si>
  <si>
    <t>LU-SFH-1992-2005-00</t>
  </si>
  <si>
    <t>LU-SFH-2006-2014-00</t>
  </si>
  <si>
    <t>LU-SFH-2015-2021-00</t>
  </si>
  <si>
    <t>LU-MFH-1850-1964-00</t>
  </si>
  <si>
    <t>LU-MFH-1965-1974-00</t>
  </si>
  <si>
    <t>District heating gas boilers high temperature</t>
  </si>
  <si>
    <t>LU-MFH-1975-1991-00</t>
  </si>
  <si>
    <t>LU-MFH-1992-2005-00</t>
  </si>
  <si>
    <t>LU-MFH-2006-2014-00</t>
  </si>
  <si>
    <t>LU-MFH-2015-2021-00</t>
  </si>
  <si>
    <t>LU-ABL-1850-1964-00</t>
  </si>
  <si>
    <t>LU-ABL-1965-1974-00</t>
  </si>
  <si>
    <t>LU-ABL-1975-1991-00</t>
  </si>
  <si>
    <t>LU-ABL-1992-2005-00</t>
  </si>
  <si>
    <t>LU-ABL-2006-2014-00</t>
  </si>
  <si>
    <t>LU-ABL-2015-2021-00</t>
  </si>
  <si>
    <t>LV-SFH-1850-1960-00</t>
  </si>
  <si>
    <t>LV-SFH-1961-1975-00</t>
  </si>
  <si>
    <t>LV-SFH-1976-1985-00</t>
  </si>
  <si>
    <t>LV-SFH-1986-1995-00</t>
  </si>
  <si>
    <t>LV-SFH-1996-2021-00</t>
  </si>
  <si>
    <t>LV-MFH-1850-1960-00</t>
  </si>
  <si>
    <t>LV-MFH-1961-1975-00</t>
  </si>
  <si>
    <t>LV-MFH-1976-1985-00</t>
  </si>
  <si>
    <t>LV-MFH-1986-1995-00</t>
  </si>
  <si>
    <t>LV-MFH-1996-2021-00</t>
  </si>
  <si>
    <t>MT-SFH-1850-1900-00</t>
  </si>
  <si>
    <t>MT-SFH-1901-1936-00</t>
  </si>
  <si>
    <t>MT-SFH-1937-1959-00</t>
  </si>
  <si>
    <t>MT-SFH-1960-1979-00</t>
  </si>
  <si>
    <t>MT-SFH-1980-2006-00</t>
  </si>
  <si>
    <t>MT-SFH-2007-2021-00</t>
  </si>
  <si>
    <t>MT-MFH-1850-1900-00</t>
  </si>
  <si>
    <t>MT-MFH-1901-1936-00</t>
  </si>
  <si>
    <t>MT-MFH-1937-1959-00</t>
  </si>
  <si>
    <t>MT-MFH-1960-1979-00</t>
  </si>
  <si>
    <t>MT-MFH-1980-2006-00</t>
  </si>
  <si>
    <t>MT-MFH-2007-2021-00</t>
  </si>
  <si>
    <t>MT-ABL-1850-1900-00</t>
  </si>
  <si>
    <t>MT-ABL-1901-1936-00</t>
  </si>
  <si>
    <t>MT-ABL-1937-1959-00</t>
  </si>
  <si>
    <t>MT-ABL-1960-1979-00</t>
  </si>
  <si>
    <t>MT-ABL-1980-2006-00</t>
  </si>
  <si>
    <t>MT-ABL-2007-2021-00</t>
  </si>
  <si>
    <t>NL-SFH-1850-1964-00</t>
  </si>
  <si>
    <t>NL-SFH-1965-1974-00</t>
  </si>
  <si>
    <t>NL-SFH-1975-1991-00</t>
  </si>
  <si>
    <t>NL-SFH-1992-2005-00</t>
  </si>
  <si>
    <t>NL-SFH-2006-2014-00</t>
  </si>
  <si>
    <t>NL-SFH-2015-2021-00</t>
  </si>
  <si>
    <t>NL-MFH-1850-1964-00</t>
  </si>
  <si>
    <t>NL-MFH-1965-1974-00</t>
  </si>
  <si>
    <t>NL-MFH-1975-1991-00</t>
  </si>
  <si>
    <t>NL-MFH-1992-2005-00</t>
  </si>
  <si>
    <t>NL-MFH-2006-2014-00</t>
  </si>
  <si>
    <t>NL-MFH-2015-2021-00</t>
  </si>
  <si>
    <t>NL-ABL-1850-1964-00</t>
  </si>
  <si>
    <t>NL-ABL-1965-1974-00</t>
  </si>
  <si>
    <t>NL-ABL-1975-1991-00</t>
  </si>
  <si>
    <t>NL-ABL-1992-2005-00</t>
  </si>
  <si>
    <t>NL-ABL-2006-2014-00</t>
  </si>
  <si>
    <t>NL-ABL-2015-2021-00</t>
  </si>
  <si>
    <t>PL-SFH-1850-1945-00</t>
  </si>
  <si>
    <t>PL-SFH-1946-1966-00</t>
  </si>
  <si>
    <t>PL-SFH-1967-1985-00</t>
  </si>
  <si>
    <t>PL-SFH-1986-1992-00</t>
  </si>
  <si>
    <t>PL-SFH-1993-2002-00</t>
  </si>
  <si>
    <t>PL-SFH-2003-2008-00</t>
  </si>
  <si>
    <t>PL-SFH-2009-2021-00</t>
  </si>
  <si>
    <t>PL-MFH-1850-1945-00</t>
  </si>
  <si>
    <t>District heating coal station non-CHP</t>
  </si>
  <si>
    <t>Solid</t>
  </si>
  <si>
    <t>District heating coal-powered station</t>
  </si>
  <si>
    <t>PL-MFH-1946-1966-00</t>
  </si>
  <si>
    <t>PL-MFH-1967-1985-00</t>
  </si>
  <si>
    <t>PL-MFH-1986-1992-00</t>
  </si>
  <si>
    <t>PL-MFH-1993-2002-00</t>
  </si>
  <si>
    <t>PL-MFH-2003-2008-00</t>
  </si>
  <si>
    <t>PL-MFH-2009-2021-00</t>
  </si>
  <si>
    <t>PL-ABL-1850-1985-00</t>
  </si>
  <si>
    <t>PL-ABL-1986-1992-00</t>
  </si>
  <si>
    <t>PL-ABL-1993-2002-00</t>
  </si>
  <si>
    <t>PL-ABL-2003-2008-00</t>
  </si>
  <si>
    <t>PL-ABL-2009-2021-00</t>
  </si>
  <si>
    <t>PT-SFH-1850-1900-00</t>
  </si>
  <si>
    <t>PT-SFH-1901-1936-00</t>
  </si>
  <si>
    <t>PT-SFH-1937-1959-00</t>
  </si>
  <si>
    <t>PT-SFH-1960-1979-00</t>
  </si>
  <si>
    <t>PT-SFH-1980-2006-00</t>
  </si>
  <si>
    <t>PT-SFH-2007-2021-00</t>
  </si>
  <si>
    <t>PT-MFH-1850-1900-00</t>
  </si>
  <si>
    <t>PT-MFH-1901-1936-00</t>
  </si>
  <si>
    <t>PT-MFH-1937-1959-00</t>
  </si>
  <si>
    <t>PT-MFH-1960-1979-00</t>
  </si>
  <si>
    <t>PT-MFH-1980-2006-00</t>
  </si>
  <si>
    <t>PT-MFH-2007-2021-00</t>
  </si>
  <si>
    <t>PT-ABL-1850-1900-00</t>
  </si>
  <si>
    <t>PT-ABL-1901-1936-00</t>
  </si>
  <si>
    <t>PT-ABL-1937-1959-00</t>
  </si>
  <si>
    <t>PT-ABL-1960-1979-00</t>
  </si>
  <si>
    <t>PT-ABL-1980-2006-00</t>
  </si>
  <si>
    <t>PT-ABL-2007-2021-00</t>
  </si>
  <si>
    <t>RO-SFH-1850-1918-00</t>
  </si>
  <si>
    <t>RO-SFH-1919-1929-00</t>
  </si>
  <si>
    <t>RO-SFH-1930-1959-00</t>
  </si>
  <si>
    <t>RO-SFH-1960-1998-00</t>
  </si>
  <si>
    <t>RO-SFH-1999-2008-00</t>
  </si>
  <si>
    <t>RO-SFH-2009-2021-00</t>
  </si>
  <si>
    <t>RO-MFH-1850-1918-00</t>
  </si>
  <si>
    <t>RO-MFH-1919-1929-00</t>
  </si>
  <si>
    <t>RO-MFH-1930-1959-00</t>
  </si>
  <si>
    <t>RO-MFH-1960-1998-00</t>
  </si>
  <si>
    <t>RO-MFH-1999-2008-00</t>
  </si>
  <si>
    <t>RO-MFH-2009-2021-00</t>
  </si>
  <si>
    <t>RO-ABL-1850-1959-00</t>
  </si>
  <si>
    <t>RO-ABL-1960-1998-00</t>
  </si>
  <si>
    <t>RO-ABL-1999-2008-00</t>
  </si>
  <si>
    <t>RO-ABL-2009-2021-00</t>
  </si>
  <si>
    <t>SE-SFH-1850-1960-00</t>
  </si>
  <si>
    <t>SE-SFH-1961-1975-00</t>
  </si>
  <si>
    <t>SE-SFH-1976-1985-00</t>
  </si>
  <si>
    <t>SE-SFH-1986-1995-00</t>
  </si>
  <si>
    <t>SE-SFH-1996-2021-00</t>
  </si>
  <si>
    <t>SE-MFH-1850-1960-00</t>
  </si>
  <si>
    <t>SE-MFH-1961-1975-00</t>
  </si>
  <si>
    <t>SE-MFH-1976-1985-00</t>
  </si>
  <si>
    <t>SE-MFH-1986-1995-00</t>
  </si>
  <si>
    <t>SE-MFH-1996-2021-00</t>
  </si>
  <si>
    <t>SI-SFH-1850-1945-00</t>
  </si>
  <si>
    <t>SI-SFH-1946-1970-00</t>
  </si>
  <si>
    <t>SI-SFH-1971-1980-00</t>
  </si>
  <si>
    <t>SI-SFH-1981-2001-00</t>
  </si>
  <si>
    <t>SI-SFH-2002-2008-00</t>
  </si>
  <si>
    <t>SI-SFH-2009-2021-00</t>
  </si>
  <si>
    <t>SI-MFH-1850-1945-00</t>
  </si>
  <si>
    <t>SI-MFH-1946-1970-00</t>
  </si>
  <si>
    <t>SI-MFH-1971-1980-00</t>
  </si>
  <si>
    <t>SI-MFH-1981-2001-00</t>
  </si>
  <si>
    <t>SI-MFH-2002-2008-00</t>
  </si>
  <si>
    <t>SI-MFH-2009-2021-00</t>
  </si>
  <si>
    <t>SI-ABL-1850-1945-00</t>
  </si>
  <si>
    <t>SI-ABL-1946-1970-00</t>
  </si>
  <si>
    <t>SI-ABL-1971-1980-00</t>
  </si>
  <si>
    <t>SI-ABL-1981-2001-00</t>
  </si>
  <si>
    <t>SI-ABL-2002-2008-00</t>
  </si>
  <si>
    <t>SI-ABL-2009-2021-00</t>
  </si>
  <si>
    <t>SK-SFH-1850-1920-00</t>
  </si>
  <si>
    <t>SK-SFH-1921-1945-00</t>
  </si>
  <si>
    <t>SK-SFH-1946-1960-00</t>
  </si>
  <si>
    <t>SK-SFH-1961-1980-00</t>
  </si>
  <si>
    <t>SK-SFH-1981-1994-00</t>
  </si>
  <si>
    <t>SK-SFH-1995-2010-00</t>
  </si>
  <si>
    <t>SK-SFH-2011-2021-00</t>
  </si>
  <si>
    <t>SK-MFH-1850-1920-00</t>
  </si>
  <si>
    <t>SK-MFH-1921-1945-00</t>
  </si>
  <si>
    <t>SK-MFH-1946-1960-00</t>
  </si>
  <si>
    <t>SK-MFH-1961-1980-00</t>
  </si>
  <si>
    <t>SK-MFH-1981-1994-00</t>
  </si>
  <si>
    <t>SK-MFH-1995-2010-00</t>
  </si>
  <si>
    <t>SK-MFH-2011-2021-00</t>
  </si>
  <si>
    <t>SK-ABL-1850-1920-00</t>
  </si>
  <si>
    <t>SK-ABL-1921-1945-00</t>
  </si>
  <si>
    <t>SK-ABL-1946-1960-00</t>
  </si>
  <si>
    <t>SK-ABL-1961-1980-00</t>
  </si>
  <si>
    <t>SK-ABL-1981-1994-00</t>
  </si>
  <si>
    <t>SK-ABL-1995-2021-00</t>
  </si>
  <si>
    <t xml:space="preserve">4 Groups of countries according to HOTMAPS' classification for non-residential, representative countries do feature in TABULA </t>
  </si>
  <si>
    <t>Dimension types</t>
  </si>
  <si>
    <t xml:space="preserve">Fuel types </t>
  </si>
  <si>
    <t>Group 1 (Central Europe): AT, BE, DE, NL, LU, FR, IE --&gt; Represented by DE, FR, AT, NL, BE &amp; IE</t>
  </si>
  <si>
    <t xml:space="preserve">Group 2 (Eastern Europe): PL, CZ, HU, SI, SK, HR, BG, RO --&gt; Represented by PL,CZ, SI, HU &amp; BG </t>
  </si>
  <si>
    <t>Group 3 (Southern Europe): ES, IT, EL, CY, MT, PT --&gt; Represented by ES, IT, EL &amp; CY</t>
  </si>
  <si>
    <t>Group 4 (Northern Europe): DK, FI, SE, EE, LV, LT --&gt; Represented by DK, SE &amp; NO</t>
  </si>
  <si>
    <t>Heating systems Group 1 (DE, FR, AT, NL, BE, IE)</t>
  </si>
  <si>
    <t>Heating systems Group 2 (PL, CZ, SI, HU, BG)</t>
  </si>
  <si>
    <t>Heating systems Group 3 (ES, IT, EL, CY)</t>
  </si>
  <si>
    <t>Heating systems Group 4 (DK, SE, NO)</t>
  </si>
  <si>
    <t>Technology</t>
  </si>
  <si>
    <t>Dimensions</t>
  </si>
  <si>
    <t>Fuel</t>
  </si>
  <si>
    <t>Efficiency</t>
  </si>
  <si>
    <t>Central heat pump air source old</t>
  </si>
  <si>
    <t>Individual electric convective heater</t>
  </si>
  <si>
    <t>Individual heat pump air to air</t>
  </si>
  <si>
    <t>Individual condensing gas boiler new</t>
  </si>
  <si>
    <t>Individual electric underfloor radiant heating</t>
  </si>
  <si>
    <t>Individual fueloil boiler</t>
  </si>
  <si>
    <t>DHW systems Group 1 (DE, FR, AT, NL, BE, IE)</t>
  </si>
  <si>
    <t>DHW systems Group 2 (PL, CZ, SI, HU, BG)</t>
  </si>
  <si>
    <t>DHW systems Group 3 (ES, IT, EL, CY)</t>
  </si>
  <si>
    <t>DHW systems Group 4 (DK, SE, NO)</t>
  </si>
  <si>
    <t>Central biomass non-condensing boiler</t>
  </si>
  <si>
    <t>Individual gas condensing boiler old</t>
  </si>
  <si>
    <t>Individual gas condensing boiler new</t>
  </si>
  <si>
    <t>Individual electric boiler</t>
  </si>
  <si>
    <t>Individual heat pump air to water</t>
  </si>
  <si>
    <t>GB-ABL-03</t>
  </si>
  <si>
    <t>GB</t>
  </si>
  <si>
    <t>GB-ABL-04</t>
  </si>
  <si>
    <t>GB-ABL-07</t>
  </si>
  <si>
    <t>GB-MFH-01</t>
  </si>
  <si>
    <t>GB-MFH-02</t>
  </si>
  <si>
    <t>GB-MFH-03</t>
  </si>
  <si>
    <t>GB-MFH-04</t>
  </si>
  <si>
    <t>GB-MFH-05</t>
  </si>
  <si>
    <t>GB-MFH-06</t>
  </si>
  <si>
    <t>GB-MFH-07</t>
  </si>
  <si>
    <t>GB-MFH-08</t>
  </si>
  <si>
    <t>GB-SFH-01</t>
  </si>
  <si>
    <t>GB-SFH-02</t>
  </si>
  <si>
    <t>GB-SFH-03</t>
  </si>
  <si>
    <t>GB-SFH-04</t>
  </si>
  <si>
    <t>GB-SFH-05</t>
  </si>
  <si>
    <t>GB-SFH-06</t>
  </si>
  <si>
    <t>GB-SFH-07</t>
  </si>
  <si>
    <t>GB-SFH-08</t>
  </si>
  <si>
    <t>GB-TH-01</t>
  </si>
  <si>
    <t>GB-TH-02</t>
  </si>
  <si>
    <t>GB-TH-03</t>
  </si>
  <si>
    <t>GB-TH-04</t>
  </si>
  <si>
    <t>GB-TH-05</t>
  </si>
  <si>
    <t>GB-TH-06</t>
  </si>
  <si>
    <t>GB-TH-07</t>
  </si>
  <si>
    <t>GB-TH-08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</si>
</sst>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0"/>
      <color theme="1"/>
      <name val="Calibri"/>
      <family val="2"/>
      <scheme val="minor"/>
    </font>
    <font>
      <i/>
      <sz val="9"/>
      <name val="Calibri"/>
      <family val="2"/>
      <scheme val="minor"/>
    </font>
    <font>
      <sz val="9"/>
      <name val="Calibri"/>
      <family val="2"/>
      <scheme val="minor"/>
    </font>
    <font>
      <sz val="9"/>
      <color theme="1"/>
      <name val="Calibri"/>
      <family val="2"/>
      <scheme val="minor"/>
    </font>
    <font>
      <i/>
      <sz val="11"/>
      <color theme="1"/>
      <name val="Calibri"/>
      <family val="2"/>
      <scheme val="minor"/>
    </font>
    <font>
      <b/>
      <sz val="12"/>
      <color rgb="FFFF0000"/>
      <name val="Calibri"/>
      <family val="2"/>
      <scheme val="minor"/>
    </font>
    <font>
      <b/>
      <i/>
      <sz val="12"/>
      <color rgb="FFFF0000"/>
      <name val="Calibri"/>
      <family val="2"/>
      <scheme val="minor"/>
    </font>
    <font>
      <b/>
      <sz val="11"/>
      <color theme="1"/>
      <name val="Calibri"/>
      <family val="2"/>
      <scheme val="minor"/>
    </font>
    <font>
      <sz val="8"/>
      <name val="Calibri"/>
      <family val="2"/>
      <scheme val="minor"/>
    </font>
    <font>
      <b/>
      <sz val="9"/>
      <color theme="1"/>
      <name val="Calibri"/>
      <family val="2"/>
      <scheme val="minor"/>
    </font>
    <font>
      <b/>
      <i/>
      <sz val="11"/>
      <color theme="0"/>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rgb="FFFFC000"/>
        <bgColor indexed="64"/>
      </patternFill>
    </fill>
    <fill>
      <patternFill patternType="solid">
        <fgColor theme="4" tint="0.79998168889431442"/>
        <bgColor theme="4" tint="0.79998168889431442"/>
      </patternFill>
    </fill>
  </fills>
  <borders count="22">
    <border>
      <left/>
      <right/>
      <top/>
      <bottom/>
      <diagonal/>
    </border>
    <border>
      <left/>
      <right style="thin">
        <color indexed="64"/>
      </right>
      <top/>
      <bottom/>
      <diagonal/>
    </border>
    <border>
      <left style="thin">
        <color indexed="64"/>
      </left>
      <right/>
      <top/>
      <bottom/>
      <diagonal/>
    </border>
    <border>
      <left/>
      <right style="mediumDashed">
        <color indexed="64"/>
      </right>
      <top/>
      <bottom/>
      <diagonal/>
    </border>
    <border>
      <left/>
      <right style="dashed">
        <color indexed="64"/>
      </right>
      <top/>
      <bottom/>
      <diagonal/>
    </border>
    <border>
      <left style="thin">
        <color indexed="64"/>
      </left>
      <right/>
      <top style="thin">
        <color indexed="64"/>
      </top>
      <bottom/>
      <diagonal/>
    </border>
    <border>
      <left/>
      <right/>
      <top style="thin">
        <color indexed="64"/>
      </top>
      <bottom/>
      <diagonal/>
    </border>
    <border>
      <left/>
      <right style="dashed">
        <color indexed="64"/>
      </right>
      <top style="thin">
        <color indexed="64"/>
      </top>
      <bottom/>
      <diagonal/>
    </border>
    <border>
      <left/>
      <right style="mediumDashed">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Dashed">
        <color indexed="64"/>
      </left>
      <right/>
      <top style="thin">
        <color indexed="64"/>
      </top>
      <bottom/>
      <diagonal/>
    </border>
    <border>
      <left style="mediumDashed">
        <color indexed="64"/>
      </left>
      <right/>
      <top/>
      <bottom/>
      <diagonal/>
    </border>
    <border>
      <left/>
      <right/>
      <top/>
      <bottom style="thin">
        <color indexed="64"/>
      </bottom>
      <diagonal/>
    </border>
    <border>
      <left style="thin">
        <color indexed="64"/>
      </left>
      <right/>
      <top/>
      <bottom style="thin">
        <color indexed="64"/>
      </bottom>
      <diagonal/>
    </border>
    <border>
      <left/>
      <right style="dashed">
        <color indexed="64"/>
      </right>
      <top/>
      <bottom style="thin">
        <color indexed="64"/>
      </bottom>
      <diagonal/>
    </border>
    <border>
      <left/>
      <right style="mediumDashed">
        <color indexed="64"/>
      </right>
      <top/>
      <bottom style="thin">
        <color indexed="64"/>
      </bottom>
      <diagonal/>
    </border>
    <border>
      <left style="dashed">
        <color auto="1"/>
      </left>
      <right/>
      <top/>
      <bottom/>
      <diagonal/>
    </border>
    <border>
      <left style="dashed">
        <color auto="1"/>
      </left>
      <right/>
      <top/>
      <bottom style="thin">
        <color indexed="64"/>
      </bottom>
      <diagonal/>
    </border>
    <border>
      <left style="dashed">
        <color auto="1"/>
      </left>
      <right/>
      <top style="thin">
        <color indexed="64"/>
      </top>
      <bottom/>
      <diagonal/>
    </border>
    <border>
      <left/>
      <right/>
      <top style="thin">
        <color theme="4" tint="0.39997558519241921"/>
      </top>
      <bottom/>
      <diagonal/>
    </border>
    <border>
      <left style="mediumDashed">
        <color indexed="64"/>
      </left>
      <right/>
      <top/>
      <bottom style="thin">
        <color indexed="64"/>
      </bottom>
      <diagonal/>
    </border>
  </borders>
  <cellStyleXfs count="1">
    <xf numFmtId="0" fontId="0" fillId="0" borderId="0"/>
  </cellStyleXfs>
  <cellXfs count="101">
    <xf numFmtId="0" fontId="0" fillId="0" borderId="0" xfId="0"/>
    <xf numFmtId="0" fontId="1" fillId="0" borderId="0" xfId="0" applyFont="1"/>
    <xf numFmtId="0" fontId="2" fillId="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0" fillId="0" borderId="6" xfId="0" applyBorder="1"/>
    <xf numFmtId="0" fontId="2" fillId="3" borderId="0" xfId="0" applyFont="1" applyFill="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xf>
    <xf numFmtId="0" fontId="6" fillId="4" borderId="0" xfId="0" applyFont="1" applyFill="1"/>
    <xf numFmtId="0" fontId="6" fillId="4" borderId="0" xfId="0" applyFont="1" applyFill="1" applyAlignment="1">
      <alignment horizontal="center"/>
    </xf>
    <xf numFmtId="0" fontId="0" fillId="0" borderId="0" xfId="0" applyAlignment="1">
      <alignment horizontal="center"/>
    </xf>
    <xf numFmtId="0" fontId="5" fillId="0" borderId="1" xfId="0" applyFont="1" applyBorder="1" applyAlignment="1">
      <alignment horizontal="center" vertical="center"/>
    </xf>
    <xf numFmtId="0" fontId="7" fillId="4" borderId="0" xfId="0" applyFont="1" applyFill="1"/>
    <xf numFmtId="0" fontId="5" fillId="0" borderId="1" xfId="0" applyFont="1" applyBorder="1" applyAlignment="1">
      <alignment horizontal="center"/>
    </xf>
    <xf numFmtId="0" fontId="5" fillId="0" borderId="10" xfId="0" applyFont="1" applyBorder="1" applyAlignment="1">
      <alignment horizontal="center"/>
    </xf>
    <xf numFmtId="0" fontId="7" fillId="4" borderId="0" xfId="0" applyFont="1" applyFill="1" applyAlignment="1">
      <alignment horizontal="left"/>
    </xf>
    <xf numFmtId="0" fontId="5" fillId="0" borderId="9" xfId="0" applyFont="1" applyBorder="1" applyAlignment="1">
      <alignment horizontal="center"/>
    </xf>
    <xf numFmtId="0" fontId="0" fillId="0" borderId="6" xfId="0" applyBorder="1" applyAlignment="1">
      <alignment horizontal="center"/>
    </xf>
    <xf numFmtId="9" fontId="0" fillId="0" borderId="0" xfId="0" applyNumberFormat="1"/>
    <xf numFmtId="0" fontId="5" fillId="5" borderId="0" xfId="0" applyFont="1" applyFill="1" applyAlignment="1">
      <alignment horizontal="center"/>
    </xf>
    <xf numFmtId="0" fontId="0" fillId="0" borderId="0" xfId="0" applyAlignment="1">
      <alignment horizontal="right"/>
    </xf>
    <xf numFmtId="0" fontId="0" fillId="0" borderId="0" xfId="0" applyAlignment="1">
      <alignment horizontal="right" vertical="center"/>
    </xf>
    <xf numFmtId="0" fontId="8" fillId="0" borderId="0" xfId="0" applyFont="1"/>
    <xf numFmtId="0" fontId="6" fillId="4" borderId="0" xfId="0" applyFont="1" applyFill="1" applyAlignment="1">
      <alignment horizontal="left" vertical="center"/>
    </xf>
    <xf numFmtId="0" fontId="1" fillId="0" borderId="0" xfId="0" applyFont="1" applyAlignment="1">
      <alignment horizontal="left" vertical="center"/>
    </xf>
    <xf numFmtId="9" fontId="1" fillId="0" borderId="0" xfId="0" applyNumberFormat="1" applyFont="1" applyAlignment="1">
      <alignment horizontal="left" vertical="center"/>
    </xf>
    <xf numFmtId="0" fontId="0" fillId="0" borderId="6" xfId="0" applyBorder="1" applyAlignment="1">
      <alignment horizontal="left" vertical="center"/>
    </xf>
    <xf numFmtId="9" fontId="0" fillId="0" borderId="6" xfId="0" applyNumberFormat="1" applyBorder="1" applyAlignment="1">
      <alignment horizontal="left" vertical="center"/>
    </xf>
    <xf numFmtId="0" fontId="0" fillId="0" borderId="0" xfId="0" applyAlignment="1">
      <alignment horizontal="left" vertical="center"/>
    </xf>
    <xf numFmtId="9" fontId="0" fillId="0" borderId="0" xfId="0" applyNumberFormat="1" applyAlignment="1">
      <alignment horizontal="left" vertical="center"/>
    </xf>
    <xf numFmtId="0" fontId="6" fillId="4" borderId="4" xfId="0" applyFont="1" applyFill="1" applyBorder="1" applyAlignment="1">
      <alignment horizontal="left" vertical="center"/>
    </xf>
    <xf numFmtId="9" fontId="1" fillId="0" borderId="4" xfId="0" applyNumberFormat="1" applyFont="1" applyBorder="1" applyAlignment="1">
      <alignment horizontal="left" vertical="center"/>
    </xf>
    <xf numFmtId="0" fontId="0" fillId="0" borderId="4" xfId="0" applyBorder="1" applyAlignment="1">
      <alignment horizontal="left" vertical="center"/>
    </xf>
    <xf numFmtId="0" fontId="6" fillId="4" borderId="3" xfId="0" applyFont="1" applyFill="1" applyBorder="1" applyAlignment="1">
      <alignment horizontal="left" vertical="center"/>
    </xf>
    <xf numFmtId="9" fontId="1" fillId="0" borderId="3" xfId="0" applyNumberFormat="1" applyFont="1" applyBorder="1" applyAlignment="1">
      <alignment horizontal="left" vertical="center"/>
    </xf>
    <xf numFmtId="0" fontId="1" fillId="0" borderId="3" xfId="0" applyFont="1" applyBorder="1" applyAlignment="1">
      <alignment horizontal="left" vertical="center"/>
    </xf>
    <xf numFmtId="0" fontId="0" fillId="0" borderId="3" xfId="0" applyBorder="1" applyAlignment="1">
      <alignment horizontal="left" vertical="center"/>
    </xf>
    <xf numFmtId="0" fontId="0" fillId="0" borderId="8" xfId="0" applyBorder="1" applyAlignment="1">
      <alignment horizontal="left" vertical="center"/>
    </xf>
    <xf numFmtId="0" fontId="4" fillId="0" borderId="0" xfId="0" applyFont="1" applyAlignment="1">
      <alignment horizontal="center"/>
    </xf>
    <xf numFmtId="0" fontId="1" fillId="0" borderId="2" xfId="0" applyFont="1" applyBorder="1" applyAlignment="1">
      <alignment horizontal="left" vertical="center"/>
    </xf>
    <xf numFmtId="0" fontId="0" fillId="0" borderId="5" xfId="0" applyBorder="1" applyAlignment="1">
      <alignment horizontal="left" vertical="center"/>
    </xf>
    <xf numFmtId="0" fontId="0" fillId="0" borderId="2" xfId="0" applyBorder="1" applyAlignment="1">
      <alignment horizontal="left" vertical="center"/>
    </xf>
    <xf numFmtId="0" fontId="1" fillId="0" borderId="5" xfId="0" applyFont="1" applyBorder="1" applyAlignment="1">
      <alignment horizontal="center" vertical="center"/>
    </xf>
    <xf numFmtId="0" fontId="1" fillId="0" borderId="5" xfId="0" applyFont="1" applyBorder="1" applyAlignment="1">
      <alignment horizontal="left" vertical="center"/>
    </xf>
    <xf numFmtId="0" fontId="1" fillId="0" borderId="6" xfId="0" applyFont="1" applyBorder="1"/>
    <xf numFmtId="0" fontId="1" fillId="0" borderId="6" xfId="0" applyFont="1" applyBorder="1" applyAlignment="1">
      <alignment horizontal="left" vertical="center"/>
    </xf>
    <xf numFmtId="9" fontId="1" fillId="0" borderId="6" xfId="0" applyNumberFormat="1" applyFont="1" applyBorder="1" applyAlignment="1">
      <alignment horizontal="left" vertical="center"/>
    </xf>
    <xf numFmtId="9" fontId="1" fillId="0" borderId="7" xfId="0" applyNumberFormat="1" applyFont="1" applyBorder="1" applyAlignment="1">
      <alignment horizontal="left" vertical="center"/>
    </xf>
    <xf numFmtId="9" fontId="1" fillId="0" borderId="8" xfId="0" applyNumberFormat="1" applyFont="1" applyBorder="1" applyAlignment="1">
      <alignment horizontal="left" vertical="center"/>
    </xf>
    <xf numFmtId="9" fontId="6" fillId="4" borderId="0" xfId="0" applyNumberFormat="1" applyFont="1" applyFill="1" applyAlignment="1">
      <alignment horizontal="left" vertical="center"/>
    </xf>
    <xf numFmtId="9" fontId="3" fillId="2" borderId="0" xfId="0" applyNumberFormat="1" applyFont="1" applyFill="1" applyAlignment="1">
      <alignment horizontal="center" vertical="center" wrapText="1"/>
    </xf>
    <xf numFmtId="0" fontId="1" fillId="0" borderId="2" xfId="0" applyFont="1" applyBorder="1" applyAlignment="1">
      <alignment horizontal="center"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0" fillId="6" borderId="0" xfId="0" applyFont="1" applyFill="1" applyAlignment="1">
      <alignment horizontal="center" vertical="center" wrapText="1"/>
    </xf>
    <xf numFmtId="0" fontId="1" fillId="0" borderId="13" xfId="0" applyFont="1" applyBorder="1" applyAlignment="1">
      <alignment horizontal="center" vertical="center"/>
    </xf>
    <xf numFmtId="0" fontId="1" fillId="0" borderId="14" xfId="0" applyFont="1" applyBorder="1" applyAlignment="1">
      <alignment horizontal="left" vertical="center"/>
    </xf>
    <xf numFmtId="0" fontId="1" fillId="0" borderId="13" xfId="0" applyFont="1" applyBorder="1"/>
    <xf numFmtId="0" fontId="1" fillId="0" borderId="13" xfId="0" applyFont="1" applyBorder="1" applyAlignment="1">
      <alignment horizontal="left" vertical="center"/>
    </xf>
    <xf numFmtId="9" fontId="1" fillId="0" borderId="13" xfId="0" applyNumberFormat="1" applyFont="1" applyBorder="1" applyAlignment="1">
      <alignment horizontal="left" vertical="center"/>
    </xf>
    <xf numFmtId="9" fontId="1" fillId="0" borderId="15" xfId="0" applyNumberFormat="1" applyFont="1"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3" xfId="0" applyBorder="1"/>
    <xf numFmtId="9" fontId="1" fillId="0" borderId="16" xfId="0" applyNumberFormat="1" applyFont="1" applyBorder="1" applyAlignment="1">
      <alignment horizontal="left" vertical="center"/>
    </xf>
    <xf numFmtId="0" fontId="1" fillId="0" borderId="8" xfId="0" applyFont="1" applyBorder="1" applyAlignment="1">
      <alignment horizontal="left" vertical="center"/>
    </xf>
    <xf numFmtId="0" fontId="6" fillId="4" borderId="17" xfId="0" applyFont="1" applyFill="1" applyBorder="1" applyAlignment="1">
      <alignment horizontal="left" vertical="center"/>
    </xf>
    <xf numFmtId="0" fontId="3" fillId="2" borderId="17" xfId="0" applyFont="1" applyFill="1" applyBorder="1" applyAlignment="1">
      <alignment horizontal="center" vertical="center" wrapText="1"/>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0" fillId="0" borderId="17" xfId="0" applyBorder="1" applyAlignment="1">
      <alignment horizontal="left" vertical="center"/>
    </xf>
    <xf numFmtId="0" fontId="0" fillId="0" borderId="19" xfId="0" applyBorder="1" applyAlignment="1">
      <alignment horizontal="left" vertical="center"/>
    </xf>
    <xf numFmtId="0" fontId="0" fillId="0" borderId="18" xfId="0" applyBorder="1" applyAlignment="1">
      <alignment horizontal="left" vertical="center"/>
    </xf>
    <xf numFmtId="0" fontId="3" fillId="2" borderId="12" xfId="0" applyFont="1" applyFill="1" applyBorder="1" applyAlignment="1">
      <alignment horizontal="center" vertical="center" wrapText="1"/>
    </xf>
    <xf numFmtId="0" fontId="0" fillId="7" borderId="20" xfId="0" applyFill="1" applyBorder="1"/>
    <xf numFmtId="0" fontId="0" fillId="0" borderId="20" xfId="0" applyBorder="1"/>
    <xf numFmtId="9" fontId="0" fillId="7" borderId="20" xfId="0" applyNumberFormat="1" applyFill="1" applyBorder="1"/>
    <xf numFmtId="9" fontId="0" fillId="0" borderId="20" xfId="0" applyNumberFormat="1" applyBorder="1"/>
    <xf numFmtId="0" fontId="11" fillId="5" borderId="0" xfId="0" applyFont="1" applyFill="1" applyAlignment="1">
      <alignment horizontal="center"/>
    </xf>
    <xf numFmtId="9" fontId="0" fillId="0" borderId="4" xfId="0" applyNumberFormat="1" applyBorder="1" applyAlignment="1">
      <alignment horizontal="left" vertical="center"/>
    </xf>
    <xf numFmtId="9" fontId="0" fillId="0" borderId="7" xfId="0" applyNumberFormat="1" applyBorder="1" applyAlignment="1">
      <alignment horizontal="left" vertical="center"/>
    </xf>
    <xf numFmtId="9" fontId="0" fillId="0" borderId="3" xfId="0" applyNumberFormat="1" applyBorder="1" applyAlignment="1">
      <alignment horizontal="left" vertical="center"/>
    </xf>
    <xf numFmtId="9" fontId="0" fillId="0" borderId="8" xfId="0" applyNumberFormat="1" applyBorder="1" applyAlignment="1">
      <alignment horizontal="left" vertical="center"/>
    </xf>
    <xf numFmtId="0" fontId="0" fillId="0" borderId="5" xfId="0" applyBorder="1" applyAlignment="1">
      <alignment horizontal="center"/>
    </xf>
    <xf numFmtId="0" fontId="0" fillId="0" borderId="2" xfId="0" applyBorder="1" applyAlignment="1">
      <alignment horizontal="center"/>
    </xf>
    <xf numFmtId="11" fontId="0" fillId="0" borderId="0" xfId="0" applyNumberFormat="1"/>
    <xf numFmtId="0" fontId="1" fillId="0" borderId="21" xfId="0" applyFont="1" applyBorder="1" applyAlignment="1">
      <alignment horizontal="left" vertical="center"/>
    </xf>
    <xf numFmtId="9" fontId="0" fillId="0" borderId="16" xfId="0" applyNumberFormat="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9" fontId="0" fillId="0" borderId="13" xfId="0" applyNumberFormat="1" applyBorder="1" applyAlignment="1">
      <alignment horizontal="left" vertical="center"/>
    </xf>
    <xf numFmtId="0" fontId="0" fillId="0" borderId="21" xfId="0" applyBorder="1" applyAlignment="1">
      <alignment horizontal="left" vertical="center"/>
    </xf>
    <xf numFmtId="9" fontId="0" fillId="0" borderId="15" xfId="0" applyNumberFormat="1" applyBorder="1" applyAlignment="1">
      <alignment horizontal="left" vertical="center"/>
    </xf>
    <xf numFmtId="9" fontId="0" fillId="0" borderId="21" xfId="0" applyNumberFormat="1" applyBorder="1" applyAlignment="1">
      <alignment horizontal="left" vertical="center"/>
    </xf>
    <xf numFmtId="9" fontId="0" fillId="0" borderId="11" xfId="0" applyNumberFormat="1" applyBorder="1" applyAlignment="1">
      <alignment horizontal="left" vertical="center"/>
    </xf>
    <xf numFmtId="9" fontId="0" fillId="0" borderId="12" xfId="0" applyNumberFormat="1" applyBorder="1" applyAlignment="1">
      <alignment horizontal="left" vertical="center"/>
    </xf>
    <xf numFmtId="9" fontId="0" fillId="0" borderId="19" xfId="0" applyNumberFormat="1" applyBorder="1" applyAlignment="1">
      <alignment horizontal="left" vertical="center"/>
    </xf>
    <xf numFmtId="0" fontId="8" fillId="0" borderId="0" xfId="0" applyFont="1" applyAlignment="1">
      <alignment horizontal="center"/>
    </xf>
  </cellXfs>
  <cellStyles count="1">
    <cellStyle name="Normal" xfId="0" builtinId="0"/>
  </cellStyles>
  <dxfs count="21">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strike val="0"/>
        <condense val="0"/>
        <extend val="0"/>
        <outline val="0"/>
        <shadow val="0"/>
        <u val="none"/>
        <vertAlign val="baseline"/>
        <sz val="11"/>
        <color theme="0"/>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
      <numFmt numFmtId="13" formatCode="0%"/>
    </dxf>
    <dxf>
      <font>
        <b val="0"/>
        <i/>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Xerome  Fernández Álvarez" id="{D3567B56-F92F-40F9-8279-8ED682A83BAE}" userId="xerome.fernandez.alvarez@bpie.eu" providerId="PeoplePicker"/>
  <person displayName="Ivan Jankovic" id="{E6AF1A4C-59CE-44E2-8936-A9EA896178DA}" userId="S::ivan.jankovic@bpie.eu::4b00854b-0499-49a8-8a32-0300a92945c4" providerId="AD"/>
  <person displayName="Xerome  Fernández Álvarez" id="{7158B863-74C2-41FC-A847-64E8ABCADCDE}" userId="S::xerome.fernandez.alvarez@bpie.eu::cff808cf-fcaf-4fd8-83be-87252527bc1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AD2EBE-7DA7-4D50-89D8-BE76BB6CFC3E}" name="DHW_Group1" displayName="DHW_Group1" ref="C28:F40" totalsRowShown="0" headerRowDxfId="20">
  <autoFilter ref="C28:F40" xr:uid="{D9AD2EBE-7DA7-4D50-89D8-BE76BB6CFC3E}"/>
  <sortState xmlns:xlrd2="http://schemas.microsoft.com/office/spreadsheetml/2017/richdata2" ref="C29:F40">
    <sortCondition ref="D29:D40"/>
    <sortCondition ref="E29:E40"/>
    <sortCondition ref="F29:F40"/>
  </sortState>
  <tableColumns count="4">
    <tableColumn id="1" xr3:uid="{2D977356-E16E-4308-ACF6-6A4167AE3E86}" name="Technology"/>
    <tableColumn id="2" xr3:uid="{F88A5401-9162-4E8E-8309-FAB97FAAB55A}" name="Dimensions"/>
    <tableColumn id="3" xr3:uid="{61DC8947-0522-42C6-904E-E0C20EDE3546}" name="Fuel"/>
    <tableColumn id="4" xr3:uid="{3F27C16E-20ED-44BF-A78B-58481A6C5F4F}" name="Efficiency"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B6FE8-0E24-4B4E-9A15-1C5D88150E99}" name="Heating_Group2" displayName="Heating_Group2" ref="H10:K20" totalsRowShown="0" headerRowDxfId="18">
  <autoFilter ref="H10:K20" xr:uid="{9C4B6FE8-0E24-4B4E-9A15-1C5D88150E99}"/>
  <sortState xmlns:xlrd2="http://schemas.microsoft.com/office/spreadsheetml/2017/richdata2" ref="H11:K20">
    <sortCondition ref="I11:I20"/>
    <sortCondition ref="J11:J20"/>
    <sortCondition ref="K11:K20"/>
  </sortState>
  <tableColumns count="4">
    <tableColumn id="1" xr3:uid="{4FC6F497-D89D-46DC-A456-0C58731A1A3E}" name="Technology"/>
    <tableColumn id="2" xr3:uid="{D687A10E-73C1-4AAE-A8BB-A6B980B3662F}" name="Dimensions"/>
    <tableColumn id="3" xr3:uid="{199BE0FB-946C-4961-9CAD-BABDDF96745C}" name="Fuel"/>
    <tableColumn id="4" xr3:uid="{97AC87AE-D828-4254-B977-7251D296369A}" name="Efficiency"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DF7E7B-214D-48FC-BCF8-13D4AB4241ED}" name="Heating_Group3" displayName="Heating_Group3" ref="M10:P18" totalsRowShown="0" headerRowDxfId="16">
  <autoFilter ref="M10:P18" xr:uid="{07DF7E7B-214D-48FC-BCF8-13D4AB4241ED}"/>
  <sortState xmlns:xlrd2="http://schemas.microsoft.com/office/spreadsheetml/2017/richdata2" ref="M11:P18">
    <sortCondition ref="N11:N18"/>
    <sortCondition ref="O11:O18"/>
    <sortCondition ref="P11:P18"/>
  </sortState>
  <tableColumns count="4">
    <tableColumn id="1" xr3:uid="{6EF07136-D94F-4B83-9AC7-0E2EBDB55013}" name="Technology"/>
    <tableColumn id="2" xr3:uid="{A68EEC83-3EAB-49BB-9D16-BE7507592DD3}" name="Dimensions"/>
    <tableColumn id="3" xr3:uid="{C885B319-E8B0-4B68-A1F1-0123B14EA8DE}" name="Fuel"/>
    <tableColumn id="4" xr3:uid="{F740879A-5DBE-468B-83ED-800C247B04F4}" name="Efficiency"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0FA1BB-E622-4E50-B35E-E8BC34CD46D2}" name="Heating_Group1" displayName="Heating_Group1" ref="C10:F25" totalsRowShown="0" headerRowDxfId="14">
  <autoFilter ref="C10:F25" xr:uid="{8B0FA1BB-E622-4E50-B35E-E8BC34CD46D2}"/>
  <sortState xmlns:xlrd2="http://schemas.microsoft.com/office/spreadsheetml/2017/richdata2" ref="C11:F25">
    <sortCondition ref="D11:D25"/>
    <sortCondition ref="E11:E25"/>
    <sortCondition ref="F11:F25"/>
  </sortState>
  <tableColumns count="4">
    <tableColumn id="1" xr3:uid="{CCCC9F9D-12D0-4A24-BEA7-6F69A670710F}" name="Technology"/>
    <tableColumn id="2" xr3:uid="{2B0E740F-45BB-43A8-B1F8-862514DC3C3C}" name="Dimensions"/>
    <tableColumn id="3" xr3:uid="{A86232C4-F7B2-4636-9D40-EBD3803AC9F2}" name="Fuel"/>
    <tableColumn id="4" xr3:uid="{B677963F-723A-4960-9D39-DDA04487660B}" name="Efficiency"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0B63DDB-92C7-42F9-9B65-1AB71859F683}" name="DHW_Group2" displayName="DHW_Group2" ref="H28:K36" totalsRowShown="0" headerRowDxfId="12">
  <autoFilter ref="H28:K36" xr:uid="{E0B63DDB-92C7-42F9-9B65-1AB71859F683}"/>
  <sortState xmlns:xlrd2="http://schemas.microsoft.com/office/spreadsheetml/2017/richdata2" ref="H29:K36">
    <sortCondition ref="I29:I36"/>
    <sortCondition ref="J29:J36"/>
    <sortCondition ref="K29:K36"/>
  </sortState>
  <tableColumns count="4">
    <tableColumn id="1" xr3:uid="{FA5DA5FF-D48E-4E30-91F7-CC63B8FC6BBE}" name="Technology"/>
    <tableColumn id="2" xr3:uid="{FBBFBE2A-DD47-427E-A232-22C591FB24C1}" name="Dimensions"/>
    <tableColumn id="3" xr3:uid="{F48BE425-E4A6-443C-90EA-16082B5963DF}" name="Fuel"/>
    <tableColumn id="4" xr3:uid="{7F82A7ED-64A6-4429-BCAE-BB80CB694376}" name="Efficiency"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9BB2BE-6953-4DB3-B876-A1127A96111E}" name="DHW_Group3" displayName="DHW_Group3" ref="M28:P36" totalsRowShown="0" headerRowDxfId="10">
  <autoFilter ref="M28:P36" xr:uid="{3C9BB2BE-6953-4DB3-B876-A1127A96111E}"/>
  <sortState xmlns:xlrd2="http://schemas.microsoft.com/office/spreadsheetml/2017/richdata2" ref="M29:P36">
    <sortCondition ref="N29:N36"/>
    <sortCondition ref="O29:O36"/>
    <sortCondition ref="P29:P36"/>
  </sortState>
  <tableColumns count="4">
    <tableColumn id="1" xr3:uid="{F4B9F199-ABCD-4D3F-9387-B36F7F5DBC5C}" name="Technology"/>
    <tableColumn id="2" xr3:uid="{07F62A3B-43C2-4E74-99B7-582EC2B0A3BA}" name="Dimensions"/>
    <tableColumn id="3" xr3:uid="{1B20220D-0605-485E-8678-2A94FBEA0337}" name="Fuel"/>
    <tableColumn id="4" xr3:uid="{2BE4149A-93B5-4C88-8DC9-C13C9E395F17}" name="Efficienc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E073E71-53E0-41FF-A253-5E092478B509}" name="DHW_Group4" displayName="DHW_Group4" ref="R28:U39" totalsRowShown="0" headerRowDxfId="8">
  <autoFilter ref="R28:U39" xr:uid="{7E073E71-53E0-41FF-A253-5E092478B509}"/>
  <sortState xmlns:xlrd2="http://schemas.microsoft.com/office/spreadsheetml/2017/richdata2" ref="R29:U39">
    <sortCondition ref="S29:S39"/>
    <sortCondition ref="T29:T39"/>
    <sortCondition ref="U29:U39"/>
  </sortState>
  <tableColumns count="4">
    <tableColumn id="1" xr3:uid="{881CBCB9-88B5-4951-A302-B2AF57ABFEC6}" name="Technology"/>
    <tableColumn id="2" xr3:uid="{EC7E6969-6CD9-4500-916F-246B37683C7D}" name="Dimensions"/>
    <tableColumn id="3" xr3:uid="{23F40ABD-DBBF-4B20-9348-BA1041889677}" name="Fuel"/>
    <tableColumn id="4" xr3:uid="{F7E2A979-DF62-4514-959B-0A19A73982D9}" name="Efficiency" dataDxfId="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217E93-F66E-437F-8311-32A04C67A36A}" name="Heating_Group4" displayName="Heating_Group4" ref="R10:U20" totalsRowShown="0" headerRowDxfId="6" dataDxfId="5" tableBorderDxfId="4">
  <autoFilter ref="R10:U20" xr:uid="{9B217E93-F66E-437F-8311-32A04C67A36A}"/>
  <sortState xmlns:xlrd2="http://schemas.microsoft.com/office/spreadsheetml/2017/richdata2" ref="R11:U20">
    <sortCondition ref="S11:S20"/>
    <sortCondition ref="T11:T20"/>
    <sortCondition ref="U11:U20"/>
  </sortState>
  <tableColumns count="4">
    <tableColumn id="1" xr3:uid="{B24A4D53-A1CA-48BE-9585-A7DC9B5E0107}" name="Technology" dataDxfId="3"/>
    <tableColumn id="2" xr3:uid="{9295A516-F2EF-46D2-B9CE-FB888C4DB2F3}" name="Dimensions" dataDxfId="2"/>
    <tableColumn id="3" xr3:uid="{C9978948-3709-4B80-8B3E-CBB3DDE5C4F4}" name="Fuel" dataDxfId="1"/>
    <tableColumn id="4" xr3:uid="{1537B1B5-2715-4465-9CA0-E5090C012B2E}" name="Efficienc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3" dT="2022-01-31T09:57:22.46" personId="{E6AF1A4C-59CE-44E2-8936-A9EA896178DA}" id="{2F44A65D-9657-4FED-B925-FE1D2AE9FE4D}">
    <text>@Xerome  Fernández Álvarez: Shouldn't this be &lt;=100%?</text>
    <mentions>
      <mention mentionpersonId="{D3567B56-F92F-40F9-8279-8ED682A83BAE}" mentionId="{A285A914-50BB-46EA-9D08-59A256B98CA7}" startIndex="0" length="26"/>
    </mentions>
  </threadedComment>
  <threadedComment ref="K3" dT="2022-01-31T10:03:28.54" personId="{7158B863-74C2-41FC-A847-64E8ABCADCDE}" id="{41FB1095-24C3-4579-B0E1-CBC79BC07303}" parentId="{2F44A65D-9657-4FED-B925-FE1D2AE9FE4D}">
    <text>Heat pumps always have an efficiency higher than 100% (what they do is to invert the direction of the natural heat flow with the only addition of work being made in the compressor/s)</text>
  </threadedComment>
  <threadedComment ref="K3" dT="2022-01-31T11:09:48.66" personId="{E6AF1A4C-59CE-44E2-8936-A9EA896178DA}" id="{5A91A1D3-5709-4B9D-9060-BEB708A31C93}" parentId="{2F44A65D-9657-4FED-B925-FE1D2AE9FE4D}">
    <text>We should make a distinction between a heating system efficiency (always &lt;1) and COP of a heat pump. Maybe to change the title or to explain somewhere else..</text>
  </threadedComment>
  <threadedComment ref="V1802" dT="2022-02-09T09:15:01.95" personId="{7158B863-74C2-41FC-A847-64E8ABCADCDE}" id="{17979976-0128-4D39-935A-B23AC5C156E2}">
    <text>Looking at total level of widespread of condensning and non-condensing presence of boilers for these periods there was assumed a gradual introduction of condensing boilers from 1990. Fro SFHs and MFHs boilers are marked as combined, so a clear distinction isn't fully provided and this assumption was considered to match what the "total"category states</text>
  </threadedComment>
  <threadedComment ref="V1823" dT="2022-02-09T10:19:00.55" personId="{7158B863-74C2-41FC-A847-64E8ABCADCDE}" id="{41503B2D-9A99-40C5-95F2-1C86FD1A4046}">
    <text>During the 1980-1989 period gas and liquid fuels were both "widespread", whereas for 1970-1979 only gas (central and individual 50/50 were present) Therefore, a 150/200 fraction belongs to gas and 50 to liquid. Due to the resolution limitations and the fractions used not considering any denominator above 5, a 40/40/20 distribution was selected, considering only individual boilers for the liquid as central ones aren't present in tabula (in belgium they are only individual too)</text>
  </threadedComment>
  <threadedComment ref="V1824" dT="2022-02-09T10:26:35.33" personId="{7158B863-74C2-41FC-A847-64E8ABCADCDE}" id="{98640530-B731-4A82-A59C-5D9DC730DE64}">
    <text>Condensing boilers are most widespread, being widespread individual an central ones, both fueloil and gas-powered. Individual fueloil ones are the only present in TABULA, so they feature as 50%, whereas central and individual gas ones take 25% each</text>
  </threadedComment>
  <threadedComment ref="V1829" dT="2022-02-09T10:50:28.73" personId="{7158B863-74C2-41FC-A847-64E8ABCADCDE}" id="{C646F204-E484-439C-9DDF-97B91580892F}">
    <text>non condensing gas dominates 1971-1980, and condensing fueloil and gas (both widespread, 50/50) the 1981-1990 period. therefore, a 50/25/25 distribution was considered.</text>
  </threadedComment>
  <threadedComment ref="V1834" dT="2022-02-09T10:50:28.73" personId="{7158B863-74C2-41FC-A847-64E8ABCADCDE}" id="{20478FA1-38A1-49F6-8813-A92463DD9B62}">
    <text>non condensing gas dominates 1971-1980, and condensing fueloil and gas (both widespread, 50/50) the 1981-1990 period. therefore, a 50/25/25 distribution was considered.</text>
  </threadedComment>
  <threadedComment ref="V1856" dT="2022-02-09T11:52:53.38" personId="{7158B863-74C2-41FC-A847-64E8ABCADCDE}" id="{A6D31A9C-4EC2-491F-B90E-CD577246981B}">
    <text>half of the period (until 2010) is dominated by electric heaters, afterwards it's half non-condensing gas boilers and half solar collectors</text>
  </threadedComment>
  <threadedComment ref="V1860" dT="2022-02-09T11:52:53.38" personId="{7158B863-74C2-41FC-A847-64E8ABCADCDE}" id="{78EAE066-080A-43A0-A53E-55100AEDB28D}">
    <text>half of the period (until 2010) is dominated by electric heaters, afterwards it's half non-condensing gas boilers and half solar collectors</text>
  </threadedComment>
  <threadedComment ref="V1866" dT="2022-02-09T12:06:31.56" personId="{7158B863-74C2-41FC-A847-64E8ABCADCDE}" id="{CA6C3EDC-FFFE-434E-8DCE-AA7EFFD71B64}">
    <text>untill 1990 the period is dominated by electric, then by non-condensing gas</text>
  </threadedComment>
  <threadedComment ref="V1867" dT="2022-02-09T12:04:06.45" personId="{7158B863-74C2-41FC-A847-64E8ABCADCDE}" id="{D5226049-A7FF-490A-914A-377F1DA10040}">
    <text>gradual introduction of condensing boilers considered, as hotmaps only states that boilers are "combined" and doesn't specify condensing or non-condensing</text>
  </threadedComment>
  <threadedComment ref="V1873" dT="2022-02-09T12:08:09.57" personId="{7158B863-74C2-41FC-A847-64E8ABCADCDE}" id="{15175DED-4ABA-4C0D-888E-2BA36DC0DD0A}">
    <text>untill 1990 the period is dominated by gas district heating, then by non-condensing gas</text>
  </threadedComment>
  <threadedComment ref="V1874" dT="2022-02-09T12:04:06.45" personId="{7158B863-74C2-41FC-A847-64E8ABCADCDE}" id="{418B8251-D5CB-422F-A7F5-531950B89109}">
    <text>gradual introduction of condensing boilers considered, as hotmaps only states that boilers are "combined" and doesn't specify condensing or non-condensing</text>
  </threadedComment>
  <threadedComment ref="V1880" dT="2022-02-09T12:08:09.57" personId="{7158B863-74C2-41FC-A847-64E8ABCADCDE}" id="{9E6FF253-FC63-49B6-BCC5-671DFF05D886}">
    <text>district heating gas is most widespread alone until 1990, then widespread (50%) between 1990 and 1994. Gas non-condensing is only "widespread"between 1990 and 1994 for this period. This means a 83,2/17,7 proportion--&gt; 80/20 due to resolution limits established</text>
  </threadedComment>
  <threadedComment ref="V1881" dT="2022-02-09T12:17:45.71" personId="{7158B863-74C2-41FC-A847-64E8ABCADCDE}" id="{3E253C95-30B4-49FE-8E94-FD92DC98A833}">
    <text>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ext>
  </threadedComment>
  <threadedComment ref="AA1892" dT="2022-02-09T13:03:12.91" personId="{7158B863-74C2-41FC-A847-64E8ABCADCDE}" id="{96899DE2-9B40-429E-9809-F5D869A576ED}">
    <text>They are widespread but their contribution is considered half of that of mediterranean countrues, so a 25% is considered</text>
  </threadedComment>
  <threadedComment ref="V1910" dT="2022-02-09T13:19:43.37" personId="{7158B863-74C2-41FC-A847-64E8ABCADCDE}" id="{1E6B2C57-4A72-4303-A239-A13AF7E3371F}">
    <text>Very wide-ranging period, due to resolution limitations solar collectors were considered negligible. Condensing gas prevailed over heating oil as it is more widespread in apartment blocks that in other types of buildings than heating oil is according to tabula. These condensing gas boilers got a share of 33%, as considering their prevalence since 2005 they would get a 15/50 share=30%--&gt;33% rounding up</text>
  </threadedComment>
  <threadedComment ref="AH1910" dT="2022-02-10T13:01:12.49" personId="{7158B863-74C2-41FC-A847-64E8ABCADCDE}" id="{9BD3B7AF-9260-4CDA-B7F5-28B583D2F0D8}">
    <text>10 out of that roughly 50-year period has space cooling systems (2011-2021), therefore, a 20% is assigned</text>
  </threadedComment>
  <threadedComment ref="V1911" dT="2022-02-09T15:34:07.24" personId="{7158B863-74C2-41FC-A847-64E8ABCADCDE}" id="{4BD25CD8-6470-4844-9E0E-4CA74F58354D}">
    <text>To clarify: Heat pumps are the "most widespread" technology on DHW while central heating and central are merely "widespread"</text>
  </threadedComment>
  <threadedComment ref="AB1918" dT="2022-02-09T13:38:44.17" personId="{7158B863-74C2-41FC-A847-64E8ABCADCDE}" id="{3D86645E-F625-4DCF-81F0-1ACD71EB71DA}">
    <text>As per tabula states, after the year 2000 district heating units had heat recovery and its efficiency increased</text>
  </threadedComment>
  <threadedComment ref="W1928" dT="2022-02-09T13:38:44.17" personId="{7158B863-74C2-41FC-A847-64E8ABCADCDE}" id="{4D0E5357-98E8-4088-9C00-D3F50C0299E6}">
    <text>As per tabula states, after the year 2000 district heating units had heat recovery and its efficiency increased</text>
  </threadedComment>
  <threadedComment ref="G1931" dT="2022-02-08T14:20:48.91" personId="{7158B863-74C2-41FC-A847-64E8ABCADCDE}" id="{BC2A830C-11B3-4630-A56E-326C625D1366}">
    <text>Fueloil boilers are "most widespread", heat pumps "less widespread"</text>
  </threadedComment>
  <threadedComment ref="V1931" dT="2022-02-09T14:42:36.68" personId="{7158B863-74C2-41FC-A847-64E8ABCADCDE}" id="{7C4728B8-A878-498E-B07D-EAC27B949119}">
    <text>Central non-condensing fueloil and gas are widespread, and heat pumps are less widespread, therefore 40/40/20</text>
  </threadedComment>
  <threadedComment ref="V1944" dT="2022-02-09T14:47:15.53" personId="{7158B863-74C2-41FC-A847-64E8ABCADCDE}" id="{5F25A048-52C8-4449-B6B9-F12A634C4450}">
    <text>both these boilers and solar collectors are "most widespread"</text>
  </threadedComment>
  <threadedComment ref="G1953" dT="2022-02-09T00:45:16.88" personId="{7158B863-74C2-41FC-A847-64E8ABCADCDE}" id="{83F0352A-4455-42AC-B45D-ED9134CEBAC7}">
    <text>around 60% of the period took part before 1996, so the manufactured gas non-condensing boilers up to that year  were less efficient according to the TABULA data</text>
  </threadedComment>
  <threadedComment ref="V1954" dT="2022-02-09T15:25:16.86" personId="{7158B863-74C2-41FC-A847-64E8ABCADCDE}" id="{C073B51F-150A-4250-8BAC-C02B9FA0FCA0}">
    <text>On the 15 year period, the first four years are dominated exclusively by non-condensing gas boilers. The remaining 11 years are 50/50 with solar collectors. Therefore, a share of 9,5/15 corresponds to gas non-condensing boilers = 63,2--&gt;60%</text>
  </threadedComment>
  <threadedComment ref="G1967" dT="2022-02-08T14:20:14.00" personId="{7158B863-74C2-41FC-A847-64E8ABCADCDE}" id="{19167536-6C44-4B04-8F1C-4C00966188A5}">
    <text>Heat pumps are "most widespread", whereas fueloil boilers are merely "widespread"</text>
  </threadedComment>
  <threadedComment ref="V2000" dT="2022-02-09T16:19:00.51" personId="{7158B863-74C2-41FC-A847-64E8ABCADCDE}" id="{0F3ABF8D-31D5-4595-B03A-AAC1218E5804}">
    <text>from 1970 until 1974 (4 out og 6 yers of the period) electric heaters dominate--&gt;66,66%</text>
  </threadedComment>
  <threadedComment ref="V2005" dT="2022-02-09T16:18:12.79" personId="{7158B863-74C2-41FC-A847-64E8ABCADCDE}" id="{6253F2E5-514A-43FB-BDD3-D701A229C32C}">
    <text>4 out of 6 years pre-2010 --&gt; individual non-condensing boilers--&gt;66,66%</text>
  </threadedComment>
  <threadedComment ref="G2044" dT="2022-02-08T17:35:17.16" personId="{7158B863-74C2-41FC-A847-64E8ABCADCDE}" id="{83F88E84-80E3-4C22-AEF8-3A09F14850CF}">
    <text>For this period from hotmaps Heat pumps are "most widespread" and liquid fuels are "widespread"</text>
  </threadedComment>
  <threadedComment ref="V2058" dT="2022-02-09T19:32:37.53" personId="{7158B863-74C2-41FC-A847-64E8ABCADCDE}" id="{4C9F0F4C-38D2-4731-814F-D9318184E93C}">
    <text>out of the 16 years of this period,5 are exclusively of non condensing boiler and 11 of 50/50 with solar collectors. Therefore, 10,5/15=70%--&gt;66,67%</text>
  </threadedComment>
  <threadedComment ref="V2066" dT="2022-02-09T19:33:46.35" personId="{7158B863-74C2-41FC-A847-64E8ABCADCDE}" id="{1EB38036-573E-4FCB-B84E-1CF18F653233}">
    <text>Same than tof SFHs but with individual and central instead that only central non-condensing gas boilers</text>
  </threadedComment>
  <threadedComment ref="V2073" dT="2022-02-09T19:39:25.33" personId="{7158B863-74C2-41FC-A847-64E8ABCADCDE}" id="{F07A1496-EC5E-4556-B46E-274B2C3064AE}">
    <text>14 years, 9 dominated by indiv. non-condensing boilers and 5 shared by condensing boilers and sollar collectors;--&gt;9/14=64,2%--&gt;60% and 20% for the other two (due to the resolution limitations established)</text>
  </threadedComment>
  <threadedComment ref="G2075" dT="2022-02-08T14:20:48.91" personId="{7158B863-74C2-41FC-A847-64E8ABCADCDE}" id="{93F8626D-74BD-42FB-8870-AC86F141C685}">
    <text>Fueloil boilers are "most widespread", heat pumps "less widespread"</text>
  </threadedComment>
  <threadedComment ref="V2075" dT="2022-02-09T14:42:36.68" personId="{7158B863-74C2-41FC-A847-64E8ABCADCDE}" id="{8C35A644-C735-4832-83BF-5B9F175009CF}">
    <text>Central non-condensing fueloil and gas are widespread, and heat pumps are less widespread, therefore 40/40/20</text>
  </threadedComment>
  <threadedComment ref="G2085" dT="2022-02-08T17:35:17.16" personId="{7158B863-74C2-41FC-A847-64E8ABCADCDE}" id="{B3E7CA18-3B70-4AF3-85BE-7F7E3B078376}">
    <text>until 1945 only stoves, from then until 1964 liquid fueloil boilers. A 2/3-1/3 proportion has been considered</text>
  </threadedComment>
  <threadedComment ref="V2085" dT="2022-02-09T19:59:13.78" personId="{7158B863-74C2-41FC-A847-64E8ABCADCDE}" id="{9B10FD16-86FB-45E1-B03B-DECCABED8775}">
    <text>Dominant system until 1945. Until 1969 electric individual heaters prevail as the sole "most widespread". Considered a 50/50 proportion</text>
  </threadedComment>
  <threadedComment ref="C2087" dT="2022-02-09T00:13:06.70" personId="{7158B863-74C2-41FC-A847-64E8ABCADCDE}" id="{CF6C79C0-0910-40C8-91F4-20D10FE158C6}">
    <text>No central stoves found in tabula, only individual ones. In any case, the efficiency shouldn't vary greatly</text>
  </threadedComment>
  <threadedComment ref="G2087" dT="2022-02-08T23:58:16.22" personId="{7158B863-74C2-41FC-A847-64E8ABCADCDE}" id="{DA0F5380-2E03-4940-AA48-BBBAD82D7E26}">
    <text>central fueloil non-condensing boilers were dominant until 1979, and then individual and central gas boilers took over as "most widespread" until 1991. A 33% for all has been then determined, as 5 years makes up roughly 1/3 of the duration of this period</text>
  </threadedComment>
  <threadedComment ref="H2087" dT="2022-02-09T00:08:31.65" personId="{7158B863-74C2-41FC-A847-64E8ABCADCDE}" id="{FBFE35FD-1FAF-49AC-A234-65750C7513CA}">
    <text>Only soild fuel individual stove available from TABULA, mots similar match</text>
  </threadedComment>
  <threadedComment ref="G2088" dT="2022-02-09T00:15:44.97" personId="{7158B863-74C2-41FC-A847-64E8ABCADCDE}" id="{B0B72DAD-60B2-4685-B527-08D8DC947EDB}">
    <text>from 1992 until 2000 stoves of solid fuels are most widespread, and durin the 2000-2005 period electric heating is. Therefore a 2/3-1/3 ratio has been assigned</text>
  </threadedComment>
  <threadedComment ref="AH2088" dT="2022-02-10T13:20:00.65" personId="{7158B863-74C2-41FC-A847-64E8ABCADCDE}" id="{0BAA1609-CCC8-476E-BF95-58ED56D0E067}">
    <text>5 out of the 13 years of this period have "Most cases YES" in Hotmaps, therefore 5/13=38,4%--&gt;40</text>
  </threadedComment>
  <threadedComment ref="G2089" dT="2022-02-09T00:17:19.25" personId="{7158B863-74C2-41FC-A847-64E8ABCADCDE}" id="{B678BC0D-91DA-4F3E-8D35-56ECDD5EA7B4}">
    <text>from 2005 to 2010, electring heating is most widespread, then after 2011 it's central heat pumps</text>
  </threadedComment>
  <threadedComment ref="V2089" dT="2022-02-09T20:16:36.12" personId="{7158B863-74C2-41FC-A847-64E8ABCADCDE}" id="{F6588886-5E62-4525-848C-A18F01D938B6}">
    <text>This period is the exact average of the period above and the period below, considering the periods defined in HOTMAPS and here. For resolultion reasons, this average is rounded up to the 2014-2021 period values</text>
  </threadedComment>
  <threadedComment ref="AB2089" dT="2022-02-09T20:20:43.52" personId="{7158B863-74C2-41FC-A847-64E8ABCADCDE}" id="{680CBB12-D0D2-4D27-A993-25E6E9E8AB83}">
    <text>Due to resolution limitations, instead of 10% for individual and 10% of central condensing boilers featuring here, 20% of individual ones were chosen as it is a SFH (in case it were a MFH or ABL, central would have prevailed)</text>
  </threadedComment>
  <threadedComment ref="V2090" dT="2022-02-09T20:18:14.91" personId="{7158B863-74C2-41FC-A847-64E8ABCADCDE}" id="{8FB236DE-8683-4D6E-8862-FD369BE58769}">
    <text>electricity is the most widespread fuel, whereas gas is "less widespread". As hotmaps considers electric resistance heaters as non-condensing boilers, and heat pumps are "most widespread technology" and condensing and non-condensing boilers are "less widespread" both, a 60/20/20 proportion was considered</text>
  </threadedComment>
  <threadedComment ref="W2091" dT="2022-02-09T20:24:23.80" personId="{7158B863-74C2-41FC-A847-64E8ABCADCDE}" id="{5AADBC03-89A2-41FB-9C65-CBE5B82C22AF}">
    <text>No central electric heaters featuring in TABULA. individual ones take its share,that would correspond to the 25%. Therefore, 50% for individual ones appears here</text>
  </threadedComment>
  <threadedComment ref="V2092" dT="2022-02-09T20:28:17.76" personId="{7158B863-74C2-41FC-A847-64E8ABCADCDE}" id="{C32E79B3-3904-4A80-8515-4079AF0A02B8}">
    <text>As this period is right in-between two HOTMAPS periods, half of the above period's shares are attributed in this one + the half of the 100% share of electric heaters corresponding to the 1970-1974 period. Thus,  a 75/25 ratio is obtained</text>
  </threadedComment>
  <threadedComment ref="G2093" dT="2022-02-09T00:24:07.11" personId="{7158B863-74C2-41FC-A847-64E8ABCADCDE}" id="{09FEE07E-93CA-4C9F-B5A9-DC241A119041}">
    <text>one third of the period is that of 1970-1979 in hotmaps and the rest 2/3 is assigned to the condensing central boilers dominated 1980-1989 period</text>
  </threadedComment>
  <threadedComment ref="G2094" dT="2022-02-09T00:25:54.35" personId="{7158B863-74C2-41FC-A847-64E8ABCADCDE}" id="{2A81D710-FF7E-4286-A28B-0923F112FC71}">
    <text>2/3belong to the 1991-1999 period dominated by electric heaters, then the remaining third to central non-condensing gas boilers era of 2000-2010</text>
  </threadedComment>
  <threadedComment ref="H2098" dT="2022-02-09T00:32:46.89" personId="{7158B863-74C2-41FC-A847-64E8ABCADCDE}" id="{A77444D3-9C42-41F9-B864-1A1DBA6FC759}">
    <text>Central fueloil non-condensing system considered the best match to substitute the district heating fueloil non-condensing system defined in hotmaps as most widespread for the 1970-1979 period</text>
  </threadedComment>
  <threadedComment ref="V2098" dT="2022-02-09T20:33:17.59" personId="{7158B863-74C2-41FC-A847-64E8ABCADCDE}" id="{0E34A2A9-7F6E-4B5F-889E-31BB10FB00F3}">
    <text>as stated above, this period is in the middle of two different hotmaps periods where two different systems dominate.</text>
  </threadedComment>
  <threadedComment ref="G2099" dT="2022-02-09T00:35:01.74" personId="{7158B863-74C2-41FC-A847-64E8ABCADCDE}" id="{5BF57663-BF70-4E15-B6DA-B60EB5D44638}">
    <text>2/3 of the 1974-1991 period assumed to be comprised by the hotmaps 1980-1989 period where individual gas condensing boilers prevailed as "most widespread"</text>
  </threadedComment>
  <threadedComment ref="H2099" dT="2022-02-09T00:32:46.89" personId="{7158B863-74C2-41FC-A847-64E8ABCADCDE}" id="{73AFA878-E084-45CE-88FD-933CD242E8C4}">
    <text>Central fueloil non-condensing system considered the best match to substitute the district heating fueloil non-condensing system defined in hotmaps as most widespread for the 1970-1979 period</text>
  </threadedComment>
  <threadedComment ref="V2099" dT="2022-02-09T20:34:59.94" personId="{7158B863-74C2-41FC-A847-64E8ABCADCDE}" id="{35AC6896-A7C5-4268-9A9C-4A428244B5C2}">
    <text>11 out the 16 years of this period are dominated by individual non condensing gas boilers: 68,8%--&gt;66%</text>
  </threadedComment>
  <threadedComment ref="V2101" dT="2022-02-09T20:37:45.01" personId="{7158B863-74C2-41FC-A847-64E8ABCADCDE}" id="{5529D534-F1B6-44BF-B583-84E69E2FE7AD}">
    <text>this period is in the middle of two of HOTMAPS, non condensing until 2010 and condensing after. 50/50 then</text>
  </threadedComment>
  <threadedComment ref="G2103" dT="2022-02-08T14:20:48.91" personId="{7158B863-74C2-41FC-A847-64E8ABCADCDE}" id="{6EFE5839-0183-4F17-96EB-D047BEC15FE4}">
    <text>Fueloil boilers are "most widespread", heat pumps "less widespread"</text>
  </threadedComment>
  <threadedComment ref="V2103" dT="2022-02-09T14:42:36.68" personId="{7158B863-74C2-41FC-A847-64E8ABCADCDE}" id="{8CDA551A-9F92-419D-93D9-1C33D80A07CE}">
    <text>Central non-condensing fueloil and gas are widespread, and heat pumps are less widespread, therefore 40/40/20</text>
  </threadedComment>
  <threadedComment ref="G2117" dT="2022-02-09T00:45:16.88" personId="{7158B863-74C2-41FC-A847-64E8ABCADCDE}" id="{983A3F6C-EB07-4A09-A828-FC3FCFFAF263}">
    <text>around 60% of the period took part before 1996, so the manufactured gas non-condensing boilers up to that year  were less efficient according to the TABULA data</text>
  </threadedComment>
  <threadedComment ref="V2118" dT="2022-02-09T23:33:47.33" personId="{7158B863-74C2-41FC-A847-64E8ABCADCDE}" id="{58DA10DD-E1DE-496C-896E-2AC67C176FD5}">
    <text>out of the 14 years that that period lasts, 4 are exclusively of non-condensing gas boilers and the remaining 10 are 50/50 with solar collectors. Therefore: 9/14=64,3%--&gt;66,7%</text>
  </threadedComment>
  <threadedComment ref="V2129" dT="2022-02-09T23:39:48.67" personId="{7158B863-74C2-41FC-A847-64E8ABCADCDE}" id="{EE92E29B-AE93-4FFD-9CAF-D57CD5211007}">
    <text>20 out of the 26 yers of this period are dominated by indiv. gas non-condensing boilers: 20/26=76,9%--&gt;75%. The remaining 25% goes to condensing boilers</text>
  </threadedComment>
  <threadedComment ref="R2131" dT="2022-02-09T23:45:33.77" personId="{7158B863-74C2-41FC-A847-64E8ABCADCDE}" id="{DB08086F-3097-43E3-9955-C945BABE5484}">
    <text>TABULA confirms that condensing boilers are dominant in every typology, as for SFHs and MFHs the only definition provided was "combined"</text>
  </threadedComment>
  <threadedComment ref="C2156" dT="2022-02-09T01:13:15.77" personId="{7158B863-74C2-41FC-A847-64E8ABCADCDE}" id="{D0A8BB68-5088-4B48-A98E-158024F52174}">
    <text>Hotmaps states that the district heating stations are gas-powered for MFHs and ABLs, but it does it in grey-colored cells as a hypothesis: Checking TABULA, these stations are coal-powered in all cases, so coal district heating stations were assigned instead</text>
  </threadedComment>
  <threadedComment ref="R2156" dT="2022-02-09T23:48:57.53" personId="{7158B863-74C2-41FC-A847-64E8ABCADCDE}" id="{FDB1DA03-4A67-4491-B88D-0856114725A2}">
    <text>TABULA confirms coal-powered is actually the current system used for district heating in the country for every MFH and ABL typology</text>
  </threadedComment>
  <threadedComment ref="G2172" dT="2022-02-09T00:45:16.88" personId="{7158B863-74C2-41FC-A847-64E8ABCADCDE}" id="{0DBCB201-D223-476C-ADBF-BDD80C5BDEAE}">
    <text>around 60% of the period took part before 1996, so the manufactured gas non-condensing boilers up to that year  were less efficient according to the TABULA data</text>
  </threadedComment>
  <threadedComment ref="V2173" dT="2022-02-09T15:25:16.86" personId="{7158B863-74C2-41FC-A847-64E8ABCADCDE}" id="{C9929E93-0F79-41C0-A278-BBD69748EDCA}">
    <text>On the 15 year period, the first four years are dominated exclusively by non-condensing gas boilers. The remaining 11 years are 50/50 with solar collectors. Therefore, a share of 9,5/15 corresponds to gas non-condensing boilers = 63,2--&gt;60%</text>
  </threadedComment>
  <threadedComment ref="G2202" dT="2022-02-08T14:20:14.00" personId="{7158B863-74C2-41FC-A847-64E8ABCADCDE}" id="{4BF2FAAE-3B14-4DB7-A65E-C131E403393D}">
    <text>Heat pumps are "most widespread", whereas fueloil boilers are merely "widespread"</text>
  </threadedComment>
  <threadedComment ref="V2202" dT="2022-02-09T23:59:16.38" personId="{7158B863-74C2-41FC-A847-64E8ABCADCDE}" id="{F4F6E518-3D4F-4DDE-AAE8-88AB5A83FDED}">
    <text>electricty and central heat pumps are both the most widespread fuel and technology, being non-condensing boilers "widespread" and gas and fueloil both "less widespread". A 60/20/20 proportion was chosen</text>
  </threadedComment>
  <threadedComment ref="G2212" dT="2022-02-09T01:27:52.06" personId="{7158B863-74C2-41FC-A847-64E8ABCADCDE}" id="{77C3B169-4C06-45A5-87ED-3F621BB725D4}">
    <text>both biomass and fueloil are "widespread", so 50-50 prevalence</text>
  </threadedComment>
  <threadedComment ref="G2213" dT="2022-02-09T01:26:45.21" personId="{7158B863-74C2-41FC-A847-64E8ABCADCDE}" id="{61516BFA-71AA-4D58-BB24-48F2F9A2F672}">
    <text>Biomass boilers in this period are "most widespread" whereas fueloil ones are "less widespread"</text>
  </threadedComment>
  <threadedComment ref="G2218" dT="2022-02-09T01:27:52.06" personId="{7158B863-74C2-41FC-A847-64E8ABCADCDE}" id="{388E8922-821B-47CC-9BA4-A556A4D2A9BF}">
    <text>both biomass and fueloil are "widespread", so 50-50 prevalence</text>
  </threadedComment>
  <threadedComment ref="G2219" dT="2022-02-09T01:26:45.21" personId="{7158B863-74C2-41FC-A847-64E8ABCADCDE}" id="{05218B1F-3026-47E8-B720-CEE201C16847}">
    <text>Biomass boilers in this period are "most widespread" whereas fueloil ones are "less widespread"</text>
  </threadedComment>
  <threadedComment ref="G2224" dT="2022-02-09T01:27:52.06" personId="{7158B863-74C2-41FC-A847-64E8ABCADCDE}" id="{B78AD73E-66B8-4513-8C6C-B4D4EED1F8DC}">
    <text>both biomass and fueloil are "widespread", so 50-50 prevalence</text>
  </threadedComment>
  <threadedComment ref="G2225" dT="2022-02-09T01:26:45.21" personId="{7158B863-74C2-41FC-A847-64E8ABCADCDE}" id="{C1E52AA6-05A8-4373-BBB5-095CA654C678}">
    <text>Biomass boilers in this period are "most widespread" whereas fueloil ones are "less widespread"</text>
  </threadedComment>
  <threadedComment ref="B2230" dT="2022-02-09T01:34:53.47" personId="{7158B863-74C2-41FC-A847-64E8ABCADCDE}" id="{D22492AF-312C-469D-B164-E32BB0C01DEB}">
    <text>SK is identical to CZ in hotmaps, and CZ data in TABULA pretty much matches that established in hotmaps, so the assumption made in hotmaps for SK with its cells colored in grey (meaning assumption) seems to be fairly accurate</text>
  </threadedComment>
  <threadedComment ref="V2234" dT="2022-02-09T12:06:31.56" personId="{7158B863-74C2-41FC-A847-64E8ABCADCDE}" id="{B0C94992-F1A2-489E-9D60-7C165AA4AF89}">
    <text>untill 1990 the period is dominated by electric, then by non-condensing gas</text>
  </threadedComment>
  <threadedComment ref="V2235" dT="2022-02-09T12:04:06.45" personId="{7158B863-74C2-41FC-A847-64E8ABCADCDE}" id="{242DD620-A55A-4192-9D43-3715A3B584B9}">
    <text>gradual introduction of condensing boilers considered, as hotmaps only states that boilers are "combined" and doesn't specify condensing or non-condensing</text>
  </threadedComment>
  <threadedComment ref="V2241" dT="2022-02-09T12:08:09.57" personId="{7158B863-74C2-41FC-A847-64E8ABCADCDE}" id="{CE1C301C-28ED-41D9-9A7F-ED91910CE8DE}">
    <text>untill 1990 the period is dominated by gas district heating, then by non-condensing gas</text>
  </threadedComment>
  <threadedComment ref="V2242" dT="2022-02-09T12:04:06.45" personId="{7158B863-74C2-41FC-A847-64E8ABCADCDE}" id="{F3AAD9DE-A8DC-400E-873D-2787EB57AD74}">
    <text>gradual introduction of condensing boilers considered, as hotmaps only states that boilers are "combined" and doesn't specify condensing or non-condensing</text>
  </threadedComment>
  <threadedComment ref="V2248" dT="2022-02-09T12:08:09.57" personId="{7158B863-74C2-41FC-A847-64E8ABCADCDE}" id="{9F6C102D-5841-4A63-A645-14B7A8FF62EE}">
    <text>district heating gas is most widespread alone until 1990, then widespread (50%) between 1990 and 1994. Gas non-condensing is only "widespread"between 1990 and 1994 for this period. This means a 83,2/17,7 proportion--&gt; 80/20 due to resolution limits established</text>
  </threadedComment>
  <threadedComment ref="V2249" dT="2022-02-09T12:17:45.71" personId="{7158B863-74C2-41FC-A847-64E8ABCADCDE}" id="{267CCEBD-9978-4C66-A908-48050467C581}">
    <text>gradual introduction of condensing boilers considered according the percentages defined for single-family: therefore, considered a 25-year period the proportions are the following: 1995-2000 (100/0) 2001-2010- (75/25) 2011-2021 (50/50) --&gt; Therefore the result is 70% nc and 30% condensing, rounded to 67 and 33% due to the resolution limitations defined</text>
  </threadedComment>
</ThreadedComments>
</file>

<file path=xl/threadedComments/threadedComment2.xml><?xml version="1.0" encoding="utf-8"?>
<ThreadedComments xmlns="http://schemas.microsoft.com/office/spreadsheetml/2018/threadedcomments" xmlns:x="http://schemas.openxmlformats.org/spreadsheetml/2006/main">
  <threadedComment ref="P36" dT="2022-02-03T15:58:01.65" personId="{7158B863-74C2-41FC-A847-64E8ABCADCDE}" id="{98D2E19D-E587-4F4B-B5BE-615147806531}">
    <text>Obtained through averaging flat plate and evacuated tubes efficiency values for 60 and 90C transfer fluid temperatures along the whole year from an study carried across different regions of Bulgaria (see page 4 of the paper "Assesment of the annual performance of solar collectors by means of the utilizability method" https://www.e3s-conferences.org/articles/e3sconf/pdf/2020/67/e3sconf_fpepm2020_02007.pdf)</text>
  </threadedComment>
  <threadedComment ref="F40" dT="2022-02-03T15:58:01.65" personId="{7158B863-74C2-41FC-A847-64E8ABCADCDE}" id="{6D7C4F92-92EC-41C8-83BC-8BBB49F20CD4}">
    <text>Obtained through averaging flat plate and evacuated tubes efficiency values for 60 and 90C transfer fluid temperatures along the whole year from an study carried across different regions of Bulgaria (see page 4 of the paper "Assessment of the annual performance of solar collectors by means of the utilizability method" https://www.e3s-conferences.org/articles/e3sconf/pdf/2020/67/e3sconf_fpepm2020_02007.pdf)</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vmlDrawing" Target="../drawings/vmlDrawing2.vml"/><Relationship Id="rId6" Type="http://schemas.openxmlformats.org/officeDocument/2006/relationships/table" Target="../tables/table5.xml"/><Relationship Id="rId11" Type="http://schemas.microsoft.com/office/2017/10/relationships/threadedComment" Target="../threadedComments/threadedComment2.xml"/><Relationship Id="rId5" Type="http://schemas.openxmlformats.org/officeDocument/2006/relationships/table" Target="../tables/table4.xml"/><Relationship Id="rId10" Type="http://schemas.openxmlformats.org/officeDocument/2006/relationships/comments" Target="../comments2.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0DADA-E9A6-4EB7-8DC7-3456389684FE}">
  <dimension ref="A1:AI2276"/>
  <sheetViews>
    <sheetView tabSelected="1" topLeftCell="A2231" zoomScale="60" zoomScaleNormal="60" workbookViewId="0">
      <pane xSplit="1" topLeftCell="M1" activePane="topRight" state="frozen"/>
      <selection activeCell="A349" sqref="A349"/>
      <selection pane="topRight" activeCell="AG2279" sqref="AG2279"/>
    </sheetView>
  </sheetViews>
  <sheetFormatPr baseColWidth="10" defaultColWidth="8.83203125" defaultRowHeight="15"/>
  <cols>
    <col min="1" max="1" width="28.83203125" style="15" bestFit="1" customWidth="1"/>
    <col min="2" max="2" width="13.33203125" style="12" bestFit="1" customWidth="1"/>
    <col min="3" max="3" width="48" style="43" bestFit="1" customWidth="1"/>
    <col min="4" max="4" width="9.5" customWidth="1"/>
    <col min="5" max="5" width="9.5" style="30" bestFit="1" customWidth="1"/>
    <col min="6" max="6" width="8.5" style="31" bestFit="1" customWidth="1"/>
    <col min="7" max="7" width="9.5" style="34" bestFit="1" customWidth="1"/>
    <col min="8" max="8" width="51.6640625" style="30" bestFit="1" customWidth="1"/>
    <col min="9" max="10" width="9.5" style="30" bestFit="1" customWidth="1"/>
    <col min="11" max="11" width="8.5" style="31" bestFit="1" customWidth="1"/>
    <col min="12" max="12" width="9.83203125" style="30" bestFit="1" customWidth="1"/>
    <col min="13" max="13" width="50" style="73" bestFit="1" customWidth="1"/>
    <col min="14" max="14" width="9.5" style="30" bestFit="1" customWidth="1"/>
    <col min="15" max="15" width="8.83203125" style="30" bestFit="1" customWidth="1"/>
    <col min="16" max="16" width="8.5" style="31" bestFit="1" customWidth="1"/>
    <col min="17" max="17" width="9.83203125" style="38" bestFit="1" customWidth="1"/>
    <col min="18" max="18" width="48" style="30" bestFit="1" customWidth="1"/>
    <col min="19" max="19" width="9.5" style="30" bestFit="1" customWidth="1"/>
    <col min="20" max="20" width="8.6640625" style="30"/>
    <col min="21" max="21" width="8.83203125" style="31" bestFit="1" customWidth="1"/>
    <col min="22" max="22" width="8.83203125" style="34" bestFit="1" customWidth="1"/>
    <col min="23" max="23" width="53.6640625" style="30" bestFit="1" customWidth="1"/>
    <col min="24" max="25" width="8.6640625" style="30"/>
    <col min="26" max="26" width="8.6640625" style="31" customWidth="1"/>
    <col min="27" max="27" width="8.83203125" style="30" bestFit="1" customWidth="1"/>
    <col min="28" max="28" width="26.83203125" style="73" bestFit="1" customWidth="1"/>
    <col min="29" max="29" width="8.6640625" style="30"/>
    <col min="30" max="30" width="9.5" style="30" bestFit="1" customWidth="1"/>
    <col min="31" max="31" width="8.6640625" style="30" customWidth="1"/>
    <col min="32" max="32" width="10.1640625" style="38" bestFit="1" customWidth="1"/>
    <col min="33" max="33" width="11.5" style="31" customWidth="1"/>
    <col min="34" max="34" width="13.5" bestFit="1" customWidth="1"/>
  </cols>
  <sheetData>
    <row r="1" spans="1:34" s="10" customFormat="1" ht="16">
      <c r="A1" s="14" t="s">
        <v>0</v>
      </c>
      <c r="B1" s="11"/>
      <c r="C1" s="25"/>
      <c r="E1" s="25"/>
      <c r="F1" s="25"/>
      <c r="G1" s="32"/>
      <c r="H1" s="25"/>
      <c r="I1" s="25"/>
      <c r="J1" s="25"/>
      <c r="K1" s="51"/>
      <c r="L1" s="25"/>
      <c r="M1" s="68"/>
      <c r="N1" s="25"/>
      <c r="O1" s="25"/>
      <c r="P1" s="51"/>
      <c r="Q1" s="35"/>
      <c r="R1" s="25"/>
      <c r="S1" s="25"/>
      <c r="T1" s="25"/>
      <c r="U1" s="51"/>
      <c r="V1" s="32"/>
      <c r="W1" s="25"/>
      <c r="X1" s="25"/>
      <c r="Y1" s="25"/>
      <c r="Z1" s="51"/>
      <c r="AA1" s="25"/>
      <c r="AB1" s="68"/>
      <c r="AC1" s="25"/>
      <c r="AD1" s="25"/>
      <c r="AE1" s="25"/>
      <c r="AF1" s="35"/>
      <c r="AG1" s="25"/>
    </row>
    <row r="2" spans="1:34" s="40" customFormat="1" ht="78">
      <c r="A2" s="7" t="s">
        <v>1</v>
      </c>
      <c r="B2" s="2" t="s">
        <v>2</v>
      </c>
      <c r="C2" s="3" t="s">
        <v>3</v>
      </c>
      <c r="D2" s="3" t="s">
        <v>4</v>
      </c>
      <c r="E2" s="3" t="s">
        <v>5</v>
      </c>
      <c r="F2" s="3" t="s">
        <v>6</v>
      </c>
      <c r="G2" s="4" t="s">
        <v>7</v>
      </c>
      <c r="H2" s="3" t="s">
        <v>8</v>
      </c>
      <c r="I2" s="3" t="s">
        <v>9</v>
      </c>
      <c r="J2" s="3" t="s">
        <v>10</v>
      </c>
      <c r="K2" s="52" t="s">
        <v>11</v>
      </c>
      <c r="L2" s="3" t="s">
        <v>12</v>
      </c>
      <c r="M2" s="3" t="s">
        <v>13</v>
      </c>
      <c r="N2" s="3" t="s">
        <v>14</v>
      </c>
      <c r="O2" s="3" t="s">
        <v>15</v>
      </c>
      <c r="P2" s="52" t="s">
        <v>16</v>
      </c>
      <c r="Q2" s="3" t="s">
        <v>17</v>
      </c>
      <c r="R2" s="76" t="s">
        <v>18</v>
      </c>
      <c r="S2" s="3" t="s">
        <v>19</v>
      </c>
      <c r="T2" s="3" t="s">
        <v>20</v>
      </c>
      <c r="U2" s="52" t="s">
        <v>21</v>
      </c>
      <c r="V2" s="4" t="s">
        <v>22</v>
      </c>
      <c r="W2" s="3" t="s">
        <v>23</v>
      </c>
      <c r="X2" s="3" t="s">
        <v>24</v>
      </c>
      <c r="Y2" s="3" t="s">
        <v>25</v>
      </c>
      <c r="Z2" s="52" t="s">
        <v>26</v>
      </c>
      <c r="AA2" s="3" t="s">
        <v>27</v>
      </c>
      <c r="AB2" s="69" t="s">
        <v>28</v>
      </c>
      <c r="AC2" s="3" t="s">
        <v>29</v>
      </c>
      <c r="AD2" s="3" t="s">
        <v>30</v>
      </c>
      <c r="AE2" s="3" t="s">
        <v>31</v>
      </c>
      <c r="AF2" s="5" t="s">
        <v>32</v>
      </c>
      <c r="AG2" s="3" t="s">
        <v>33</v>
      </c>
      <c r="AH2" s="56" t="s">
        <v>34</v>
      </c>
    </row>
    <row r="3" spans="1:34" s="1" customFormat="1">
      <c r="A3" s="15" t="s">
        <v>35</v>
      </c>
      <c r="B3" s="8" t="s">
        <v>36</v>
      </c>
      <c r="C3" s="41" t="s">
        <v>37</v>
      </c>
      <c r="D3" s="1" t="s">
        <v>38</v>
      </c>
      <c r="E3" s="26" t="s">
        <v>39</v>
      </c>
      <c r="F3" s="27">
        <v>0.94339622641509424</v>
      </c>
      <c r="G3" s="33">
        <v>0.5</v>
      </c>
      <c r="H3" s="26" t="s">
        <v>40</v>
      </c>
      <c r="I3" s="26" t="s">
        <v>41</v>
      </c>
      <c r="J3" s="26" t="s">
        <v>42</v>
      </c>
      <c r="K3" s="27">
        <v>2.3255813953488373</v>
      </c>
      <c r="L3" s="27">
        <v>0.5</v>
      </c>
      <c r="M3" s="70"/>
      <c r="N3" s="26"/>
      <c r="O3" s="26"/>
      <c r="P3" s="27"/>
      <c r="Q3" s="36"/>
      <c r="R3" s="26" t="s">
        <v>43</v>
      </c>
      <c r="S3" s="26" t="s">
        <v>38</v>
      </c>
      <c r="T3" s="26" t="s">
        <v>39</v>
      </c>
      <c r="U3" s="27">
        <v>0.84745762711864414</v>
      </c>
      <c r="V3" s="33">
        <v>1</v>
      </c>
      <c r="W3" s="26"/>
      <c r="X3" s="26"/>
      <c r="Y3" s="26"/>
      <c r="Z3" s="27"/>
      <c r="AA3" s="26"/>
      <c r="AB3" s="70"/>
      <c r="AC3" s="26"/>
      <c r="AD3" s="26"/>
      <c r="AE3" s="26"/>
      <c r="AF3" s="37"/>
      <c r="AG3" s="31">
        <v>0</v>
      </c>
      <c r="AH3" s="1" t="s">
        <v>44</v>
      </c>
    </row>
    <row r="4" spans="1:34">
      <c r="A4" s="15" t="s">
        <v>45</v>
      </c>
      <c r="B4" s="8" t="s">
        <v>36</v>
      </c>
      <c r="C4" s="41" t="s">
        <v>37</v>
      </c>
      <c r="D4" s="1" t="s">
        <v>38</v>
      </c>
      <c r="E4" s="26" t="s">
        <v>39</v>
      </c>
      <c r="F4" s="27">
        <v>0.94339622641509424</v>
      </c>
      <c r="G4" s="33">
        <v>0.5</v>
      </c>
      <c r="H4" s="26" t="s">
        <v>40</v>
      </c>
      <c r="I4" s="26" t="s">
        <v>41</v>
      </c>
      <c r="J4" s="26" t="s">
        <v>42</v>
      </c>
      <c r="K4" s="27">
        <v>2.3255813953488373</v>
      </c>
      <c r="L4" s="27">
        <v>0.5</v>
      </c>
      <c r="M4" s="70"/>
      <c r="N4" s="26"/>
      <c r="O4" s="26"/>
      <c r="P4" s="27"/>
      <c r="Q4" s="36"/>
      <c r="R4" s="26" t="s">
        <v>43</v>
      </c>
      <c r="S4" s="26" t="s">
        <v>38</v>
      </c>
      <c r="T4" s="26" t="s">
        <v>39</v>
      </c>
      <c r="U4" s="27">
        <v>0.84745762711864414</v>
      </c>
      <c r="V4" s="33">
        <v>1</v>
      </c>
      <c r="AG4" s="31">
        <v>0</v>
      </c>
      <c r="AH4" s="1" t="s">
        <v>44</v>
      </c>
    </row>
    <row r="5" spans="1:34">
      <c r="A5" s="15" t="s">
        <v>46</v>
      </c>
      <c r="B5" s="8" t="s">
        <v>36</v>
      </c>
      <c r="C5" s="41" t="s">
        <v>37</v>
      </c>
      <c r="D5" s="1" t="s">
        <v>38</v>
      </c>
      <c r="E5" s="26" t="s">
        <v>39</v>
      </c>
      <c r="F5" s="27">
        <v>0.94339622641509424</v>
      </c>
      <c r="G5" s="33">
        <v>0.5</v>
      </c>
      <c r="H5" s="26" t="s">
        <v>40</v>
      </c>
      <c r="I5" s="26" t="s">
        <v>41</v>
      </c>
      <c r="J5" s="26" t="s">
        <v>42</v>
      </c>
      <c r="K5" s="27">
        <v>2.3255813953488373</v>
      </c>
      <c r="L5" s="27">
        <v>0.5</v>
      </c>
      <c r="M5" s="70"/>
      <c r="N5" s="26"/>
      <c r="O5" s="26"/>
      <c r="P5" s="27"/>
      <c r="Q5" s="36"/>
      <c r="R5" s="26" t="s">
        <v>43</v>
      </c>
      <c r="S5" s="26" t="s">
        <v>38</v>
      </c>
      <c r="T5" s="26" t="s">
        <v>39</v>
      </c>
      <c r="U5" s="27">
        <v>0.84745762711864414</v>
      </c>
      <c r="V5" s="33">
        <v>1</v>
      </c>
      <c r="AG5" s="31">
        <v>0</v>
      </c>
      <c r="AH5" s="1" t="s">
        <v>44</v>
      </c>
    </row>
    <row r="6" spans="1:34">
      <c r="A6" s="15" t="s">
        <v>47</v>
      </c>
      <c r="B6" s="8" t="s">
        <v>36</v>
      </c>
      <c r="C6" s="41" t="s">
        <v>37</v>
      </c>
      <c r="D6" s="1" t="s">
        <v>38</v>
      </c>
      <c r="E6" s="26" t="s">
        <v>39</v>
      </c>
      <c r="F6" s="27">
        <v>0.94339622641509424</v>
      </c>
      <c r="G6" s="33">
        <v>0.5</v>
      </c>
      <c r="H6" s="26" t="s">
        <v>40</v>
      </c>
      <c r="I6" s="26" t="s">
        <v>41</v>
      </c>
      <c r="J6" s="26" t="s">
        <v>42</v>
      </c>
      <c r="K6" s="27">
        <v>2.3255813953488373</v>
      </c>
      <c r="L6" s="27">
        <v>0.5</v>
      </c>
      <c r="M6" s="70"/>
      <c r="N6" s="26"/>
      <c r="O6" s="26"/>
      <c r="P6" s="27"/>
      <c r="Q6" s="36"/>
      <c r="R6" s="26" t="s">
        <v>43</v>
      </c>
      <c r="S6" s="26" t="s">
        <v>38</v>
      </c>
      <c r="T6" s="26" t="s">
        <v>39</v>
      </c>
      <c r="U6" s="27">
        <v>0.84745762711864414</v>
      </c>
      <c r="V6" s="33">
        <v>1</v>
      </c>
      <c r="AG6" s="31">
        <v>0</v>
      </c>
      <c r="AH6" s="1" t="s">
        <v>44</v>
      </c>
    </row>
    <row r="7" spans="1:34">
      <c r="A7" s="15" t="s">
        <v>48</v>
      </c>
      <c r="B7" s="8" t="s">
        <v>36</v>
      </c>
      <c r="C7" s="41" t="s">
        <v>37</v>
      </c>
      <c r="D7" s="1" t="s">
        <v>38</v>
      </c>
      <c r="E7" s="26" t="s">
        <v>39</v>
      </c>
      <c r="F7" s="27">
        <v>0.94339622641509424</v>
      </c>
      <c r="G7" s="33">
        <v>0.5</v>
      </c>
      <c r="H7" s="26" t="s">
        <v>40</v>
      </c>
      <c r="I7" s="26" t="s">
        <v>41</v>
      </c>
      <c r="J7" s="26" t="s">
        <v>42</v>
      </c>
      <c r="K7" s="27">
        <v>2.3255813953488373</v>
      </c>
      <c r="L7" s="27">
        <v>0.5</v>
      </c>
      <c r="M7" s="70"/>
      <c r="N7" s="26"/>
      <c r="O7" s="26"/>
      <c r="P7" s="27"/>
      <c r="Q7" s="36"/>
      <c r="R7" s="26" t="s">
        <v>43</v>
      </c>
      <c r="S7" s="26" t="s">
        <v>38</v>
      </c>
      <c r="T7" s="26" t="s">
        <v>39</v>
      </c>
      <c r="U7" s="27">
        <v>0.84745762711864414</v>
      </c>
      <c r="V7" s="33">
        <v>1</v>
      </c>
      <c r="AG7" s="31">
        <v>0</v>
      </c>
      <c r="AH7" s="1" t="s">
        <v>44</v>
      </c>
    </row>
    <row r="8" spans="1:34">
      <c r="A8" s="15" t="s">
        <v>49</v>
      </c>
      <c r="B8" s="8" t="s">
        <v>36</v>
      </c>
      <c r="C8" s="41" t="s">
        <v>37</v>
      </c>
      <c r="D8" s="1" t="s">
        <v>38</v>
      </c>
      <c r="E8" s="26" t="s">
        <v>39</v>
      </c>
      <c r="F8" s="27">
        <v>0.94339622641509424</v>
      </c>
      <c r="G8" s="33">
        <v>0.5</v>
      </c>
      <c r="H8" s="26" t="s">
        <v>40</v>
      </c>
      <c r="I8" s="26" t="s">
        <v>41</v>
      </c>
      <c r="J8" s="26" t="s">
        <v>42</v>
      </c>
      <c r="K8" s="27">
        <v>2.3255813953488373</v>
      </c>
      <c r="L8" s="27">
        <v>0.5</v>
      </c>
      <c r="M8" s="70"/>
      <c r="N8" s="26"/>
      <c r="O8" s="26"/>
      <c r="P8" s="27"/>
      <c r="Q8" s="36"/>
      <c r="R8" s="26" t="s">
        <v>43</v>
      </c>
      <c r="S8" s="26" t="s">
        <v>38</v>
      </c>
      <c r="T8" s="26" t="s">
        <v>39</v>
      </c>
      <c r="U8" s="27">
        <v>0.84745762711864414</v>
      </c>
      <c r="V8" s="33">
        <v>1</v>
      </c>
      <c r="AG8" s="31">
        <v>0</v>
      </c>
      <c r="AH8" s="1" t="s">
        <v>44</v>
      </c>
    </row>
    <row r="9" spans="1:34">
      <c r="A9" s="15" t="s">
        <v>50</v>
      </c>
      <c r="B9" s="8" t="s">
        <v>36</v>
      </c>
      <c r="C9" s="41" t="s">
        <v>37</v>
      </c>
      <c r="D9" s="1" t="s">
        <v>38</v>
      </c>
      <c r="E9" s="26" t="s">
        <v>39</v>
      </c>
      <c r="F9" s="27">
        <v>0.94339622641509424</v>
      </c>
      <c r="G9" s="33">
        <v>0.5</v>
      </c>
      <c r="H9" s="26" t="s">
        <v>40</v>
      </c>
      <c r="I9" s="26" t="s">
        <v>41</v>
      </c>
      <c r="J9" s="26" t="s">
        <v>42</v>
      </c>
      <c r="K9" s="27">
        <v>2.3255813953488373</v>
      </c>
      <c r="L9" s="27">
        <v>0.5</v>
      </c>
      <c r="M9" s="70"/>
      <c r="N9" s="26"/>
      <c r="O9" s="26"/>
      <c r="P9" s="27"/>
      <c r="Q9" s="36"/>
      <c r="R9" s="26" t="s">
        <v>43</v>
      </c>
      <c r="S9" s="26" t="s">
        <v>38</v>
      </c>
      <c r="T9" s="26" t="s">
        <v>39</v>
      </c>
      <c r="U9" s="27">
        <v>0.84745762711864414</v>
      </c>
      <c r="V9" s="33">
        <v>1</v>
      </c>
      <c r="AG9" s="31">
        <v>0</v>
      </c>
      <c r="AH9" s="1" t="s">
        <v>44</v>
      </c>
    </row>
    <row r="10" spans="1:34">
      <c r="A10" s="15" t="s">
        <v>51</v>
      </c>
      <c r="B10" s="8" t="s">
        <v>36</v>
      </c>
      <c r="C10" s="41" t="s">
        <v>37</v>
      </c>
      <c r="D10" s="1" t="s">
        <v>38</v>
      </c>
      <c r="E10" s="26" t="s">
        <v>39</v>
      </c>
      <c r="F10" s="27">
        <v>0.94339622641509424</v>
      </c>
      <c r="G10" s="33">
        <v>0.5</v>
      </c>
      <c r="H10" s="26" t="s">
        <v>40</v>
      </c>
      <c r="I10" s="26" t="s">
        <v>41</v>
      </c>
      <c r="J10" s="26" t="s">
        <v>42</v>
      </c>
      <c r="K10" s="27">
        <v>2.3255813953488373</v>
      </c>
      <c r="L10" s="27">
        <v>0.5</v>
      </c>
      <c r="M10" s="70"/>
      <c r="N10" s="26"/>
      <c r="O10" s="26"/>
      <c r="P10" s="27"/>
      <c r="Q10" s="36"/>
      <c r="R10" s="26" t="s">
        <v>43</v>
      </c>
      <c r="S10" s="26" t="s">
        <v>38</v>
      </c>
      <c r="T10" s="26" t="s">
        <v>39</v>
      </c>
      <c r="U10" s="27">
        <v>0.84745762711864414</v>
      </c>
      <c r="V10" s="33">
        <v>1</v>
      </c>
      <c r="AG10" s="31">
        <v>0</v>
      </c>
      <c r="AH10" s="1" t="s">
        <v>44</v>
      </c>
    </row>
    <row r="11" spans="1:34">
      <c r="A11" s="15" t="s">
        <v>52</v>
      </c>
      <c r="B11" s="8" t="s">
        <v>36</v>
      </c>
      <c r="C11" s="41" t="s">
        <v>37</v>
      </c>
      <c r="D11" s="1" t="s">
        <v>38</v>
      </c>
      <c r="E11" s="26" t="s">
        <v>39</v>
      </c>
      <c r="F11" s="27">
        <v>0.94339622641509424</v>
      </c>
      <c r="G11" s="33">
        <v>0.5</v>
      </c>
      <c r="H11" s="26" t="s">
        <v>40</v>
      </c>
      <c r="I11" s="26" t="s">
        <v>41</v>
      </c>
      <c r="J11" s="26" t="s">
        <v>42</v>
      </c>
      <c r="K11" s="27">
        <v>2.3255813953488373</v>
      </c>
      <c r="L11" s="27">
        <v>0.5</v>
      </c>
      <c r="M11" s="70"/>
      <c r="N11" s="26"/>
      <c r="O11" s="26"/>
      <c r="P11" s="27"/>
      <c r="Q11" s="36"/>
      <c r="R11" s="26" t="s">
        <v>43</v>
      </c>
      <c r="S11" s="26" t="s">
        <v>38</v>
      </c>
      <c r="T11" s="26" t="s">
        <v>39</v>
      </c>
      <c r="U11" s="27">
        <v>0.84745762711864414</v>
      </c>
      <c r="V11" s="33">
        <v>1</v>
      </c>
      <c r="AG11" s="31">
        <v>0</v>
      </c>
      <c r="AH11" s="1" t="s">
        <v>44</v>
      </c>
    </row>
    <row r="12" spans="1:34">
      <c r="A12" s="15" t="s">
        <v>53</v>
      </c>
      <c r="B12" s="8" t="s">
        <v>36</v>
      </c>
      <c r="C12" s="41" t="s">
        <v>37</v>
      </c>
      <c r="D12" s="1" t="s">
        <v>38</v>
      </c>
      <c r="E12" s="26" t="s">
        <v>39</v>
      </c>
      <c r="F12" s="27">
        <v>0.94339622641509424</v>
      </c>
      <c r="G12" s="33">
        <v>0.5</v>
      </c>
      <c r="H12" s="26" t="s">
        <v>40</v>
      </c>
      <c r="I12" s="26" t="s">
        <v>41</v>
      </c>
      <c r="J12" s="26" t="s">
        <v>42</v>
      </c>
      <c r="K12" s="27">
        <v>2.3255813953488373</v>
      </c>
      <c r="L12" s="27">
        <v>0.5</v>
      </c>
      <c r="M12" s="70"/>
      <c r="N12" s="26"/>
      <c r="O12" s="26"/>
      <c r="P12" s="27"/>
      <c r="Q12" s="36"/>
      <c r="R12" s="26" t="s">
        <v>43</v>
      </c>
      <c r="S12" s="26" t="s">
        <v>38</v>
      </c>
      <c r="T12" s="26" t="s">
        <v>39</v>
      </c>
      <c r="U12" s="27">
        <v>0.84745762711864414</v>
      </c>
      <c r="V12" s="33">
        <v>1</v>
      </c>
      <c r="AG12" s="31">
        <v>0</v>
      </c>
      <c r="AH12" s="1" t="s">
        <v>44</v>
      </c>
    </row>
    <row r="13" spans="1:34">
      <c r="A13" s="15" t="s">
        <v>54</v>
      </c>
      <c r="B13" s="8" t="s">
        <v>36</v>
      </c>
      <c r="C13" s="41" t="s">
        <v>37</v>
      </c>
      <c r="D13" s="1" t="s">
        <v>38</v>
      </c>
      <c r="E13" s="26" t="s">
        <v>39</v>
      </c>
      <c r="F13" s="27">
        <v>0.94339622641509424</v>
      </c>
      <c r="G13" s="33">
        <v>0.5</v>
      </c>
      <c r="H13" s="26" t="s">
        <v>40</v>
      </c>
      <c r="I13" s="26" t="s">
        <v>41</v>
      </c>
      <c r="J13" s="26" t="s">
        <v>42</v>
      </c>
      <c r="K13" s="27">
        <v>2.3255813953488373</v>
      </c>
      <c r="L13" s="27">
        <v>0.5</v>
      </c>
      <c r="M13" s="70"/>
      <c r="N13" s="26"/>
      <c r="O13" s="26"/>
      <c r="P13" s="27"/>
      <c r="Q13" s="36"/>
      <c r="R13" s="26" t="s">
        <v>43</v>
      </c>
      <c r="S13" s="26" t="s">
        <v>38</v>
      </c>
      <c r="T13" s="26" t="s">
        <v>39</v>
      </c>
      <c r="U13" s="27">
        <v>0.84745762711864414</v>
      </c>
      <c r="V13" s="33">
        <v>1</v>
      </c>
      <c r="AG13" s="31">
        <v>0</v>
      </c>
      <c r="AH13" s="1" t="s">
        <v>44</v>
      </c>
    </row>
    <row r="14" spans="1:34">
      <c r="A14" s="15" t="s">
        <v>55</v>
      </c>
      <c r="B14" s="8" t="s">
        <v>36</v>
      </c>
      <c r="C14" s="41" t="s">
        <v>37</v>
      </c>
      <c r="D14" s="1" t="s">
        <v>38</v>
      </c>
      <c r="E14" s="26" t="s">
        <v>39</v>
      </c>
      <c r="F14" s="27">
        <v>0.94339622641509424</v>
      </c>
      <c r="G14" s="33">
        <v>0.5</v>
      </c>
      <c r="H14" s="26" t="s">
        <v>40</v>
      </c>
      <c r="I14" s="26" t="s">
        <v>41</v>
      </c>
      <c r="J14" s="26" t="s">
        <v>42</v>
      </c>
      <c r="K14" s="27">
        <v>2.3255813953488373</v>
      </c>
      <c r="L14" s="27">
        <v>0.5</v>
      </c>
      <c r="M14" s="70"/>
      <c r="N14" s="26"/>
      <c r="O14" s="26"/>
      <c r="P14" s="27"/>
      <c r="Q14" s="36"/>
      <c r="R14" s="26" t="s">
        <v>43</v>
      </c>
      <c r="S14" s="26" t="s">
        <v>38</v>
      </c>
      <c r="T14" s="26" t="s">
        <v>39</v>
      </c>
      <c r="U14" s="27">
        <v>0.84745762711864414</v>
      </c>
      <c r="V14" s="33">
        <v>1</v>
      </c>
      <c r="AG14" s="31">
        <v>0</v>
      </c>
      <c r="AH14" s="1" t="s">
        <v>44</v>
      </c>
    </row>
    <row r="15" spans="1:34">
      <c r="A15" s="15" t="s">
        <v>56</v>
      </c>
      <c r="B15" s="8" t="s">
        <v>36</v>
      </c>
      <c r="C15" s="41" t="s">
        <v>37</v>
      </c>
      <c r="D15" s="1" t="s">
        <v>38</v>
      </c>
      <c r="E15" s="26" t="s">
        <v>39</v>
      </c>
      <c r="F15" s="27">
        <v>0.94339622641509424</v>
      </c>
      <c r="G15" s="33">
        <v>0.5</v>
      </c>
      <c r="H15" s="26" t="s">
        <v>40</v>
      </c>
      <c r="I15" s="26" t="s">
        <v>41</v>
      </c>
      <c r="J15" s="26" t="s">
        <v>42</v>
      </c>
      <c r="K15" s="27">
        <v>2.3255813953488373</v>
      </c>
      <c r="L15" s="27">
        <v>0.5</v>
      </c>
      <c r="M15" s="70"/>
      <c r="N15" s="26"/>
      <c r="O15" s="26"/>
      <c r="P15" s="27"/>
      <c r="Q15" s="36"/>
      <c r="R15" s="26" t="s">
        <v>43</v>
      </c>
      <c r="S15" s="26" t="s">
        <v>38</v>
      </c>
      <c r="T15" s="26" t="s">
        <v>39</v>
      </c>
      <c r="U15" s="27">
        <v>0.84745762711864414</v>
      </c>
      <c r="V15" s="33">
        <v>1</v>
      </c>
      <c r="AG15" s="31">
        <v>0</v>
      </c>
      <c r="AH15" s="1" t="s">
        <v>44</v>
      </c>
    </row>
    <row r="16" spans="1:34">
      <c r="A16" s="15" t="s">
        <v>57</v>
      </c>
      <c r="B16" s="8" t="s">
        <v>36</v>
      </c>
      <c r="C16" s="41" t="s">
        <v>37</v>
      </c>
      <c r="D16" s="1" t="s">
        <v>38</v>
      </c>
      <c r="E16" s="26" t="s">
        <v>39</v>
      </c>
      <c r="F16" s="27">
        <v>0.94339622641509424</v>
      </c>
      <c r="G16" s="33">
        <v>0.5</v>
      </c>
      <c r="H16" s="26" t="s">
        <v>40</v>
      </c>
      <c r="I16" s="26" t="s">
        <v>41</v>
      </c>
      <c r="J16" s="26" t="s">
        <v>42</v>
      </c>
      <c r="K16" s="27">
        <v>2.3255813953488373</v>
      </c>
      <c r="L16" s="27">
        <v>0.5</v>
      </c>
      <c r="M16" s="70"/>
      <c r="N16" s="26"/>
      <c r="O16" s="26"/>
      <c r="P16" s="27"/>
      <c r="Q16" s="36"/>
      <c r="R16" s="26" t="s">
        <v>43</v>
      </c>
      <c r="S16" s="26" t="s">
        <v>38</v>
      </c>
      <c r="T16" s="26" t="s">
        <v>39</v>
      </c>
      <c r="U16" s="27">
        <v>0.84745762711864414</v>
      </c>
      <c r="V16" s="33">
        <v>1</v>
      </c>
      <c r="AG16" s="31">
        <v>0</v>
      </c>
      <c r="AH16" s="1" t="s">
        <v>44</v>
      </c>
    </row>
    <row r="17" spans="1:34">
      <c r="A17" s="15" t="s">
        <v>58</v>
      </c>
      <c r="B17" s="8" t="s">
        <v>36</v>
      </c>
      <c r="C17" s="41" t="s">
        <v>37</v>
      </c>
      <c r="D17" s="1" t="s">
        <v>38</v>
      </c>
      <c r="E17" s="26" t="s">
        <v>39</v>
      </c>
      <c r="F17" s="27">
        <v>0.94339622641509424</v>
      </c>
      <c r="G17" s="33">
        <v>0.5</v>
      </c>
      <c r="H17" s="26" t="s">
        <v>40</v>
      </c>
      <c r="I17" s="26" t="s">
        <v>41</v>
      </c>
      <c r="J17" s="26" t="s">
        <v>42</v>
      </c>
      <c r="K17" s="27">
        <v>2.3255813953488373</v>
      </c>
      <c r="L17" s="27">
        <v>0.5</v>
      </c>
      <c r="M17" s="70"/>
      <c r="N17" s="26"/>
      <c r="O17" s="26"/>
      <c r="P17" s="27"/>
      <c r="Q17" s="36"/>
      <c r="R17" s="26" t="s">
        <v>43</v>
      </c>
      <c r="S17" s="26" t="s">
        <v>38</v>
      </c>
      <c r="T17" s="26" t="s">
        <v>39</v>
      </c>
      <c r="U17" s="27">
        <v>0.84745762711864414</v>
      </c>
      <c r="V17" s="33">
        <v>1</v>
      </c>
      <c r="AG17" s="31">
        <v>0</v>
      </c>
      <c r="AH17" s="1" t="s">
        <v>44</v>
      </c>
    </row>
    <row r="18" spans="1:34">
      <c r="A18" s="15" t="s">
        <v>59</v>
      </c>
      <c r="B18" s="8" t="s">
        <v>36</v>
      </c>
      <c r="C18" s="41" t="s">
        <v>37</v>
      </c>
      <c r="D18" s="1" t="s">
        <v>38</v>
      </c>
      <c r="E18" s="26" t="s">
        <v>39</v>
      </c>
      <c r="F18" s="27">
        <v>0.94339622641509424</v>
      </c>
      <c r="G18" s="33">
        <v>0.5</v>
      </c>
      <c r="H18" s="26" t="s">
        <v>40</v>
      </c>
      <c r="I18" s="26" t="s">
        <v>41</v>
      </c>
      <c r="J18" s="26" t="s">
        <v>42</v>
      </c>
      <c r="K18" s="27">
        <v>2.3255813953488373</v>
      </c>
      <c r="L18" s="27">
        <v>0.5</v>
      </c>
      <c r="M18" s="70"/>
      <c r="N18" s="26"/>
      <c r="O18" s="26"/>
      <c r="P18" s="27"/>
      <c r="Q18" s="36"/>
      <c r="R18" s="26" t="s">
        <v>43</v>
      </c>
      <c r="S18" s="26" t="s">
        <v>38</v>
      </c>
      <c r="T18" s="26" t="s">
        <v>39</v>
      </c>
      <c r="U18" s="27">
        <v>0.84745762711864414</v>
      </c>
      <c r="V18" s="33">
        <v>1</v>
      </c>
      <c r="AG18" s="31">
        <v>0</v>
      </c>
      <c r="AH18" s="1" t="s">
        <v>44</v>
      </c>
    </row>
    <row r="19" spans="1:34">
      <c r="A19" s="15" t="s">
        <v>60</v>
      </c>
      <c r="B19" s="8" t="s">
        <v>36</v>
      </c>
      <c r="C19" s="41" t="s">
        <v>37</v>
      </c>
      <c r="D19" s="1" t="s">
        <v>38</v>
      </c>
      <c r="E19" s="26" t="s">
        <v>39</v>
      </c>
      <c r="F19" s="27">
        <v>0.94339622641509424</v>
      </c>
      <c r="G19" s="33">
        <v>0.5</v>
      </c>
      <c r="H19" s="26" t="s">
        <v>40</v>
      </c>
      <c r="I19" s="26" t="s">
        <v>41</v>
      </c>
      <c r="J19" s="26" t="s">
        <v>42</v>
      </c>
      <c r="K19" s="27">
        <v>2.3255813953488373</v>
      </c>
      <c r="L19" s="27">
        <v>0.5</v>
      </c>
      <c r="M19" s="70"/>
      <c r="N19" s="26"/>
      <c r="O19" s="26"/>
      <c r="P19" s="27"/>
      <c r="Q19" s="36"/>
      <c r="R19" s="26" t="s">
        <v>43</v>
      </c>
      <c r="S19" s="26" t="s">
        <v>38</v>
      </c>
      <c r="T19" s="26" t="s">
        <v>39</v>
      </c>
      <c r="U19" s="27">
        <v>0.84745762711864414</v>
      </c>
      <c r="V19" s="33">
        <v>1</v>
      </c>
      <c r="AG19" s="31">
        <v>0</v>
      </c>
      <c r="AH19" s="1" t="s">
        <v>44</v>
      </c>
    </row>
    <row r="20" spans="1:34">
      <c r="A20" s="15" t="s">
        <v>61</v>
      </c>
      <c r="B20" s="8" t="s">
        <v>36</v>
      </c>
      <c r="C20" s="41" t="s">
        <v>37</v>
      </c>
      <c r="D20" s="1" t="s">
        <v>38</v>
      </c>
      <c r="E20" s="26" t="s">
        <v>39</v>
      </c>
      <c r="F20" s="27">
        <v>0.94339622641509424</v>
      </c>
      <c r="G20" s="33">
        <v>0.5</v>
      </c>
      <c r="H20" s="26" t="s">
        <v>40</v>
      </c>
      <c r="I20" s="26" t="s">
        <v>41</v>
      </c>
      <c r="J20" s="26" t="s">
        <v>42</v>
      </c>
      <c r="K20" s="27">
        <v>2.3255813953488373</v>
      </c>
      <c r="L20" s="27">
        <v>0.5</v>
      </c>
      <c r="M20" s="70"/>
      <c r="N20" s="26"/>
      <c r="O20" s="26"/>
      <c r="P20" s="27"/>
      <c r="Q20" s="36"/>
      <c r="R20" s="26" t="s">
        <v>43</v>
      </c>
      <c r="S20" s="26" t="s">
        <v>38</v>
      </c>
      <c r="T20" s="26" t="s">
        <v>39</v>
      </c>
      <c r="U20" s="27">
        <v>0.84745762711864414</v>
      </c>
      <c r="V20" s="33">
        <v>1</v>
      </c>
      <c r="AG20" s="31">
        <v>0</v>
      </c>
      <c r="AH20" s="1" t="s">
        <v>44</v>
      </c>
    </row>
    <row r="21" spans="1:34">
      <c r="A21" s="15" t="s">
        <v>62</v>
      </c>
      <c r="B21" s="8" t="s">
        <v>36</v>
      </c>
      <c r="C21" s="41" t="s">
        <v>37</v>
      </c>
      <c r="D21" s="1" t="s">
        <v>38</v>
      </c>
      <c r="E21" s="26" t="s">
        <v>39</v>
      </c>
      <c r="F21" s="27">
        <v>0.94339622641509424</v>
      </c>
      <c r="G21" s="33">
        <v>0.5</v>
      </c>
      <c r="H21" s="26" t="s">
        <v>40</v>
      </c>
      <c r="I21" s="26" t="s">
        <v>41</v>
      </c>
      <c r="J21" s="26" t="s">
        <v>42</v>
      </c>
      <c r="K21" s="27">
        <v>2.3255813953488373</v>
      </c>
      <c r="L21" s="27">
        <v>0.5</v>
      </c>
      <c r="M21" s="70"/>
      <c r="N21" s="26"/>
      <c r="O21" s="26"/>
      <c r="P21" s="27"/>
      <c r="Q21" s="36"/>
      <c r="R21" s="26" t="s">
        <v>43</v>
      </c>
      <c r="S21" s="26" t="s">
        <v>38</v>
      </c>
      <c r="T21" s="26" t="s">
        <v>39</v>
      </c>
      <c r="U21" s="27">
        <v>0.84745762711864414</v>
      </c>
      <c r="V21" s="33">
        <v>1</v>
      </c>
      <c r="AG21" s="31">
        <v>0</v>
      </c>
      <c r="AH21" s="1" t="s">
        <v>44</v>
      </c>
    </row>
    <row r="22" spans="1:34">
      <c r="A22" s="15" t="s">
        <v>63</v>
      </c>
      <c r="B22" s="8" t="s">
        <v>36</v>
      </c>
      <c r="C22" s="41" t="s">
        <v>37</v>
      </c>
      <c r="D22" s="1" t="s">
        <v>38</v>
      </c>
      <c r="E22" s="26" t="s">
        <v>39</v>
      </c>
      <c r="F22" s="27">
        <v>0.94339622641509424</v>
      </c>
      <c r="G22" s="33">
        <v>0.5</v>
      </c>
      <c r="H22" s="26" t="s">
        <v>40</v>
      </c>
      <c r="I22" s="26" t="s">
        <v>41</v>
      </c>
      <c r="J22" s="26" t="s">
        <v>42</v>
      </c>
      <c r="K22" s="27">
        <v>2.3255813953488373</v>
      </c>
      <c r="L22" s="27">
        <v>0.5</v>
      </c>
      <c r="M22" s="70"/>
      <c r="N22" s="26"/>
      <c r="O22" s="26"/>
      <c r="P22" s="27"/>
      <c r="Q22" s="36"/>
      <c r="R22" s="26" t="s">
        <v>43</v>
      </c>
      <c r="S22" s="26" t="s">
        <v>38</v>
      </c>
      <c r="T22" s="26" t="s">
        <v>39</v>
      </c>
      <c r="U22" s="27">
        <v>0.84745762711864414</v>
      </c>
      <c r="V22" s="33">
        <v>1</v>
      </c>
      <c r="AG22" s="31">
        <v>0</v>
      </c>
      <c r="AH22" s="1" t="s">
        <v>44</v>
      </c>
    </row>
    <row r="23" spans="1:34">
      <c r="A23" s="15" t="s">
        <v>64</v>
      </c>
      <c r="B23" s="8" t="s">
        <v>36</v>
      </c>
      <c r="C23" s="41" t="s">
        <v>37</v>
      </c>
      <c r="D23" s="1" t="s">
        <v>38</v>
      </c>
      <c r="E23" s="26" t="s">
        <v>39</v>
      </c>
      <c r="F23" s="27">
        <v>0.94339622641509424</v>
      </c>
      <c r="G23" s="33">
        <v>0.5</v>
      </c>
      <c r="H23" s="26" t="s">
        <v>40</v>
      </c>
      <c r="I23" s="26" t="s">
        <v>41</v>
      </c>
      <c r="J23" s="26" t="s">
        <v>42</v>
      </c>
      <c r="K23" s="27">
        <v>2.3255813953488373</v>
      </c>
      <c r="L23" s="27">
        <v>0.5</v>
      </c>
      <c r="M23" s="70"/>
      <c r="N23" s="26"/>
      <c r="O23" s="26"/>
      <c r="P23" s="27"/>
      <c r="Q23" s="36"/>
      <c r="R23" s="26" t="s">
        <v>43</v>
      </c>
      <c r="S23" s="26" t="s">
        <v>38</v>
      </c>
      <c r="T23" s="26" t="s">
        <v>39</v>
      </c>
      <c r="U23" s="27">
        <v>0.84745762711864414</v>
      </c>
      <c r="V23" s="33">
        <v>1</v>
      </c>
      <c r="AG23" s="31">
        <v>0</v>
      </c>
      <c r="AH23" s="1" t="s">
        <v>44</v>
      </c>
    </row>
    <row r="24" spans="1:34">
      <c r="A24" s="15" t="s">
        <v>65</v>
      </c>
      <c r="B24" s="8" t="s">
        <v>36</v>
      </c>
      <c r="C24" s="41" t="s">
        <v>37</v>
      </c>
      <c r="D24" s="1" t="s">
        <v>38</v>
      </c>
      <c r="E24" s="26" t="s">
        <v>39</v>
      </c>
      <c r="F24" s="27">
        <v>0.94339622641509424</v>
      </c>
      <c r="G24" s="33">
        <v>0.5</v>
      </c>
      <c r="H24" s="26" t="s">
        <v>40</v>
      </c>
      <c r="I24" s="26" t="s">
        <v>41</v>
      </c>
      <c r="J24" s="26" t="s">
        <v>42</v>
      </c>
      <c r="K24" s="27">
        <v>2.3255813953488373</v>
      </c>
      <c r="L24" s="27">
        <v>0.5</v>
      </c>
      <c r="M24" s="70"/>
      <c r="N24" s="26"/>
      <c r="O24" s="26"/>
      <c r="P24" s="27"/>
      <c r="Q24" s="36"/>
      <c r="R24" s="26" t="s">
        <v>43</v>
      </c>
      <c r="S24" s="26" t="s">
        <v>38</v>
      </c>
      <c r="T24" s="26" t="s">
        <v>39</v>
      </c>
      <c r="U24" s="27">
        <v>0.84745762711864414</v>
      </c>
      <c r="V24" s="33">
        <v>1</v>
      </c>
      <c r="AG24" s="31">
        <v>0</v>
      </c>
      <c r="AH24" s="1" t="s">
        <v>44</v>
      </c>
    </row>
    <row r="25" spans="1:34">
      <c r="A25" s="15" t="s">
        <v>66</v>
      </c>
      <c r="B25" s="8" t="s">
        <v>36</v>
      </c>
      <c r="C25" s="41" t="s">
        <v>37</v>
      </c>
      <c r="D25" s="1" t="s">
        <v>38</v>
      </c>
      <c r="E25" s="26" t="s">
        <v>39</v>
      </c>
      <c r="F25" s="27">
        <v>0.94339622641509424</v>
      </c>
      <c r="G25" s="33">
        <v>0.5</v>
      </c>
      <c r="H25" s="26" t="s">
        <v>40</v>
      </c>
      <c r="I25" s="26" t="s">
        <v>41</v>
      </c>
      <c r="J25" s="26" t="s">
        <v>42</v>
      </c>
      <c r="K25" s="27">
        <v>2.3255813953488373</v>
      </c>
      <c r="L25" s="27">
        <v>0.5</v>
      </c>
      <c r="M25" s="70"/>
      <c r="N25" s="26"/>
      <c r="O25" s="26"/>
      <c r="P25" s="27"/>
      <c r="Q25" s="36"/>
      <c r="R25" s="26" t="s">
        <v>43</v>
      </c>
      <c r="S25" s="26" t="s">
        <v>38</v>
      </c>
      <c r="T25" s="26" t="s">
        <v>39</v>
      </c>
      <c r="U25" s="27">
        <v>0.84745762711864414</v>
      </c>
      <c r="V25" s="33">
        <v>1</v>
      </c>
      <c r="AG25" s="31">
        <v>0</v>
      </c>
      <c r="AH25" s="1" t="s">
        <v>44</v>
      </c>
    </row>
    <row r="26" spans="1:34">
      <c r="A26" s="15" t="s">
        <v>67</v>
      </c>
      <c r="B26" s="8" t="s">
        <v>36</v>
      </c>
      <c r="C26" s="41" t="s">
        <v>37</v>
      </c>
      <c r="D26" s="1" t="s">
        <v>38</v>
      </c>
      <c r="E26" s="26" t="s">
        <v>39</v>
      </c>
      <c r="F26" s="27">
        <v>0.94339622641509424</v>
      </c>
      <c r="G26" s="33">
        <v>0.5</v>
      </c>
      <c r="H26" s="26" t="s">
        <v>40</v>
      </c>
      <c r="I26" s="26" t="s">
        <v>41</v>
      </c>
      <c r="J26" s="26" t="s">
        <v>42</v>
      </c>
      <c r="K26" s="27">
        <v>2.3255813953488373</v>
      </c>
      <c r="L26" s="27">
        <v>0.5</v>
      </c>
      <c r="M26" s="70"/>
      <c r="N26" s="26"/>
      <c r="O26" s="26"/>
      <c r="P26" s="27"/>
      <c r="Q26" s="36"/>
      <c r="R26" s="26" t="s">
        <v>43</v>
      </c>
      <c r="S26" s="26" t="s">
        <v>38</v>
      </c>
      <c r="T26" s="26" t="s">
        <v>39</v>
      </c>
      <c r="U26" s="27">
        <v>0.84745762711864414</v>
      </c>
      <c r="V26" s="33">
        <v>1</v>
      </c>
      <c r="AG26" s="31">
        <v>0</v>
      </c>
      <c r="AH26" s="1" t="s">
        <v>44</v>
      </c>
    </row>
    <row r="27" spans="1:34">
      <c r="A27" s="15" t="s">
        <v>68</v>
      </c>
      <c r="B27" s="8" t="s">
        <v>36</v>
      </c>
      <c r="C27" s="41" t="s">
        <v>37</v>
      </c>
      <c r="D27" s="1" t="s">
        <v>38</v>
      </c>
      <c r="E27" s="26" t="s">
        <v>39</v>
      </c>
      <c r="F27" s="27">
        <v>0.94339622641509424</v>
      </c>
      <c r="G27" s="33">
        <v>0.5</v>
      </c>
      <c r="H27" s="26" t="s">
        <v>40</v>
      </c>
      <c r="I27" s="26" t="s">
        <v>41</v>
      </c>
      <c r="J27" s="26" t="s">
        <v>42</v>
      </c>
      <c r="K27" s="27">
        <v>2.3255813953488373</v>
      </c>
      <c r="L27" s="27">
        <v>0.5</v>
      </c>
      <c r="M27" s="70"/>
      <c r="N27" s="26"/>
      <c r="O27" s="26"/>
      <c r="P27" s="27"/>
      <c r="Q27" s="36"/>
      <c r="R27" s="26" t="s">
        <v>43</v>
      </c>
      <c r="S27" s="26" t="s">
        <v>38</v>
      </c>
      <c r="T27" s="26" t="s">
        <v>39</v>
      </c>
      <c r="U27" s="27">
        <v>0.84745762711864414</v>
      </c>
      <c r="V27" s="33">
        <v>1</v>
      </c>
      <c r="AG27" s="31">
        <v>0</v>
      </c>
      <c r="AH27" s="1" t="s">
        <v>44</v>
      </c>
    </row>
    <row r="28" spans="1:34">
      <c r="A28" s="15" t="s">
        <v>69</v>
      </c>
      <c r="B28" s="8" t="s">
        <v>36</v>
      </c>
      <c r="C28" s="41" t="s">
        <v>37</v>
      </c>
      <c r="D28" s="1" t="s">
        <v>38</v>
      </c>
      <c r="E28" s="26" t="s">
        <v>39</v>
      </c>
      <c r="F28" s="27">
        <v>0.94339622641509424</v>
      </c>
      <c r="G28" s="33">
        <v>0.5</v>
      </c>
      <c r="H28" s="26" t="s">
        <v>40</v>
      </c>
      <c r="I28" s="26" t="s">
        <v>41</v>
      </c>
      <c r="J28" s="26" t="s">
        <v>42</v>
      </c>
      <c r="K28" s="27">
        <v>2.3255813953488373</v>
      </c>
      <c r="L28" s="27">
        <v>0.5</v>
      </c>
      <c r="M28" s="70"/>
      <c r="N28" s="26"/>
      <c r="O28" s="26"/>
      <c r="P28" s="27"/>
      <c r="Q28" s="36"/>
      <c r="R28" s="26" t="s">
        <v>43</v>
      </c>
      <c r="S28" s="26" t="s">
        <v>38</v>
      </c>
      <c r="T28" s="26" t="s">
        <v>39</v>
      </c>
      <c r="U28" s="27">
        <v>0.84745762711864414</v>
      </c>
      <c r="V28" s="33">
        <v>1</v>
      </c>
      <c r="AG28" s="31">
        <v>0</v>
      </c>
      <c r="AH28" s="1" t="s">
        <v>44</v>
      </c>
    </row>
    <row r="29" spans="1:34">
      <c r="A29" s="15" t="s">
        <v>70</v>
      </c>
      <c r="B29" s="8" t="s">
        <v>36</v>
      </c>
      <c r="C29" s="41" t="s">
        <v>37</v>
      </c>
      <c r="D29" s="1" t="s">
        <v>38</v>
      </c>
      <c r="E29" s="26" t="s">
        <v>39</v>
      </c>
      <c r="F29" s="27">
        <v>0.94339622641509424</v>
      </c>
      <c r="G29" s="33">
        <v>0.5</v>
      </c>
      <c r="H29" s="26" t="s">
        <v>40</v>
      </c>
      <c r="I29" s="26" t="s">
        <v>41</v>
      </c>
      <c r="J29" s="26" t="s">
        <v>42</v>
      </c>
      <c r="K29" s="27">
        <v>2.3255813953488373</v>
      </c>
      <c r="L29" s="27">
        <v>0.5</v>
      </c>
      <c r="M29" s="70"/>
      <c r="N29" s="26"/>
      <c r="O29" s="26"/>
      <c r="P29" s="27"/>
      <c r="Q29" s="36"/>
      <c r="R29" s="26" t="s">
        <v>43</v>
      </c>
      <c r="S29" s="26" t="s">
        <v>38</v>
      </c>
      <c r="T29" s="26" t="s">
        <v>39</v>
      </c>
      <c r="U29" s="27">
        <v>0.84745762711864414</v>
      </c>
      <c r="V29" s="33">
        <v>1</v>
      </c>
      <c r="AG29" s="31">
        <v>0</v>
      </c>
      <c r="AH29" s="1" t="s">
        <v>44</v>
      </c>
    </row>
    <row r="30" spans="1:34">
      <c r="A30" s="15" t="s">
        <v>71</v>
      </c>
      <c r="B30" s="8" t="s">
        <v>36</v>
      </c>
      <c r="C30" s="41" t="s">
        <v>37</v>
      </c>
      <c r="D30" s="1" t="s">
        <v>38</v>
      </c>
      <c r="E30" s="26" t="s">
        <v>39</v>
      </c>
      <c r="F30" s="27">
        <v>0.94339622641509424</v>
      </c>
      <c r="G30" s="33">
        <v>0.5</v>
      </c>
      <c r="H30" s="26" t="s">
        <v>40</v>
      </c>
      <c r="I30" s="26" t="s">
        <v>41</v>
      </c>
      <c r="J30" s="26" t="s">
        <v>42</v>
      </c>
      <c r="K30" s="27">
        <v>2.3255813953488373</v>
      </c>
      <c r="L30" s="27">
        <v>0.5</v>
      </c>
      <c r="M30" s="70"/>
      <c r="N30" s="26"/>
      <c r="O30" s="26"/>
      <c r="P30" s="27"/>
      <c r="Q30" s="36"/>
      <c r="R30" s="26" t="s">
        <v>43</v>
      </c>
      <c r="S30" s="26" t="s">
        <v>38</v>
      </c>
      <c r="T30" s="26" t="s">
        <v>39</v>
      </c>
      <c r="U30" s="27">
        <v>0.84745762711864414</v>
      </c>
      <c r="V30" s="33">
        <v>1</v>
      </c>
      <c r="AG30" s="31">
        <v>0</v>
      </c>
      <c r="AH30" s="1" t="s">
        <v>44</v>
      </c>
    </row>
    <row r="31" spans="1:34">
      <c r="A31" s="15" t="s">
        <v>72</v>
      </c>
      <c r="B31" s="8" t="s">
        <v>36</v>
      </c>
      <c r="C31" s="41" t="s">
        <v>37</v>
      </c>
      <c r="D31" s="1" t="s">
        <v>38</v>
      </c>
      <c r="E31" s="26" t="s">
        <v>39</v>
      </c>
      <c r="F31" s="27">
        <v>0.94339622641509424</v>
      </c>
      <c r="G31" s="33">
        <v>0.5</v>
      </c>
      <c r="H31" s="26" t="s">
        <v>40</v>
      </c>
      <c r="I31" s="26" t="s">
        <v>41</v>
      </c>
      <c r="J31" s="26" t="s">
        <v>42</v>
      </c>
      <c r="K31" s="27">
        <v>2.3255813953488373</v>
      </c>
      <c r="L31" s="27">
        <v>0.5</v>
      </c>
      <c r="M31" s="70"/>
      <c r="N31" s="26"/>
      <c r="O31" s="26"/>
      <c r="P31" s="27"/>
      <c r="Q31" s="36"/>
      <c r="R31" s="26" t="s">
        <v>43</v>
      </c>
      <c r="S31" s="26" t="s">
        <v>38</v>
      </c>
      <c r="T31" s="26" t="s">
        <v>39</v>
      </c>
      <c r="U31" s="27">
        <v>0.84745762711864414</v>
      </c>
      <c r="V31" s="33">
        <v>1</v>
      </c>
      <c r="AG31" s="31">
        <v>1</v>
      </c>
      <c r="AH31" s="1" t="s">
        <v>73</v>
      </c>
    </row>
    <row r="32" spans="1:34">
      <c r="A32" s="15" t="s">
        <v>74</v>
      </c>
      <c r="B32" s="8" t="s">
        <v>36</v>
      </c>
      <c r="C32" s="41" t="s">
        <v>37</v>
      </c>
      <c r="D32" s="1" t="s">
        <v>38</v>
      </c>
      <c r="E32" s="26" t="s">
        <v>39</v>
      </c>
      <c r="F32" s="27">
        <v>0.94339622641509424</v>
      </c>
      <c r="G32" s="33">
        <v>0.5</v>
      </c>
      <c r="H32" s="26" t="s">
        <v>40</v>
      </c>
      <c r="I32" s="26" t="s">
        <v>41</v>
      </c>
      <c r="J32" s="26" t="s">
        <v>42</v>
      </c>
      <c r="K32" s="27">
        <v>2.3255813953488373</v>
      </c>
      <c r="L32" s="27">
        <v>0.5</v>
      </c>
      <c r="M32" s="70"/>
      <c r="N32" s="26"/>
      <c r="O32" s="26"/>
      <c r="P32" s="27"/>
      <c r="Q32" s="36"/>
      <c r="R32" s="26" t="s">
        <v>43</v>
      </c>
      <c r="S32" s="26" t="s">
        <v>38</v>
      </c>
      <c r="T32" s="26" t="s">
        <v>39</v>
      </c>
      <c r="U32" s="27">
        <v>0.84745762711864414</v>
      </c>
      <c r="V32" s="33">
        <v>1</v>
      </c>
      <c r="AG32" s="31">
        <v>1</v>
      </c>
      <c r="AH32" s="1" t="s">
        <v>73</v>
      </c>
    </row>
    <row r="33" spans="1:34">
      <c r="A33" s="15" t="s">
        <v>75</v>
      </c>
      <c r="B33" s="8" t="s">
        <v>36</v>
      </c>
      <c r="C33" s="41" t="s">
        <v>37</v>
      </c>
      <c r="D33" s="1" t="s">
        <v>38</v>
      </c>
      <c r="E33" s="26" t="s">
        <v>39</v>
      </c>
      <c r="F33" s="27">
        <v>0.94339622641509424</v>
      </c>
      <c r="G33" s="33">
        <v>0.5</v>
      </c>
      <c r="H33" s="26" t="s">
        <v>40</v>
      </c>
      <c r="I33" s="26" t="s">
        <v>41</v>
      </c>
      <c r="J33" s="26" t="s">
        <v>42</v>
      </c>
      <c r="K33" s="27">
        <v>2.3255813953488373</v>
      </c>
      <c r="L33" s="27">
        <v>0.5</v>
      </c>
      <c r="M33" s="70"/>
      <c r="N33" s="26"/>
      <c r="O33" s="26"/>
      <c r="P33" s="27"/>
      <c r="Q33" s="36"/>
      <c r="R33" s="26" t="s">
        <v>43</v>
      </c>
      <c r="S33" s="26" t="s">
        <v>38</v>
      </c>
      <c r="T33" s="26" t="s">
        <v>39</v>
      </c>
      <c r="U33" s="27">
        <v>0.84745762711864414</v>
      </c>
      <c r="V33" s="33">
        <v>1</v>
      </c>
      <c r="AG33" s="31">
        <v>1</v>
      </c>
      <c r="AH33" s="1" t="s">
        <v>73</v>
      </c>
    </row>
    <row r="34" spans="1:34">
      <c r="A34" s="15" t="s">
        <v>76</v>
      </c>
      <c r="B34" s="8" t="s">
        <v>36</v>
      </c>
      <c r="C34" s="41" t="s">
        <v>37</v>
      </c>
      <c r="D34" s="1" t="s">
        <v>38</v>
      </c>
      <c r="E34" s="26" t="s">
        <v>39</v>
      </c>
      <c r="F34" s="27">
        <v>0.94339622641509424</v>
      </c>
      <c r="G34" s="33">
        <v>0.5</v>
      </c>
      <c r="H34" s="26" t="s">
        <v>40</v>
      </c>
      <c r="I34" s="26" t="s">
        <v>41</v>
      </c>
      <c r="J34" s="26" t="s">
        <v>42</v>
      </c>
      <c r="K34" s="27">
        <v>2.3255813953488373</v>
      </c>
      <c r="L34" s="27">
        <v>0.5</v>
      </c>
      <c r="M34" s="70"/>
      <c r="N34" s="26"/>
      <c r="O34" s="26"/>
      <c r="P34" s="27"/>
      <c r="Q34" s="36"/>
      <c r="R34" s="26" t="s">
        <v>43</v>
      </c>
      <c r="S34" s="26" t="s">
        <v>38</v>
      </c>
      <c r="T34" s="26" t="s">
        <v>39</v>
      </c>
      <c r="U34" s="27">
        <v>0.84745762711864414</v>
      </c>
      <c r="V34" s="33">
        <v>1</v>
      </c>
      <c r="AG34" s="31">
        <v>1</v>
      </c>
      <c r="AH34" s="1" t="s">
        <v>73</v>
      </c>
    </row>
    <row r="35" spans="1:34">
      <c r="A35" s="15" t="s">
        <v>77</v>
      </c>
      <c r="B35" s="8" t="s">
        <v>36</v>
      </c>
      <c r="C35" s="41" t="s">
        <v>37</v>
      </c>
      <c r="D35" s="1" t="s">
        <v>38</v>
      </c>
      <c r="E35" s="26" t="s">
        <v>39</v>
      </c>
      <c r="F35" s="27">
        <v>0.94339622641509424</v>
      </c>
      <c r="G35" s="33">
        <v>0.5</v>
      </c>
      <c r="H35" s="26" t="s">
        <v>40</v>
      </c>
      <c r="I35" s="26" t="s">
        <v>41</v>
      </c>
      <c r="J35" s="26" t="s">
        <v>42</v>
      </c>
      <c r="K35" s="27">
        <v>2.3255813953488373</v>
      </c>
      <c r="L35" s="27">
        <v>0.5</v>
      </c>
      <c r="M35" s="70"/>
      <c r="N35" s="26"/>
      <c r="O35" s="26"/>
      <c r="P35" s="27"/>
      <c r="Q35" s="36"/>
      <c r="R35" s="26" t="s">
        <v>43</v>
      </c>
      <c r="S35" s="26" t="s">
        <v>38</v>
      </c>
      <c r="T35" s="26" t="s">
        <v>39</v>
      </c>
      <c r="U35" s="27">
        <v>0.84745762711864414</v>
      </c>
      <c r="V35" s="33">
        <v>1</v>
      </c>
      <c r="AG35" s="31">
        <v>1</v>
      </c>
      <c r="AH35" s="1" t="s">
        <v>73</v>
      </c>
    </row>
    <row r="36" spans="1:34">
      <c r="A36" s="15" t="s">
        <v>78</v>
      </c>
      <c r="B36" s="8" t="s">
        <v>36</v>
      </c>
      <c r="C36" s="41" t="s">
        <v>37</v>
      </c>
      <c r="D36" s="1" t="s">
        <v>38</v>
      </c>
      <c r="E36" s="26" t="s">
        <v>39</v>
      </c>
      <c r="F36" s="27">
        <v>0.94339622641509424</v>
      </c>
      <c r="G36" s="33">
        <v>0.5</v>
      </c>
      <c r="H36" s="26" t="s">
        <v>40</v>
      </c>
      <c r="I36" s="26" t="s">
        <v>41</v>
      </c>
      <c r="J36" s="26" t="s">
        <v>42</v>
      </c>
      <c r="K36" s="27">
        <v>2.3255813953488373</v>
      </c>
      <c r="L36" s="27">
        <v>0.5</v>
      </c>
      <c r="M36" s="70"/>
      <c r="N36" s="26"/>
      <c r="O36" s="26"/>
      <c r="P36" s="27"/>
      <c r="Q36" s="36"/>
      <c r="R36" s="26" t="s">
        <v>43</v>
      </c>
      <c r="S36" s="26" t="s">
        <v>38</v>
      </c>
      <c r="T36" s="26" t="s">
        <v>39</v>
      </c>
      <c r="U36" s="27">
        <v>0.84745762711864414</v>
      </c>
      <c r="V36" s="33">
        <v>1</v>
      </c>
      <c r="AG36" s="31">
        <v>1</v>
      </c>
      <c r="AH36" s="1" t="s">
        <v>73</v>
      </c>
    </row>
    <row r="37" spans="1:34">
      <c r="A37" s="15" t="s">
        <v>79</v>
      </c>
      <c r="B37" s="8" t="s">
        <v>36</v>
      </c>
      <c r="C37" s="41" t="s">
        <v>37</v>
      </c>
      <c r="D37" s="1" t="s">
        <v>38</v>
      </c>
      <c r="E37" s="26" t="s">
        <v>39</v>
      </c>
      <c r="F37" s="27">
        <v>0.94339622641509424</v>
      </c>
      <c r="G37" s="33">
        <v>0.5</v>
      </c>
      <c r="H37" s="26" t="s">
        <v>40</v>
      </c>
      <c r="I37" s="26" t="s">
        <v>41</v>
      </c>
      <c r="J37" s="26" t="s">
        <v>42</v>
      </c>
      <c r="K37" s="27">
        <v>2.3255813953488373</v>
      </c>
      <c r="L37" s="27">
        <v>0.5</v>
      </c>
      <c r="M37" s="70"/>
      <c r="N37" s="26"/>
      <c r="O37" s="26"/>
      <c r="P37" s="27"/>
      <c r="Q37" s="36"/>
      <c r="R37" s="26" t="s">
        <v>43</v>
      </c>
      <c r="S37" s="26" t="s">
        <v>38</v>
      </c>
      <c r="T37" s="26" t="s">
        <v>39</v>
      </c>
      <c r="U37" s="27">
        <v>0.84745762711864414</v>
      </c>
      <c r="V37" s="33">
        <v>1</v>
      </c>
      <c r="AG37" s="31">
        <v>1</v>
      </c>
      <c r="AH37" s="1" t="s">
        <v>73</v>
      </c>
    </row>
    <row r="38" spans="1:34">
      <c r="A38" s="15" t="s">
        <v>80</v>
      </c>
      <c r="B38" s="8" t="s">
        <v>36</v>
      </c>
      <c r="C38" s="41" t="s">
        <v>37</v>
      </c>
      <c r="D38" s="1" t="s">
        <v>38</v>
      </c>
      <c r="E38" s="26" t="s">
        <v>39</v>
      </c>
      <c r="F38" s="27">
        <v>0.94339622641509424</v>
      </c>
      <c r="G38" s="33">
        <v>0.5</v>
      </c>
      <c r="H38" s="26" t="s">
        <v>40</v>
      </c>
      <c r="I38" s="26" t="s">
        <v>41</v>
      </c>
      <c r="J38" s="26" t="s">
        <v>42</v>
      </c>
      <c r="K38" s="27">
        <v>2.3255813953488373</v>
      </c>
      <c r="L38" s="27">
        <v>0.5</v>
      </c>
      <c r="M38" s="70"/>
      <c r="N38" s="26"/>
      <c r="O38" s="26"/>
      <c r="P38" s="27"/>
      <c r="Q38" s="36"/>
      <c r="R38" s="26" t="s">
        <v>43</v>
      </c>
      <c r="S38" s="26" t="s">
        <v>38</v>
      </c>
      <c r="T38" s="26" t="s">
        <v>39</v>
      </c>
      <c r="U38" s="27">
        <v>0.84745762711864414</v>
      </c>
      <c r="V38" s="33">
        <v>1</v>
      </c>
      <c r="AG38" s="31">
        <v>0</v>
      </c>
      <c r="AH38" s="1" t="s">
        <v>44</v>
      </c>
    </row>
    <row r="39" spans="1:34">
      <c r="A39" s="15" t="s">
        <v>81</v>
      </c>
      <c r="B39" s="8" t="s">
        <v>36</v>
      </c>
      <c r="C39" s="41" t="s">
        <v>37</v>
      </c>
      <c r="D39" s="1" t="s">
        <v>38</v>
      </c>
      <c r="E39" s="26" t="s">
        <v>39</v>
      </c>
      <c r="F39" s="27">
        <v>0.94339622641509424</v>
      </c>
      <c r="G39" s="33">
        <v>0.5</v>
      </c>
      <c r="H39" s="26" t="s">
        <v>40</v>
      </c>
      <c r="I39" s="26" t="s">
        <v>41</v>
      </c>
      <c r="J39" s="26" t="s">
        <v>42</v>
      </c>
      <c r="K39" s="27">
        <v>2.3255813953488373</v>
      </c>
      <c r="L39" s="27">
        <v>0.5</v>
      </c>
      <c r="M39" s="70"/>
      <c r="N39" s="26"/>
      <c r="O39" s="26"/>
      <c r="P39" s="27"/>
      <c r="Q39" s="36"/>
      <c r="R39" s="26" t="s">
        <v>43</v>
      </c>
      <c r="S39" s="26" t="s">
        <v>38</v>
      </c>
      <c r="T39" s="26" t="s">
        <v>39</v>
      </c>
      <c r="U39" s="27">
        <v>0.84745762711864414</v>
      </c>
      <c r="V39" s="33">
        <v>1</v>
      </c>
      <c r="AG39" s="31">
        <v>0</v>
      </c>
      <c r="AH39" s="1" t="s">
        <v>44</v>
      </c>
    </row>
    <row r="40" spans="1:34">
      <c r="A40" s="15" t="s">
        <v>82</v>
      </c>
      <c r="B40" s="8" t="s">
        <v>36</v>
      </c>
      <c r="C40" s="41" t="s">
        <v>37</v>
      </c>
      <c r="D40" s="1" t="s">
        <v>38</v>
      </c>
      <c r="E40" s="26" t="s">
        <v>39</v>
      </c>
      <c r="F40" s="27">
        <v>0.94339622641509424</v>
      </c>
      <c r="G40" s="33">
        <v>0.5</v>
      </c>
      <c r="H40" s="26" t="s">
        <v>40</v>
      </c>
      <c r="I40" s="26" t="s">
        <v>41</v>
      </c>
      <c r="J40" s="26" t="s">
        <v>42</v>
      </c>
      <c r="K40" s="27">
        <v>2.3255813953488373</v>
      </c>
      <c r="L40" s="27">
        <v>0.5</v>
      </c>
      <c r="M40" s="70"/>
      <c r="N40" s="26"/>
      <c r="O40" s="26"/>
      <c r="P40" s="27"/>
      <c r="Q40" s="36"/>
      <c r="R40" s="26" t="s">
        <v>43</v>
      </c>
      <c r="S40" s="26" t="s">
        <v>38</v>
      </c>
      <c r="T40" s="26" t="s">
        <v>39</v>
      </c>
      <c r="U40" s="27">
        <v>0.84745762711864414</v>
      </c>
      <c r="V40" s="33">
        <v>1</v>
      </c>
      <c r="AG40" s="31">
        <v>0</v>
      </c>
      <c r="AH40" s="1" t="s">
        <v>44</v>
      </c>
    </row>
    <row r="41" spans="1:34">
      <c r="A41" s="15" t="s">
        <v>83</v>
      </c>
      <c r="B41" s="8" t="s">
        <v>36</v>
      </c>
      <c r="C41" s="41" t="s">
        <v>37</v>
      </c>
      <c r="D41" s="1" t="s">
        <v>38</v>
      </c>
      <c r="E41" s="26" t="s">
        <v>39</v>
      </c>
      <c r="F41" s="27">
        <v>0.94339622641509424</v>
      </c>
      <c r="G41" s="33">
        <v>0.5</v>
      </c>
      <c r="H41" s="26" t="s">
        <v>40</v>
      </c>
      <c r="I41" s="26" t="s">
        <v>41</v>
      </c>
      <c r="J41" s="26" t="s">
        <v>42</v>
      </c>
      <c r="K41" s="27">
        <v>2.3255813953488373</v>
      </c>
      <c r="L41" s="27">
        <v>0.5</v>
      </c>
      <c r="M41" s="70"/>
      <c r="N41" s="26"/>
      <c r="O41" s="26"/>
      <c r="P41" s="27"/>
      <c r="Q41" s="36"/>
      <c r="R41" s="26" t="s">
        <v>43</v>
      </c>
      <c r="S41" s="26" t="s">
        <v>38</v>
      </c>
      <c r="T41" s="26" t="s">
        <v>39</v>
      </c>
      <c r="U41" s="27">
        <v>0.84745762711864414</v>
      </c>
      <c r="V41" s="33">
        <v>1</v>
      </c>
      <c r="AG41" s="31">
        <v>0</v>
      </c>
      <c r="AH41" s="1" t="s">
        <v>44</v>
      </c>
    </row>
    <row r="42" spans="1:34">
      <c r="A42" s="15" t="s">
        <v>84</v>
      </c>
      <c r="B42" s="8" t="s">
        <v>36</v>
      </c>
      <c r="C42" s="41" t="s">
        <v>37</v>
      </c>
      <c r="D42" s="1" t="s">
        <v>38</v>
      </c>
      <c r="E42" s="26" t="s">
        <v>39</v>
      </c>
      <c r="F42" s="27">
        <v>0.94339622641509424</v>
      </c>
      <c r="G42" s="33">
        <v>0.5</v>
      </c>
      <c r="H42" s="26" t="s">
        <v>40</v>
      </c>
      <c r="I42" s="26" t="s">
        <v>41</v>
      </c>
      <c r="J42" s="26" t="s">
        <v>42</v>
      </c>
      <c r="K42" s="27">
        <v>2.3255813953488373</v>
      </c>
      <c r="L42" s="27">
        <v>0.5</v>
      </c>
      <c r="M42" s="70"/>
      <c r="N42" s="26"/>
      <c r="O42" s="26"/>
      <c r="P42" s="27"/>
      <c r="Q42" s="36"/>
      <c r="R42" s="26" t="s">
        <v>43</v>
      </c>
      <c r="S42" s="26" t="s">
        <v>38</v>
      </c>
      <c r="T42" s="26" t="s">
        <v>39</v>
      </c>
      <c r="U42" s="27">
        <v>0.84745762711864414</v>
      </c>
      <c r="V42" s="33">
        <v>1</v>
      </c>
      <c r="AG42" s="31">
        <v>0</v>
      </c>
      <c r="AH42" s="1" t="s">
        <v>44</v>
      </c>
    </row>
    <row r="43" spans="1:34">
      <c r="A43" s="15" t="s">
        <v>85</v>
      </c>
      <c r="B43" s="8" t="s">
        <v>36</v>
      </c>
      <c r="C43" s="41" t="s">
        <v>37</v>
      </c>
      <c r="D43" s="1" t="s">
        <v>38</v>
      </c>
      <c r="E43" s="26" t="s">
        <v>39</v>
      </c>
      <c r="F43" s="27">
        <v>0.94339622641509424</v>
      </c>
      <c r="G43" s="33">
        <v>0.5</v>
      </c>
      <c r="H43" s="26" t="s">
        <v>40</v>
      </c>
      <c r="I43" s="26" t="s">
        <v>41</v>
      </c>
      <c r="J43" s="26" t="s">
        <v>42</v>
      </c>
      <c r="K43" s="27">
        <v>2.3255813953488373</v>
      </c>
      <c r="L43" s="27">
        <v>0.5</v>
      </c>
      <c r="M43" s="70"/>
      <c r="N43" s="26"/>
      <c r="O43" s="26"/>
      <c r="P43" s="27"/>
      <c r="Q43" s="36"/>
      <c r="R43" s="26" t="s">
        <v>43</v>
      </c>
      <c r="S43" s="26" t="s">
        <v>38</v>
      </c>
      <c r="T43" s="26" t="s">
        <v>39</v>
      </c>
      <c r="U43" s="27">
        <v>0.84745762711864414</v>
      </c>
      <c r="V43" s="33">
        <v>1</v>
      </c>
      <c r="AG43" s="31">
        <v>0</v>
      </c>
      <c r="AH43" s="1" t="s">
        <v>44</v>
      </c>
    </row>
    <row r="44" spans="1:34">
      <c r="A44" s="15" t="s">
        <v>86</v>
      </c>
      <c r="B44" s="8" t="s">
        <v>36</v>
      </c>
      <c r="C44" s="41" t="s">
        <v>37</v>
      </c>
      <c r="D44" s="1" t="s">
        <v>38</v>
      </c>
      <c r="E44" s="26" t="s">
        <v>39</v>
      </c>
      <c r="F44" s="27">
        <v>0.94339622641509424</v>
      </c>
      <c r="G44" s="33">
        <v>0.5</v>
      </c>
      <c r="H44" s="26" t="s">
        <v>40</v>
      </c>
      <c r="I44" s="26" t="s">
        <v>41</v>
      </c>
      <c r="J44" s="26" t="s">
        <v>42</v>
      </c>
      <c r="K44" s="27">
        <v>2.3255813953488373</v>
      </c>
      <c r="L44" s="27">
        <v>0.5</v>
      </c>
      <c r="M44" s="70"/>
      <c r="N44" s="26"/>
      <c r="O44" s="26"/>
      <c r="P44" s="27"/>
      <c r="Q44" s="36"/>
      <c r="R44" s="26" t="s">
        <v>43</v>
      </c>
      <c r="S44" s="26" t="s">
        <v>38</v>
      </c>
      <c r="T44" s="26" t="s">
        <v>39</v>
      </c>
      <c r="U44" s="27">
        <v>0.84745762711864414</v>
      </c>
      <c r="V44" s="33">
        <v>1</v>
      </c>
      <c r="AG44" s="31">
        <v>0</v>
      </c>
      <c r="AH44" s="1" t="s">
        <v>44</v>
      </c>
    </row>
    <row r="45" spans="1:34">
      <c r="A45" s="15" t="s">
        <v>87</v>
      </c>
      <c r="B45" s="8" t="s">
        <v>36</v>
      </c>
      <c r="C45" s="41" t="s">
        <v>37</v>
      </c>
      <c r="D45" s="1" t="s">
        <v>38</v>
      </c>
      <c r="E45" s="26" t="s">
        <v>39</v>
      </c>
      <c r="F45" s="27">
        <v>0.94339622641509424</v>
      </c>
      <c r="G45" s="33">
        <v>0.5</v>
      </c>
      <c r="H45" s="26" t="s">
        <v>40</v>
      </c>
      <c r="I45" s="26" t="s">
        <v>41</v>
      </c>
      <c r="J45" s="26" t="s">
        <v>42</v>
      </c>
      <c r="K45" s="27">
        <v>2.3255813953488373</v>
      </c>
      <c r="L45" s="27">
        <v>0.5</v>
      </c>
      <c r="M45" s="70"/>
      <c r="N45" s="26"/>
      <c r="O45" s="26"/>
      <c r="P45" s="27"/>
      <c r="Q45" s="36"/>
      <c r="R45" s="26" t="s">
        <v>43</v>
      </c>
      <c r="S45" s="26" t="s">
        <v>38</v>
      </c>
      <c r="T45" s="26" t="s">
        <v>39</v>
      </c>
      <c r="U45" s="27">
        <v>0.84745762711864414</v>
      </c>
      <c r="V45" s="33">
        <v>1</v>
      </c>
      <c r="AG45" s="31">
        <v>0</v>
      </c>
      <c r="AH45" s="1" t="s">
        <v>44</v>
      </c>
    </row>
    <row r="46" spans="1:34">
      <c r="A46" s="15" t="s">
        <v>88</v>
      </c>
      <c r="B46" s="8" t="s">
        <v>36</v>
      </c>
      <c r="C46" s="41" t="s">
        <v>37</v>
      </c>
      <c r="D46" s="1" t="s">
        <v>38</v>
      </c>
      <c r="E46" s="26" t="s">
        <v>39</v>
      </c>
      <c r="F46" s="27">
        <v>0.94339622641509424</v>
      </c>
      <c r="G46" s="33">
        <v>0.5</v>
      </c>
      <c r="H46" s="26" t="s">
        <v>40</v>
      </c>
      <c r="I46" s="26" t="s">
        <v>41</v>
      </c>
      <c r="J46" s="26" t="s">
        <v>42</v>
      </c>
      <c r="K46" s="27">
        <v>2.3255813953488373</v>
      </c>
      <c r="L46" s="27">
        <v>0.5</v>
      </c>
      <c r="M46" s="70"/>
      <c r="N46" s="26"/>
      <c r="O46" s="26"/>
      <c r="P46" s="27"/>
      <c r="Q46" s="36"/>
      <c r="R46" s="26" t="s">
        <v>43</v>
      </c>
      <c r="S46" s="26" t="s">
        <v>38</v>
      </c>
      <c r="T46" s="26" t="s">
        <v>39</v>
      </c>
      <c r="U46" s="27">
        <v>0.84745762711864414</v>
      </c>
      <c r="V46" s="33">
        <v>1</v>
      </c>
      <c r="AG46" s="31">
        <v>0</v>
      </c>
      <c r="AH46" s="1" t="s">
        <v>44</v>
      </c>
    </row>
    <row r="47" spans="1:34">
      <c r="A47" s="15" t="s">
        <v>89</v>
      </c>
      <c r="B47" s="8" t="s">
        <v>36</v>
      </c>
      <c r="C47" s="41" t="s">
        <v>37</v>
      </c>
      <c r="D47" s="1" t="s">
        <v>38</v>
      </c>
      <c r="E47" s="26" t="s">
        <v>39</v>
      </c>
      <c r="F47" s="27">
        <v>0.94339622641509424</v>
      </c>
      <c r="G47" s="33">
        <v>0.5</v>
      </c>
      <c r="H47" s="26" t="s">
        <v>40</v>
      </c>
      <c r="I47" s="26" t="s">
        <v>41</v>
      </c>
      <c r="J47" s="26" t="s">
        <v>42</v>
      </c>
      <c r="K47" s="27">
        <v>2.3255813953488373</v>
      </c>
      <c r="L47" s="27">
        <v>0.5</v>
      </c>
      <c r="M47" s="70"/>
      <c r="N47" s="26"/>
      <c r="O47" s="26"/>
      <c r="P47" s="27"/>
      <c r="Q47" s="36"/>
      <c r="R47" s="26" t="s">
        <v>43</v>
      </c>
      <c r="S47" s="26" t="s">
        <v>38</v>
      </c>
      <c r="T47" s="26" t="s">
        <v>39</v>
      </c>
      <c r="U47" s="27">
        <v>0.84745762711864414</v>
      </c>
      <c r="V47" s="33">
        <v>1</v>
      </c>
      <c r="AG47" s="31">
        <v>0</v>
      </c>
      <c r="AH47" s="1" t="s">
        <v>44</v>
      </c>
    </row>
    <row r="48" spans="1:34">
      <c r="A48" s="15" t="s">
        <v>90</v>
      </c>
      <c r="B48" s="8" t="s">
        <v>36</v>
      </c>
      <c r="C48" s="41" t="s">
        <v>37</v>
      </c>
      <c r="D48" s="1" t="s">
        <v>38</v>
      </c>
      <c r="E48" s="26" t="s">
        <v>39</v>
      </c>
      <c r="F48" s="27">
        <v>0.94339622641509424</v>
      </c>
      <c r="G48" s="33">
        <v>0.5</v>
      </c>
      <c r="H48" s="26" t="s">
        <v>40</v>
      </c>
      <c r="I48" s="26" t="s">
        <v>41</v>
      </c>
      <c r="J48" s="26" t="s">
        <v>42</v>
      </c>
      <c r="K48" s="27">
        <v>2.3255813953488373</v>
      </c>
      <c r="L48" s="27">
        <v>0.5</v>
      </c>
      <c r="M48" s="70"/>
      <c r="N48" s="26"/>
      <c r="O48" s="26"/>
      <c r="P48" s="27"/>
      <c r="Q48" s="36"/>
      <c r="R48" s="26" t="s">
        <v>43</v>
      </c>
      <c r="S48" s="26" t="s">
        <v>38</v>
      </c>
      <c r="T48" s="26" t="s">
        <v>39</v>
      </c>
      <c r="U48" s="27">
        <v>0.84745762711864414</v>
      </c>
      <c r="V48" s="33">
        <v>1</v>
      </c>
      <c r="AG48" s="31">
        <v>0</v>
      </c>
      <c r="AH48" s="1" t="s">
        <v>44</v>
      </c>
    </row>
    <row r="49" spans="1:35">
      <c r="A49" s="15" t="s">
        <v>91</v>
      </c>
      <c r="B49" s="8" t="s">
        <v>36</v>
      </c>
      <c r="C49" s="41" t="s">
        <v>37</v>
      </c>
      <c r="D49" s="1" t="s">
        <v>38</v>
      </c>
      <c r="E49" s="26" t="s">
        <v>39</v>
      </c>
      <c r="F49" s="27">
        <v>0.94339622641509424</v>
      </c>
      <c r="G49" s="33">
        <v>0.5</v>
      </c>
      <c r="H49" s="26" t="s">
        <v>40</v>
      </c>
      <c r="I49" s="26" t="s">
        <v>41</v>
      </c>
      <c r="J49" s="26" t="s">
        <v>42</v>
      </c>
      <c r="K49" s="27">
        <v>2.3255813953488373</v>
      </c>
      <c r="L49" s="27">
        <v>0.5</v>
      </c>
      <c r="M49" s="70"/>
      <c r="N49" s="26"/>
      <c r="O49" s="26"/>
      <c r="P49" s="27"/>
      <c r="Q49" s="36"/>
      <c r="R49" s="26" t="s">
        <v>43</v>
      </c>
      <c r="S49" s="26" t="s">
        <v>38</v>
      </c>
      <c r="T49" s="26" t="s">
        <v>39</v>
      </c>
      <c r="U49" s="27">
        <v>0.84745762711864414</v>
      </c>
      <c r="V49" s="33">
        <v>1</v>
      </c>
      <c r="AG49" s="31">
        <v>0</v>
      </c>
      <c r="AH49" s="1" t="s">
        <v>44</v>
      </c>
    </row>
    <row r="50" spans="1:35">
      <c r="A50" s="15" t="s">
        <v>92</v>
      </c>
      <c r="B50" s="8" t="s">
        <v>36</v>
      </c>
      <c r="C50" s="41" t="s">
        <v>37</v>
      </c>
      <c r="D50" s="1" t="s">
        <v>38</v>
      </c>
      <c r="E50" s="26" t="s">
        <v>39</v>
      </c>
      <c r="F50" s="27">
        <v>0.94339622641509424</v>
      </c>
      <c r="G50" s="33">
        <v>0.5</v>
      </c>
      <c r="H50" s="26" t="s">
        <v>40</v>
      </c>
      <c r="I50" s="26" t="s">
        <v>41</v>
      </c>
      <c r="J50" s="26" t="s">
        <v>42</v>
      </c>
      <c r="K50" s="27">
        <v>2.3255813953488373</v>
      </c>
      <c r="L50" s="27">
        <v>0.5</v>
      </c>
      <c r="M50" s="70"/>
      <c r="N50" s="26"/>
      <c r="O50" s="26"/>
      <c r="P50" s="27"/>
      <c r="Q50" s="36"/>
      <c r="R50" s="26" t="s">
        <v>43</v>
      </c>
      <c r="S50" s="26" t="s">
        <v>38</v>
      </c>
      <c r="T50" s="26" t="s">
        <v>39</v>
      </c>
      <c r="U50" s="27">
        <v>0.84745762711864414</v>
      </c>
      <c r="V50" s="33">
        <v>1</v>
      </c>
      <c r="AG50" s="31">
        <v>0</v>
      </c>
      <c r="AH50" s="1" t="s">
        <v>44</v>
      </c>
    </row>
    <row r="51" spans="1:35">
      <c r="A51" s="15" t="s">
        <v>93</v>
      </c>
      <c r="B51" s="8" t="s">
        <v>36</v>
      </c>
      <c r="C51" s="41" t="s">
        <v>37</v>
      </c>
      <c r="D51" s="1" t="s">
        <v>38</v>
      </c>
      <c r="E51" s="26" t="s">
        <v>39</v>
      </c>
      <c r="F51" s="27">
        <v>0.94339622641509424</v>
      </c>
      <c r="G51" s="33">
        <v>0.5</v>
      </c>
      <c r="H51" s="26" t="s">
        <v>40</v>
      </c>
      <c r="I51" s="26" t="s">
        <v>41</v>
      </c>
      <c r="J51" s="26" t="s">
        <v>42</v>
      </c>
      <c r="K51" s="27">
        <v>2.3255813953488373</v>
      </c>
      <c r="L51" s="27">
        <v>0.5</v>
      </c>
      <c r="M51" s="70"/>
      <c r="N51" s="26"/>
      <c r="O51" s="26"/>
      <c r="P51" s="27"/>
      <c r="Q51" s="36"/>
      <c r="R51" s="26" t="s">
        <v>43</v>
      </c>
      <c r="S51" s="26" t="s">
        <v>38</v>
      </c>
      <c r="T51" s="26" t="s">
        <v>39</v>
      </c>
      <c r="U51" s="27">
        <v>0.84745762711864414</v>
      </c>
      <c r="V51" s="33">
        <v>1</v>
      </c>
      <c r="AG51" s="31">
        <v>0</v>
      </c>
      <c r="AH51" s="1" t="s">
        <v>44</v>
      </c>
    </row>
    <row r="52" spans="1:35">
      <c r="A52" s="15" t="s">
        <v>94</v>
      </c>
      <c r="B52" s="8" t="s">
        <v>36</v>
      </c>
      <c r="C52" s="41" t="s">
        <v>37</v>
      </c>
      <c r="D52" s="1" t="s">
        <v>38</v>
      </c>
      <c r="E52" s="26" t="s">
        <v>39</v>
      </c>
      <c r="F52" s="27">
        <v>0.94339622641509424</v>
      </c>
      <c r="G52" s="33">
        <v>0.5</v>
      </c>
      <c r="H52" s="26" t="s">
        <v>40</v>
      </c>
      <c r="I52" s="26" t="s">
        <v>41</v>
      </c>
      <c r="J52" s="26" t="s">
        <v>42</v>
      </c>
      <c r="K52" s="27">
        <v>2.3255813953488373</v>
      </c>
      <c r="L52" s="27">
        <v>0.5</v>
      </c>
      <c r="M52" s="70"/>
      <c r="N52" s="26"/>
      <c r="O52" s="26"/>
      <c r="P52" s="27"/>
      <c r="Q52" s="36"/>
      <c r="R52" s="26" t="s">
        <v>43</v>
      </c>
      <c r="S52" s="26" t="s">
        <v>38</v>
      </c>
      <c r="T52" s="26" t="s">
        <v>39</v>
      </c>
      <c r="U52" s="27">
        <v>0.84745762711864414</v>
      </c>
      <c r="V52" s="33">
        <v>1</v>
      </c>
      <c r="AG52" s="31">
        <v>0</v>
      </c>
      <c r="AH52" s="1" t="s">
        <v>44</v>
      </c>
    </row>
    <row r="53" spans="1:35">
      <c r="A53" s="15" t="s">
        <v>95</v>
      </c>
      <c r="B53" s="8" t="s">
        <v>36</v>
      </c>
      <c r="C53" s="41" t="s">
        <v>37</v>
      </c>
      <c r="D53" s="1" t="s">
        <v>38</v>
      </c>
      <c r="E53" s="26" t="s">
        <v>39</v>
      </c>
      <c r="F53" s="27">
        <v>0.94339622641509424</v>
      </c>
      <c r="G53" s="33">
        <v>0.5</v>
      </c>
      <c r="H53" s="26" t="s">
        <v>40</v>
      </c>
      <c r="I53" s="26" t="s">
        <v>41</v>
      </c>
      <c r="J53" s="26" t="s">
        <v>42</v>
      </c>
      <c r="K53" s="27">
        <v>2.3255813953488373</v>
      </c>
      <c r="L53" s="27">
        <v>0.5</v>
      </c>
      <c r="M53" s="70"/>
      <c r="N53" s="26"/>
      <c r="O53" s="26"/>
      <c r="P53" s="27"/>
      <c r="Q53" s="36"/>
      <c r="R53" s="26" t="s">
        <v>43</v>
      </c>
      <c r="S53" s="26" t="s">
        <v>38</v>
      </c>
      <c r="T53" s="26" t="s">
        <v>39</v>
      </c>
      <c r="U53" s="27">
        <v>0.84745762711864414</v>
      </c>
      <c r="V53" s="33">
        <v>1</v>
      </c>
      <c r="AG53" s="31">
        <v>0</v>
      </c>
      <c r="AH53" s="1" t="s">
        <v>44</v>
      </c>
    </row>
    <row r="54" spans="1:35">
      <c r="A54" s="15" t="s">
        <v>96</v>
      </c>
      <c r="B54" s="8" t="s">
        <v>36</v>
      </c>
      <c r="C54" s="41" t="s">
        <v>37</v>
      </c>
      <c r="D54" s="1" t="s">
        <v>38</v>
      </c>
      <c r="E54" s="26" t="s">
        <v>39</v>
      </c>
      <c r="F54" s="27">
        <v>0.94339622641509424</v>
      </c>
      <c r="G54" s="33">
        <v>0.5</v>
      </c>
      <c r="H54" s="26" t="s">
        <v>40</v>
      </c>
      <c r="I54" s="26" t="s">
        <v>41</v>
      </c>
      <c r="J54" s="26" t="s">
        <v>42</v>
      </c>
      <c r="K54" s="27">
        <v>2.3255813953488373</v>
      </c>
      <c r="L54" s="27">
        <v>0.5</v>
      </c>
      <c r="M54" s="70"/>
      <c r="N54" s="26"/>
      <c r="O54" s="26"/>
      <c r="P54" s="27"/>
      <c r="Q54" s="36"/>
      <c r="R54" s="26" t="s">
        <v>43</v>
      </c>
      <c r="S54" s="26" t="s">
        <v>38</v>
      </c>
      <c r="T54" s="26" t="s">
        <v>39</v>
      </c>
      <c r="U54" s="27">
        <v>0.84745762711864414</v>
      </c>
      <c r="V54" s="33">
        <v>1</v>
      </c>
      <c r="AG54" s="31">
        <v>0</v>
      </c>
      <c r="AH54" s="1" t="s">
        <v>44</v>
      </c>
    </row>
    <row r="55" spans="1:35">
      <c r="A55" s="15" t="s">
        <v>97</v>
      </c>
      <c r="B55" s="8" t="s">
        <v>36</v>
      </c>
      <c r="C55" s="41" t="s">
        <v>37</v>
      </c>
      <c r="D55" s="1" t="s">
        <v>38</v>
      </c>
      <c r="E55" s="26" t="s">
        <v>39</v>
      </c>
      <c r="F55" s="27">
        <v>0.94339622641509424</v>
      </c>
      <c r="G55" s="33">
        <v>0.5</v>
      </c>
      <c r="H55" s="26" t="s">
        <v>40</v>
      </c>
      <c r="I55" s="26" t="s">
        <v>41</v>
      </c>
      <c r="J55" s="26" t="s">
        <v>42</v>
      </c>
      <c r="K55" s="27">
        <v>2.3255813953488373</v>
      </c>
      <c r="L55" s="27">
        <v>0.5</v>
      </c>
      <c r="M55" s="70"/>
      <c r="N55" s="26"/>
      <c r="O55" s="26"/>
      <c r="P55" s="27"/>
      <c r="Q55" s="36"/>
      <c r="R55" s="26" t="s">
        <v>43</v>
      </c>
      <c r="S55" s="26" t="s">
        <v>38</v>
      </c>
      <c r="T55" s="26" t="s">
        <v>39</v>
      </c>
      <c r="U55" s="27">
        <v>0.84745762711864414</v>
      </c>
      <c r="V55" s="33">
        <v>1</v>
      </c>
      <c r="AG55" s="31">
        <v>0</v>
      </c>
      <c r="AH55" s="1" t="s">
        <v>44</v>
      </c>
    </row>
    <row r="56" spans="1:35">
      <c r="A56" s="15" t="s">
        <v>98</v>
      </c>
      <c r="B56" s="8" t="s">
        <v>36</v>
      </c>
      <c r="C56" s="41" t="s">
        <v>37</v>
      </c>
      <c r="D56" s="1" t="s">
        <v>38</v>
      </c>
      <c r="E56" s="26" t="s">
        <v>39</v>
      </c>
      <c r="F56" s="27">
        <v>0.94339622641509424</v>
      </c>
      <c r="G56" s="33">
        <v>0.5</v>
      </c>
      <c r="H56" s="26" t="s">
        <v>40</v>
      </c>
      <c r="I56" s="26" t="s">
        <v>41</v>
      </c>
      <c r="J56" s="26" t="s">
        <v>42</v>
      </c>
      <c r="K56" s="27">
        <v>2.3255813953488373</v>
      </c>
      <c r="L56" s="27">
        <v>0.5</v>
      </c>
      <c r="M56" s="70"/>
      <c r="N56" s="26"/>
      <c r="O56" s="26"/>
      <c r="P56" s="27"/>
      <c r="Q56" s="36"/>
      <c r="R56" s="26" t="s">
        <v>43</v>
      </c>
      <c r="S56" s="26" t="s">
        <v>38</v>
      </c>
      <c r="T56" s="26" t="s">
        <v>39</v>
      </c>
      <c r="U56" s="27">
        <v>0.84745762711864414</v>
      </c>
      <c r="V56" s="33">
        <v>1</v>
      </c>
      <c r="AG56" s="31">
        <v>0</v>
      </c>
      <c r="AH56" s="1" t="s">
        <v>44</v>
      </c>
    </row>
    <row r="57" spans="1:35">
      <c r="A57" s="15" t="s">
        <v>99</v>
      </c>
      <c r="B57" s="8" t="s">
        <v>36</v>
      </c>
      <c r="C57" s="41" t="s">
        <v>37</v>
      </c>
      <c r="D57" s="1" t="s">
        <v>38</v>
      </c>
      <c r="E57" s="26" t="s">
        <v>39</v>
      </c>
      <c r="F57" s="27">
        <v>0.94339622641509424</v>
      </c>
      <c r="G57" s="33">
        <v>0.5</v>
      </c>
      <c r="H57" s="26" t="s">
        <v>40</v>
      </c>
      <c r="I57" s="26" t="s">
        <v>41</v>
      </c>
      <c r="J57" s="26" t="s">
        <v>42</v>
      </c>
      <c r="K57" s="27">
        <v>2.3255813953488373</v>
      </c>
      <c r="L57" s="27">
        <v>0.5</v>
      </c>
      <c r="M57" s="70"/>
      <c r="N57" s="26"/>
      <c r="O57" s="26"/>
      <c r="P57" s="27"/>
      <c r="Q57" s="36"/>
      <c r="R57" s="26" t="s">
        <v>43</v>
      </c>
      <c r="S57" s="26" t="s">
        <v>38</v>
      </c>
      <c r="T57" s="26" t="s">
        <v>39</v>
      </c>
      <c r="U57" s="27">
        <v>0.84745762711864414</v>
      </c>
      <c r="V57" s="33">
        <v>1</v>
      </c>
      <c r="AG57" s="31">
        <v>0</v>
      </c>
      <c r="AH57" s="1" t="s">
        <v>44</v>
      </c>
    </row>
    <row r="58" spans="1:35">
      <c r="A58" s="16" t="s">
        <v>100</v>
      </c>
      <c r="B58" s="8" t="s">
        <v>36</v>
      </c>
      <c r="C58" s="58" t="s">
        <v>37</v>
      </c>
      <c r="D58" s="59" t="s">
        <v>38</v>
      </c>
      <c r="E58" s="60" t="s">
        <v>39</v>
      </c>
      <c r="F58" s="61">
        <v>0.94339622641509424</v>
      </c>
      <c r="G58" s="62">
        <v>0.5</v>
      </c>
      <c r="H58" s="60" t="s">
        <v>40</v>
      </c>
      <c r="I58" s="60" t="s">
        <v>41</v>
      </c>
      <c r="J58" s="60" t="s">
        <v>42</v>
      </c>
      <c r="K58" s="61">
        <v>2.3255813953488373</v>
      </c>
      <c r="L58" s="61">
        <v>0.5</v>
      </c>
      <c r="M58" s="71"/>
      <c r="N58" s="60"/>
      <c r="O58" s="60"/>
      <c r="P58" s="61"/>
      <c r="Q58" s="66"/>
      <c r="R58" s="60" t="s">
        <v>43</v>
      </c>
      <c r="S58" s="60" t="s">
        <v>38</v>
      </c>
      <c r="T58" s="60" t="s">
        <v>39</v>
      </c>
      <c r="U58" s="61">
        <v>0.84745762711864414</v>
      </c>
      <c r="V58" s="62">
        <v>1</v>
      </c>
      <c r="W58" s="63"/>
      <c r="X58" s="63"/>
      <c r="Y58" s="63"/>
      <c r="Z58" s="93"/>
      <c r="AA58" s="63"/>
      <c r="AB58" s="75"/>
      <c r="AC58" s="63"/>
      <c r="AD58" s="63"/>
      <c r="AE58" s="63"/>
      <c r="AF58" s="64"/>
      <c r="AG58" s="93">
        <v>0</v>
      </c>
      <c r="AH58" s="59" t="s">
        <v>44</v>
      </c>
      <c r="AI58" s="65"/>
    </row>
    <row r="59" spans="1:35" s="6" customFormat="1">
      <c r="A59" s="15" t="s">
        <v>101</v>
      </c>
      <c r="B59" s="44" t="s">
        <v>102</v>
      </c>
      <c r="C59" s="41" t="s">
        <v>37</v>
      </c>
      <c r="D59" s="1" t="s">
        <v>38</v>
      </c>
      <c r="E59" s="26" t="s">
        <v>39</v>
      </c>
      <c r="F59" s="27">
        <v>0.94339622641509424</v>
      </c>
      <c r="G59" s="33">
        <v>0.5</v>
      </c>
      <c r="H59" s="26" t="s">
        <v>40</v>
      </c>
      <c r="I59" s="26" t="s">
        <v>41</v>
      </c>
      <c r="J59" s="26" t="s">
        <v>42</v>
      </c>
      <c r="K59" s="27">
        <v>2.3255813953488373</v>
      </c>
      <c r="L59" s="27">
        <v>0.5</v>
      </c>
      <c r="M59" s="70"/>
      <c r="N59" s="26"/>
      <c r="O59" s="26"/>
      <c r="P59" s="27"/>
      <c r="Q59" s="36"/>
      <c r="R59" s="26" t="s">
        <v>43</v>
      </c>
      <c r="S59" s="26" t="s">
        <v>38</v>
      </c>
      <c r="T59" s="26" t="s">
        <v>39</v>
      </c>
      <c r="U59" s="27">
        <v>0.84745762711864414</v>
      </c>
      <c r="V59" s="33">
        <v>1</v>
      </c>
      <c r="W59" s="30"/>
      <c r="X59" s="30"/>
      <c r="Y59" s="30"/>
      <c r="Z59" s="31"/>
      <c r="AA59" s="30"/>
      <c r="AB59" s="73"/>
      <c r="AC59" s="30"/>
      <c r="AD59" s="30"/>
      <c r="AE59" s="30"/>
      <c r="AF59" s="38"/>
      <c r="AG59" s="31">
        <v>0</v>
      </c>
      <c r="AH59" s="1" t="s">
        <v>44</v>
      </c>
      <c r="AI59"/>
    </row>
    <row r="60" spans="1:35">
      <c r="A60" s="15" t="s">
        <v>103</v>
      </c>
      <c r="B60" s="53" t="s">
        <v>102</v>
      </c>
      <c r="C60" s="41" t="s">
        <v>37</v>
      </c>
      <c r="D60" s="1" t="s">
        <v>38</v>
      </c>
      <c r="E60" s="26" t="s">
        <v>39</v>
      </c>
      <c r="F60" s="27">
        <v>0.94339622641509424</v>
      </c>
      <c r="G60" s="33">
        <v>0.5</v>
      </c>
      <c r="H60" s="26" t="s">
        <v>40</v>
      </c>
      <c r="I60" s="26" t="s">
        <v>41</v>
      </c>
      <c r="J60" s="26" t="s">
        <v>42</v>
      </c>
      <c r="K60" s="27">
        <v>2.3255813953488373</v>
      </c>
      <c r="L60" s="27">
        <v>0.5</v>
      </c>
      <c r="M60" s="70"/>
      <c r="N60" s="26"/>
      <c r="O60" s="26"/>
      <c r="P60" s="27"/>
      <c r="Q60" s="36"/>
      <c r="R60" s="26" t="s">
        <v>43</v>
      </c>
      <c r="S60" s="26" t="s">
        <v>38</v>
      </c>
      <c r="T60" s="26" t="s">
        <v>39</v>
      </c>
      <c r="U60" s="27">
        <v>0.84745762711864414</v>
      </c>
      <c r="V60" s="33">
        <v>1</v>
      </c>
      <c r="AG60" s="31">
        <v>0</v>
      </c>
      <c r="AH60" s="1" t="s">
        <v>44</v>
      </c>
    </row>
    <row r="61" spans="1:35">
      <c r="A61" s="15" t="s">
        <v>104</v>
      </c>
      <c r="B61" s="8" t="s">
        <v>102</v>
      </c>
      <c r="C61" s="41" t="s">
        <v>37</v>
      </c>
      <c r="D61" s="1" t="s">
        <v>38</v>
      </c>
      <c r="E61" s="26" t="s">
        <v>39</v>
      </c>
      <c r="F61" s="27">
        <v>0.94339622641509424</v>
      </c>
      <c r="G61" s="33">
        <v>0.5</v>
      </c>
      <c r="H61" s="26" t="s">
        <v>40</v>
      </c>
      <c r="I61" s="26" t="s">
        <v>41</v>
      </c>
      <c r="J61" s="26" t="s">
        <v>42</v>
      </c>
      <c r="K61" s="27">
        <v>2.3255813953488373</v>
      </c>
      <c r="L61" s="27">
        <v>0.5</v>
      </c>
      <c r="M61" s="70"/>
      <c r="N61" s="26"/>
      <c r="O61" s="26"/>
      <c r="P61" s="27"/>
      <c r="Q61" s="36"/>
      <c r="R61" s="26" t="s">
        <v>43</v>
      </c>
      <c r="S61" s="26" t="s">
        <v>38</v>
      </c>
      <c r="T61" s="26" t="s">
        <v>39</v>
      </c>
      <c r="U61" s="27">
        <v>0.84745762711864414</v>
      </c>
      <c r="V61" s="33">
        <v>1</v>
      </c>
      <c r="AG61" s="31">
        <v>0</v>
      </c>
      <c r="AH61" s="1" t="s">
        <v>44</v>
      </c>
    </row>
    <row r="62" spans="1:35">
      <c r="A62" s="15" t="s">
        <v>105</v>
      </c>
      <c r="B62" s="8" t="s">
        <v>102</v>
      </c>
      <c r="C62" s="41" t="s">
        <v>37</v>
      </c>
      <c r="D62" s="1" t="s">
        <v>38</v>
      </c>
      <c r="E62" s="26" t="s">
        <v>39</v>
      </c>
      <c r="F62" s="27">
        <v>0.94339622641509424</v>
      </c>
      <c r="G62" s="33">
        <v>0.5</v>
      </c>
      <c r="H62" s="26" t="s">
        <v>40</v>
      </c>
      <c r="I62" s="26" t="s">
        <v>41</v>
      </c>
      <c r="J62" s="26" t="s">
        <v>42</v>
      </c>
      <c r="K62" s="27">
        <v>2.3255813953488373</v>
      </c>
      <c r="L62" s="27">
        <v>0.5</v>
      </c>
      <c r="M62" s="70"/>
      <c r="N62" s="26"/>
      <c r="O62" s="26"/>
      <c r="P62" s="27"/>
      <c r="Q62" s="36"/>
      <c r="R62" s="26" t="s">
        <v>43</v>
      </c>
      <c r="S62" s="26" t="s">
        <v>38</v>
      </c>
      <c r="T62" s="26" t="s">
        <v>39</v>
      </c>
      <c r="U62" s="27">
        <v>0.84745762711864414</v>
      </c>
      <c r="V62" s="33">
        <v>1</v>
      </c>
      <c r="AG62" s="31">
        <v>0</v>
      </c>
      <c r="AH62" s="1" t="s">
        <v>44</v>
      </c>
    </row>
    <row r="63" spans="1:35">
      <c r="A63" s="15" t="s">
        <v>106</v>
      </c>
      <c r="B63" s="8" t="s">
        <v>102</v>
      </c>
      <c r="C63" s="41" t="s">
        <v>37</v>
      </c>
      <c r="D63" s="1" t="s">
        <v>38</v>
      </c>
      <c r="E63" s="26" t="s">
        <v>39</v>
      </c>
      <c r="F63" s="27">
        <v>0.94339622641509424</v>
      </c>
      <c r="G63" s="33">
        <v>0.5</v>
      </c>
      <c r="H63" s="26" t="s">
        <v>40</v>
      </c>
      <c r="I63" s="26" t="s">
        <v>41</v>
      </c>
      <c r="J63" s="26" t="s">
        <v>42</v>
      </c>
      <c r="K63" s="27">
        <v>2.3255813953488373</v>
      </c>
      <c r="L63" s="27">
        <v>0.5</v>
      </c>
      <c r="M63" s="70"/>
      <c r="N63" s="26"/>
      <c r="O63" s="26"/>
      <c r="P63" s="27"/>
      <c r="Q63" s="36"/>
      <c r="R63" s="26" t="s">
        <v>43</v>
      </c>
      <c r="S63" s="26" t="s">
        <v>38</v>
      </c>
      <c r="T63" s="26" t="s">
        <v>39</v>
      </c>
      <c r="U63" s="27">
        <v>0.84745762711864414</v>
      </c>
      <c r="V63" s="33">
        <v>1</v>
      </c>
      <c r="AG63" s="31">
        <v>0</v>
      </c>
      <c r="AH63" s="1" t="s">
        <v>44</v>
      </c>
    </row>
    <row r="64" spans="1:35">
      <c r="A64" s="15" t="s">
        <v>107</v>
      </c>
      <c r="B64" s="8" t="s">
        <v>102</v>
      </c>
      <c r="C64" s="41" t="s">
        <v>37</v>
      </c>
      <c r="D64" s="1" t="s">
        <v>38</v>
      </c>
      <c r="E64" s="26" t="s">
        <v>39</v>
      </c>
      <c r="F64" s="27">
        <v>0.94339622641509424</v>
      </c>
      <c r="G64" s="33">
        <v>0.5</v>
      </c>
      <c r="H64" s="26" t="s">
        <v>40</v>
      </c>
      <c r="I64" s="26" t="s">
        <v>41</v>
      </c>
      <c r="J64" s="26" t="s">
        <v>42</v>
      </c>
      <c r="K64" s="27">
        <v>2.3255813953488373</v>
      </c>
      <c r="L64" s="27">
        <v>0.5</v>
      </c>
      <c r="M64" s="70"/>
      <c r="N64" s="26"/>
      <c r="O64" s="26"/>
      <c r="P64" s="27"/>
      <c r="Q64" s="36"/>
      <c r="R64" s="26" t="s">
        <v>43</v>
      </c>
      <c r="S64" s="26" t="s">
        <v>38</v>
      </c>
      <c r="T64" s="26" t="s">
        <v>39</v>
      </c>
      <c r="U64" s="27">
        <v>0.84745762711864414</v>
      </c>
      <c r="V64" s="33">
        <v>1</v>
      </c>
      <c r="AG64" s="31">
        <v>0</v>
      </c>
      <c r="AH64" s="1" t="s">
        <v>44</v>
      </c>
    </row>
    <row r="65" spans="1:34">
      <c r="A65" s="15" t="s">
        <v>108</v>
      </c>
      <c r="B65" s="8" t="s">
        <v>102</v>
      </c>
      <c r="C65" s="41" t="s">
        <v>37</v>
      </c>
      <c r="D65" s="1" t="s">
        <v>38</v>
      </c>
      <c r="E65" s="26" t="s">
        <v>39</v>
      </c>
      <c r="F65" s="27">
        <v>0.94339622641509424</v>
      </c>
      <c r="G65" s="33">
        <v>0.5</v>
      </c>
      <c r="H65" s="26" t="s">
        <v>40</v>
      </c>
      <c r="I65" s="26" t="s">
        <v>41</v>
      </c>
      <c r="J65" s="26" t="s">
        <v>42</v>
      </c>
      <c r="K65" s="27">
        <v>2.3255813953488373</v>
      </c>
      <c r="L65" s="27">
        <v>0.5</v>
      </c>
      <c r="M65" s="70"/>
      <c r="N65" s="26"/>
      <c r="O65" s="26"/>
      <c r="P65" s="27"/>
      <c r="Q65" s="36"/>
      <c r="R65" s="26" t="s">
        <v>43</v>
      </c>
      <c r="S65" s="26" t="s">
        <v>38</v>
      </c>
      <c r="T65" s="26" t="s">
        <v>39</v>
      </c>
      <c r="U65" s="27">
        <v>0.84745762711864414</v>
      </c>
      <c r="V65" s="33">
        <v>1</v>
      </c>
      <c r="AG65" s="31">
        <v>0</v>
      </c>
      <c r="AH65" s="1" t="s">
        <v>44</v>
      </c>
    </row>
    <row r="66" spans="1:34">
      <c r="A66" s="15" t="s">
        <v>109</v>
      </c>
      <c r="B66" s="8" t="s">
        <v>102</v>
      </c>
      <c r="C66" s="41" t="s">
        <v>37</v>
      </c>
      <c r="D66" s="1" t="s">
        <v>38</v>
      </c>
      <c r="E66" s="26" t="s">
        <v>39</v>
      </c>
      <c r="F66" s="27">
        <v>0.94339622641509424</v>
      </c>
      <c r="G66" s="33">
        <v>0.5</v>
      </c>
      <c r="H66" s="26" t="s">
        <v>40</v>
      </c>
      <c r="I66" s="26" t="s">
        <v>41</v>
      </c>
      <c r="J66" s="26" t="s">
        <v>42</v>
      </c>
      <c r="K66" s="27">
        <v>2.3255813953488373</v>
      </c>
      <c r="L66" s="27">
        <v>0.5</v>
      </c>
      <c r="M66" s="70"/>
      <c r="N66" s="26"/>
      <c r="O66" s="26"/>
      <c r="P66" s="27"/>
      <c r="Q66" s="36"/>
      <c r="R66" s="26" t="s">
        <v>43</v>
      </c>
      <c r="S66" s="26" t="s">
        <v>38</v>
      </c>
      <c r="T66" s="26" t="s">
        <v>39</v>
      </c>
      <c r="U66" s="27">
        <v>0.84745762711864414</v>
      </c>
      <c r="V66" s="33">
        <v>1</v>
      </c>
      <c r="AG66" s="31">
        <v>0</v>
      </c>
      <c r="AH66" s="1" t="s">
        <v>44</v>
      </c>
    </row>
    <row r="67" spans="1:34">
      <c r="A67" s="15" t="s">
        <v>110</v>
      </c>
      <c r="B67" s="8" t="s">
        <v>102</v>
      </c>
      <c r="C67" s="41" t="s">
        <v>37</v>
      </c>
      <c r="D67" s="1" t="s">
        <v>38</v>
      </c>
      <c r="E67" s="26" t="s">
        <v>39</v>
      </c>
      <c r="F67" s="27">
        <v>0.94339622641509424</v>
      </c>
      <c r="G67" s="33">
        <v>0.5</v>
      </c>
      <c r="H67" s="26" t="s">
        <v>40</v>
      </c>
      <c r="I67" s="26" t="s">
        <v>41</v>
      </c>
      <c r="J67" s="26" t="s">
        <v>42</v>
      </c>
      <c r="K67" s="27">
        <v>2.3255813953488373</v>
      </c>
      <c r="L67" s="27">
        <v>0.5</v>
      </c>
      <c r="M67" s="70"/>
      <c r="N67" s="26"/>
      <c r="O67" s="26"/>
      <c r="P67" s="27"/>
      <c r="Q67" s="36"/>
      <c r="R67" s="26" t="s">
        <v>43</v>
      </c>
      <c r="S67" s="26" t="s">
        <v>38</v>
      </c>
      <c r="T67" s="26" t="s">
        <v>39</v>
      </c>
      <c r="U67" s="27">
        <v>0.84745762711864414</v>
      </c>
      <c r="V67" s="33">
        <v>1</v>
      </c>
      <c r="AG67" s="31">
        <v>0</v>
      </c>
      <c r="AH67" s="1" t="s">
        <v>44</v>
      </c>
    </row>
    <row r="68" spans="1:34">
      <c r="A68" s="15" t="s">
        <v>111</v>
      </c>
      <c r="B68" s="8" t="s">
        <v>102</v>
      </c>
      <c r="C68" s="41" t="s">
        <v>37</v>
      </c>
      <c r="D68" s="1" t="s">
        <v>38</v>
      </c>
      <c r="E68" s="26" t="s">
        <v>39</v>
      </c>
      <c r="F68" s="27">
        <v>0.94339622641509424</v>
      </c>
      <c r="G68" s="33">
        <v>0.5</v>
      </c>
      <c r="H68" s="26" t="s">
        <v>40</v>
      </c>
      <c r="I68" s="26" t="s">
        <v>41</v>
      </c>
      <c r="J68" s="26" t="s">
        <v>42</v>
      </c>
      <c r="K68" s="27">
        <v>2.3255813953488373</v>
      </c>
      <c r="L68" s="27">
        <v>0.5</v>
      </c>
      <c r="M68" s="70"/>
      <c r="N68" s="26"/>
      <c r="O68" s="26"/>
      <c r="P68" s="27"/>
      <c r="Q68" s="36"/>
      <c r="R68" s="26" t="s">
        <v>43</v>
      </c>
      <c r="S68" s="26" t="s">
        <v>38</v>
      </c>
      <c r="T68" s="26" t="s">
        <v>39</v>
      </c>
      <c r="U68" s="27">
        <v>0.84745762711864414</v>
      </c>
      <c r="V68" s="33">
        <v>1</v>
      </c>
      <c r="AG68" s="31">
        <v>0</v>
      </c>
      <c r="AH68" s="1" t="s">
        <v>44</v>
      </c>
    </row>
    <row r="69" spans="1:34">
      <c r="A69" s="15" t="s">
        <v>112</v>
      </c>
      <c r="B69" s="8" t="s">
        <v>102</v>
      </c>
      <c r="C69" s="41" t="s">
        <v>37</v>
      </c>
      <c r="D69" s="1" t="s">
        <v>38</v>
      </c>
      <c r="E69" s="26" t="s">
        <v>39</v>
      </c>
      <c r="F69" s="27">
        <v>0.94339622641509424</v>
      </c>
      <c r="G69" s="33">
        <v>0.5</v>
      </c>
      <c r="H69" s="26" t="s">
        <v>40</v>
      </c>
      <c r="I69" s="26" t="s">
        <v>41</v>
      </c>
      <c r="J69" s="26" t="s">
        <v>42</v>
      </c>
      <c r="K69" s="27">
        <v>2.3255813953488373</v>
      </c>
      <c r="L69" s="27">
        <v>0.5</v>
      </c>
      <c r="M69" s="70"/>
      <c r="N69" s="26"/>
      <c r="O69" s="26"/>
      <c r="P69" s="27"/>
      <c r="Q69" s="36"/>
      <c r="R69" s="26" t="s">
        <v>43</v>
      </c>
      <c r="S69" s="26" t="s">
        <v>38</v>
      </c>
      <c r="T69" s="26" t="s">
        <v>39</v>
      </c>
      <c r="U69" s="27">
        <v>0.84745762711864414</v>
      </c>
      <c r="V69" s="33">
        <v>1</v>
      </c>
      <c r="AG69" s="31">
        <v>0</v>
      </c>
      <c r="AH69" s="1" t="s">
        <v>44</v>
      </c>
    </row>
    <row r="70" spans="1:34">
      <c r="A70" s="15" t="s">
        <v>113</v>
      </c>
      <c r="B70" s="8" t="s">
        <v>102</v>
      </c>
      <c r="C70" s="41" t="s">
        <v>37</v>
      </c>
      <c r="D70" s="1" t="s">
        <v>38</v>
      </c>
      <c r="E70" s="26" t="s">
        <v>39</v>
      </c>
      <c r="F70" s="27">
        <v>0.94339622641509424</v>
      </c>
      <c r="G70" s="33">
        <v>0.5</v>
      </c>
      <c r="H70" s="26" t="s">
        <v>40</v>
      </c>
      <c r="I70" s="26" t="s">
        <v>41</v>
      </c>
      <c r="J70" s="26" t="s">
        <v>42</v>
      </c>
      <c r="K70" s="27">
        <v>2.3255813953488373</v>
      </c>
      <c r="L70" s="27">
        <v>0.5</v>
      </c>
      <c r="M70" s="70"/>
      <c r="N70" s="26"/>
      <c r="O70" s="26"/>
      <c r="P70" s="27"/>
      <c r="Q70" s="36"/>
      <c r="R70" s="26" t="s">
        <v>43</v>
      </c>
      <c r="S70" s="26" t="s">
        <v>38</v>
      </c>
      <c r="T70" s="26" t="s">
        <v>39</v>
      </c>
      <c r="U70" s="27">
        <v>0.84745762711864414</v>
      </c>
      <c r="V70" s="33">
        <v>1</v>
      </c>
      <c r="AG70" s="31">
        <v>0</v>
      </c>
      <c r="AH70" s="1" t="s">
        <v>44</v>
      </c>
    </row>
    <row r="71" spans="1:34">
      <c r="A71" s="15" t="s">
        <v>114</v>
      </c>
      <c r="B71" s="8" t="s">
        <v>102</v>
      </c>
      <c r="C71" s="41" t="s">
        <v>37</v>
      </c>
      <c r="D71" s="1" t="s">
        <v>38</v>
      </c>
      <c r="E71" s="26" t="s">
        <v>39</v>
      </c>
      <c r="F71" s="27">
        <v>0.94339622641509424</v>
      </c>
      <c r="G71" s="33">
        <v>0.5</v>
      </c>
      <c r="H71" s="26" t="s">
        <v>40</v>
      </c>
      <c r="I71" s="26" t="s">
        <v>41</v>
      </c>
      <c r="J71" s="26" t="s">
        <v>42</v>
      </c>
      <c r="K71" s="27">
        <v>2.3255813953488373</v>
      </c>
      <c r="L71" s="27">
        <v>0.5</v>
      </c>
      <c r="M71" s="70"/>
      <c r="N71" s="26"/>
      <c r="O71" s="26"/>
      <c r="P71" s="27"/>
      <c r="Q71" s="36"/>
      <c r="R71" s="26" t="s">
        <v>43</v>
      </c>
      <c r="S71" s="26" t="s">
        <v>38</v>
      </c>
      <c r="T71" s="26" t="s">
        <v>39</v>
      </c>
      <c r="U71" s="27">
        <v>0.84745762711864414</v>
      </c>
      <c r="V71" s="33">
        <v>1</v>
      </c>
      <c r="AG71" s="31">
        <v>0</v>
      </c>
      <c r="AH71" s="1" t="s">
        <v>44</v>
      </c>
    </row>
    <row r="72" spans="1:34">
      <c r="A72" s="15" t="s">
        <v>115</v>
      </c>
      <c r="B72" s="8" t="s">
        <v>102</v>
      </c>
      <c r="C72" s="41" t="s">
        <v>37</v>
      </c>
      <c r="D72" s="1" t="s">
        <v>38</v>
      </c>
      <c r="E72" s="26" t="s">
        <v>39</v>
      </c>
      <c r="F72" s="27">
        <v>0.94339622641509424</v>
      </c>
      <c r="G72" s="33">
        <v>0.5</v>
      </c>
      <c r="H72" s="26" t="s">
        <v>40</v>
      </c>
      <c r="I72" s="26" t="s">
        <v>41</v>
      </c>
      <c r="J72" s="26" t="s">
        <v>42</v>
      </c>
      <c r="K72" s="27">
        <v>2.3255813953488373</v>
      </c>
      <c r="L72" s="27">
        <v>0.5</v>
      </c>
      <c r="M72" s="70"/>
      <c r="N72" s="26"/>
      <c r="O72" s="26"/>
      <c r="P72" s="27"/>
      <c r="Q72" s="36"/>
      <c r="R72" s="26" t="s">
        <v>43</v>
      </c>
      <c r="S72" s="26" t="s">
        <v>38</v>
      </c>
      <c r="T72" s="26" t="s">
        <v>39</v>
      </c>
      <c r="U72" s="27">
        <v>0.84745762711864414</v>
      </c>
      <c r="V72" s="33">
        <v>1</v>
      </c>
      <c r="AG72" s="31">
        <v>0</v>
      </c>
      <c r="AH72" s="1" t="s">
        <v>44</v>
      </c>
    </row>
    <row r="73" spans="1:34">
      <c r="A73" s="15" t="s">
        <v>116</v>
      </c>
      <c r="B73" s="8" t="s">
        <v>102</v>
      </c>
      <c r="C73" s="41" t="s">
        <v>37</v>
      </c>
      <c r="D73" s="1" t="s">
        <v>38</v>
      </c>
      <c r="E73" s="26" t="s">
        <v>39</v>
      </c>
      <c r="F73" s="27">
        <v>0.94339622641509424</v>
      </c>
      <c r="G73" s="33">
        <v>0.5</v>
      </c>
      <c r="H73" s="26" t="s">
        <v>40</v>
      </c>
      <c r="I73" s="26" t="s">
        <v>41</v>
      </c>
      <c r="J73" s="26" t="s">
        <v>42</v>
      </c>
      <c r="K73" s="27">
        <v>2.3255813953488373</v>
      </c>
      <c r="L73" s="27">
        <v>0.5</v>
      </c>
      <c r="M73" s="70"/>
      <c r="N73" s="26"/>
      <c r="O73" s="26"/>
      <c r="P73" s="27"/>
      <c r="Q73" s="36"/>
      <c r="R73" s="26" t="s">
        <v>43</v>
      </c>
      <c r="S73" s="26" t="s">
        <v>38</v>
      </c>
      <c r="T73" s="26" t="s">
        <v>39</v>
      </c>
      <c r="U73" s="27">
        <v>0.84745762711864414</v>
      </c>
      <c r="V73" s="33">
        <v>1</v>
      </c>
      <c r="AG73" s="31">
        <v>0</v>
      </c>
      <c r="AH73" s="1" t="s">
        <v>44</v>
      </c>
    </row>
    <row r="74" spans="1:34">
      <c r="A74" s="15" t="s">
        <v>117</v>
      </c>
      <c r="B74" s="8" t="s">
        <v>102</v>
      </c>
      <c r="C74" s="41" t="s">
        <v>37</v>
      </c>
      <c r="D74" s="1" t="s">
        <v>38</v>
      </c>
      <c r="E74" s="26" t="s">
        <v>39</v>
      </c>
      <c r="F74" s="27">
        <v>0.94339622641509424</v>
      </c>
      <c r="G74" s="33">
        <v>0.5</v>
      </c>
      <c r="H74" s="26" t="s">
        <v>40</v>
      </c>
      <c r="I74" s="26" t="s">
        <v>41</v>
      </c>
      <c r="J74" s="26" t="s">
        <v>42</v>
      </c>
      <c r="K74" s="27">
        <v>2.3255813953488373</v>
      </c>
      <c r="L74" s="27">
        <v>0.5</v>
      </c>
      <c r="M74" s="70"/>
      <c r="N74" s="26"/>
      <c r="O74" s="26"/>
      <c r="P74" s="27"/>
      <c r="Q74" s="36"/>
      <c r="R74" s="26" t="s">
        <v>43</v>
      </c>
      <c r="S74" s="26" t="s">
        <v>38</v>
      </c>
      <c r="T74" s="26" t="s">
        <v>39</v>
      </c>
      <c r="U74" s="27">
        <v>0.84745762711864414</v>
      </c>
      <c r="V74" s="33">
        <v>1</v>
      </c>
      <c r="AG74" s="31">
        <v>0</v>
      </c>
      <c r="AH74" s="1" t="s">
        <v>44</v>
      </c>
    </row>
    <row r="75" spans="1:34">
      <c r="A75" s="15" t="s">
        <v>118</v>
      </c>
      <c r="B75" s="8" t="s">
        <v>102</v>
      </c>
      <c r="C75" s="41" t="s">
        <v>37</v>
      </c>
      <c r="D75" s="1" t="s">
        <v>38</v>
      </c>
      <c r="E75" s="26" t="s">
        <v>39</v>
      </c>
      <c r="F75" s="27">
        <v>0.94339622641509424</v>
      </c>
      <c r="G75" s="33">
        <v>0.5</v>
      </c>
      <c r="H75" s="26" t="s">
        <v>40</v>
      </c>
      <c r="I75" s="26" t="s">
        <v>41</v>
      </c>
      <c r="J75" s="26" t="s">
        <v>42</v>
      </c>
      <c r="K75" s="27">
        <v>2.3255813953488373</v>
      </c>
      <c r="L75" s="27">
        <v>0.5</v>
      </c>
      <c r="M75" s="70"/>
      <c r="N75" s="26"/>
      <c r="O75" s="26"/>
      <c r="P75" s="27"/>
      <c r="Q75" s="36"/>
      <c r="R75" s="26" t="s">
        <v>43</v>
      </c>
      <c r="S75" s="26" t="s">
        <v>38</v>
      </c>
      <c r="T75" s="26" t="s">
        <v>39</v>
      </c>
      <c r="U75" s="27">
        <v>0.84745762711864414</v>
      </c>
      <c r="V75" s="33">
        <v>1</v>
      </c>
      <c r="AG75" s="31">
        <v>0</v>
      </c>
      <c r="AH75" s="1" t="s">
        <v>44</v>
      </c>
    </row>
    <row r="76" spans="1:34">
      <c r="A76" s="15" t="s">
        <v>119</v>
      </c>
      <c r="B76" s="8" t="s">
        <v>102</v>
      </c>
      <c r="C76" s="41" t="s">
        <v>37</v>
      </c>
      <c r="D76" s="1" t="s">
        <v>38</v>
      </c>
      <c r="E76" s="26" t="s">
        <v>39</v>
      </c>
      <c r="F76" s="27">
        <v>0.94339622641509424</v>
      </c>
      <c r="G76" s="33">
        <v>0.5</v>
      </c>
      <c r="H76" s="26" t="s">
        <v>40</v>
      </c>
      <c r="I76" s="26" t="s">
        <v>41</v>
      </c>
      <c r="J76" s="26" t="s">
        <v>42</v>
      </c>
      <c r="K76" s="27">
        <v>2.3255813953488373</v>
      </c>
      <c r="L76" s="27">
        <v>0.5</v>
      </c>
      <c r="M76" s="70"/>
      <c r="N76" s="26"/>
      <c r="O76" s="26"/>
      <c r="P76" s="27"/>
      <c r="Q76" s="36"/>
      <c r="R76" s="26" t="s">
        <v>43</v>
      </c>
      <c r="S76" s="26" t="s">
        <v>38</v>
      </c>
      <c r="T76" s="26" t="s">
        <v>39</v>
      </c>
      <c r="U76" s="27">
        <v>0.84745762711864414</v>
      </c>
      <c r="V76" s="33">
        <v>1</v>
      </c>
      <c r="AG76" s="31">
        <v>0</v>
      </c>
      <c r="AH76" s="1" t="s">
        <v>44</v>
      </c>
    </row>
    <row r="77" spans="1:34">
      <c r="A77" s="15" t="s">
        <v>120</v>
      </c>
      <c r="B77" s="8" t="s">
        <v>102</v>
      </c>
      <c r="C77" s="41" t="s">
        <v>37</v>
      </c>
      <c r="D77" s="1" t="s">
        <v>38</v>
      </c>
      <c r="E77" s="26" t="s">
        <v>39</v>
      </c>
      <c r="F77" s="27">
        <v>0.94339622641509424</v>
      </c>
      <c r="G77" s="33">
        <v>0.5</v>
      </c>
      <c r="H77" s="26" t="s">
        <v>40</v>
      </c>
      <c r="I77" s="26" t="s">
        <v>41</v>
      </c>
      <c r="J77" s="26" t="s">
        <v>42</v>
      </c>
      <c r="K77" s="27">
        <v>2.3255813953488373</v>
      </c>
      <c r="L77" s="27">
        <v>0.5</v>
      </c>
      <c r="M77" s="70"/>
      <c r="N77" s="26"/>
      <c r="O77" s="26"/>
      <c r="P77" s="27"/>
      <c r="Q77" s="36"/>
      <c r="R77" s="26" t="s">
        <v>43</v>
      </c>
      <c r="S77" s="26" t="s">
        <v>38</v>
      </c>
      <c r="T77" s="26" t="s">
        <v>39</v>
      </c>
      <c r="U77" s="27">
        <v>0.84745762711864414</v>
      </c>
      <c r="V77" s="33">
        <v>1</v>
      </c>
      <c r="AG77" s="31">
        <v>0</v>
      </c>
      <c r="AH77" s="1" t="s">
        <v>44</v>
      </c>
    </row>
    <row r="78" spans="1:34">
      <c r="A78" s="15" t="s">
        <v>121</v>
      </c>
      <c r="B78" s="8" t="s">
        <v>102</v>
      </c>
      <c r="C78" s="41" t="s">
        <v>37</v>
      </c>
      <c r="D78" s="1" t="s">
        <v>38</v>
      </c>
      <c r="E78" s="26" t="s">
        <v>39</v>
      </c>
      <c r="F78" s="27">
        <v>0.94339622641509424</v>
      </c>
      <c r="G78" s="33">
        <v>0.5</v>
      </c>
      <c r="H78" s="26" t="s">
        <v>40</v>
      </c>
      <c r="I78" s="26" t="s">
        <v>41</v>
      </c>
      <c r="J78" s="26" t="s">
        <v>42</v>
      </c>
      <c r="K78" s="27">
        <v>2.3255813953488373</v>
      </c>
      <c r="L78" s="27">
        <v>0.5</v>
      </c>
      <c r="M78" s="70"/>
      <c r="N78" s="26"/>
      <c r="O78" s="26"/>
      <c r="P78" s="27"/>
      <c r="Q78" s="36"/>
      <c r="R78" s="26" t="s">
        <v>43</v>
      </c>
      <c r="S78" s="26" t="s">
        <v>38</v>
      </c>
      <c r="T78" s="26" t="s">
        <v>39</v>
      </c>
      <c r="U78" s="27">
        <v>0.84745762711864414</v>
      </c>
      <c r="V78" s="33">
        <v>1</v>
      </c>
      <c r="AG78" s="31">
        <v>0</v>
      </c>
      <c r="AH78" s="1" t="s">
        <v>44</v>
      </c>
    </row>
    <row r="79" spans="1:34">
      <c r="A79" s="15" t="s">
        <v>122</v>
      </c>
      <c r="B79" s="8" t="s">
        <v>102</v>
      </c>
      <c r="C79" s="41" t="s">
        <v>37</v>
      </c>
      <c r="D79" s="1" t="s">
        <v>38</v>
      </c>
      <c r="E79" s="26" t="s">
        <v>39</v>
      </c>
      <c r="F79" s="27">
        <v>0.94339622641509424</v>
      </c>
      <c r="G79" s="33">
        <v>0.5</v>
      </c>
      <c r="H79" s="26" t="s">
        <v>40</v>
      </c>
      <c r="I79" s="26" t="s">
        <v>41</v>
      </c>
      <c r="J79" s="26" t="s">
        <v>42</v>
      </c>
      <c r="K79" s="27">
        <v>2.3255813953488373</v>
      </c>
      <c r="L79" s="27">
        <v>0.5</v>
      </c>
      <c r="M79" s="70"/>
      <c r="N79" s="26"/>
      <c r="O79" s="26"/>
      <c r="P79" s="27"/>
      <c r="Q79" s="36"/>
      <c r="R79" s="26" t="s">
        <v>43</v>
      </c>
      <c r="S79" s="26" t="s">
        <v>38</v>
      </c>
      <c r="T79" s="26" t="s">
        <v>39</v>
      </c>
      <c r="U79" s="27">
        <v>0.84745762711864414</v>
      </c>
      <c r="V79" s="33">
        <v>1</v>
      </c>
      <c r="AG79" s="31">
        <v>0</v>
      </c>
      <c r="AH79" s="1" t="s">
        <v>44</v>
      </c>
    </row>
    <row r="80" spans="1:34">
      <c r="A80" s="15" t="s">
        <v>123</v>
      </c>
      <c r="B80" s="8" t="s">
        <v>102</v>
      </c>
      <c r="C80" s="41" t="s">
        <v>37</v>
      </c>
      <c r="D80" s="1" t="s">
        <v>38</v>
      </c>
      <c r="E80" s="26" t="s">
        <v>39</v>
      </c>
      <c r="F80" s="27">
        <v>0.94339622641509424</v>
      </c>
      <c r="G80" s="33">
        <v>0.5</v>
      </c>
      <c r="H80" s="26" t="s">
        <v>40</v>
      </c>
      <c r="I80" s="26" t="s">
        <v>41</v>
      </c>
      <c r="J80" s="26" t="s">
        <v>42</v>
      </c>
      <c r="K80" s="27">
        <v>2.3255813953488373</v>
      </c>
      <c r="L80" s="27">
        <v>0.5</v>
      </c>
      <c r="M80" s="70"/>
      <c r="N80" s="26"/>
      <c r="O80" s="26"/>
      <c r="P80" s="27"/>
      <c r="Q80" s="36"/>
      <c r="R80" s="26" t="s">
        <v>43</v>
      </c>
      <c r="S80" s="26" t="s">
        <v>38</v>
      </c>
      <c r="T80" s="26" t="s">
        <v>39</v>
      </c>
      <c r="U80" s="27">
        <v>0.84745762711864414</v>
      </c>
      <c r="V80" s="33">
        <v>1</v>
      </c>
      <c r="AG80" s="31">
        <v>0</v>
      </c>
      <c r="AH80" s="1" t="s">
        <v>44</v>
      </c>
    </row>
    <row r="81" spans="1:34">
      <c r="A81" s="15" t="s">
        <v>124</v>
      </c>
      <c r="B81" s="8" t="s">
        <v>102</v>
      </c>
      <c r="C81" s="41" t="s">
        <v>37</v>
      </c>
      <c r="D81" s="1" t="s">
        <v>38</v>
      </c>
      <c r="E81" s="26" t="s">
        <v>39</v>
      </c>
      <c r="F81" s="27">
        <v>0.94339622641509424</v>
      </c>
      <c r="G81" s="33">
        <v>0.5</v>
      </c>
      <c r="H81" s="26" t="s">
        <v>40</v>
      </c>
      <c r="I81" s="26" t="s">
        <v>41</v>
      </c>
      <c r="J81" s="26" t="s">
        <v>42</v>
      </c>
      <c r="K81" s="27">
        <v>2.3255813953488373</v>
      </c>
      <c r="L81" s="27">
        <v>0.5</v>
      </c>
      <c r="M81" s="70"/>
      <c r="N81" s="26"/>
      <c r="O81" s="26"/>
      <c r="P81" s="27"/>
      <c r="Q81" s="36"/>
      <c r="R81" s="26" t="s">
        <v>43</v>
      </c>
      <c r="S81" s="26" t="s">
        <v>38</v>
      </c>
      <c r="T81" s="26" t="s">
        <v>39</v>
      </c>
      <c r="U81" s="27">
        <v>0.84745762711864414</v>
      </c>
      <c r="V81" s="33">
        <v>1</v>
      </c>
      <c r="AG81" s="31">
        <v>0</v>
      </c>
      <c r="AH81" s="1" t="s">
        <v>44</v>
      </c>
    </row>
    <row r="82" spans="1:34">
      <c r="A82" s="15" t="s">
        <v>125</v>
      </c>
      <c r="B82" s="8" t="s">
        <v>102</v>
      </c>
      <c r="C82" s="41" t="s">
        <v>37</v>
      </c>
      <c r="D82" s="1" t="s">
        <v>38</v>
      </c>
      <c r="E82" s="26" t="s">
        <v>39</v>
      </c>
      <c r="F82" s="27">
        <v>0.94339622641509424</v>
      </c>
      <c r="G82" s="33">
        <v>0.5</v>
      </c>
      <c r="H82" s="26" t="s">
        <v>40</v>
      </c>
      <c r="I82" s="26" t="s">
        <v>41</v>
      </c>
      <c r="J82" s="26" t="s">
        <v>42</v>
      </c>
      <c r="K82" s="27">
        <v>2.3255813953488373</v>
      </c>
      <c r="L82" s="27">
        <v>0.5</v>
      </c>
      <c r="M82" s="70"/>
      <c r="N82" s="26"/>
      <c r="O82" s="26"/>
      <c r="P82" s="27"/>
      <c r="Q82" s="36"/>
      <c r="R82" s="26" t="s">
        <v>43</v>
      </c>
      <c r="S82" s="26" t="s">
        <v>38</v>
      </c>
      <c r="T82" s="26" t="s">
        <v>39</v>
      </c>
      <c r="U82" s="27">
        <v>0.84745762711864414</v>
      </c>
      <c r="V82" s="33">
        <v>1</v>
      </c>
      <c r="AG82" s="31">
        <v>0</v>
      </c>
      <c r="AH82" s="1" t="s">
        <v>44</v>
      </c>
    </row>
    <row r="83" spans="1:34">
      <c r="A83" s="15" t="s">
        <v>126</v>
      </c>
      <c r="B83" s="8" t="s">
        <v>102</v>
      </c>
      <c r="C83" s="41" t="s">
        <v>37</v>
      </c>
      <c r="D83" s="1" t="s">
        <v>38</v>
      </c>
      <c r="E83" s="26" t="s">
        <v>39</v>
      </c>
      <c r="F83" s="27">
        <v>0.94339622641509424</v>
      </c>
      <c r="G83" s="33">
        <v>0.5</v>
      </c>
      <c r="H83" s="26" t="s">
        <v>40</v>
      </c>
      <c r="I83" s="26" t="s">
        <v>41</v>
      </c>
      <c r="J83" s="26" t="s">
        <v>42</v>
      </c>
      <c r="K83" s="27">
        <v>2.3255813953488373</v>
      </c>
      <c r="L83" s="27">
        <v>0.5</v>
      </c>
      <c r="M83" s="70"/>
      <c r="N83" s="26"/>
      <c r="O83" s="26"/>
      <c r="P83" s="27"/>
      <c r="Q83" s="36"/>
      <c r="R83" s="26" t="s">
        <v>43</v>
      </c>
      <c r="S83" s="26" t="s">
        <v>38</v>
      </c>
      <c r="T83" s="26" t="s">
        <v>39</v>
      </c>
      <c r="U83" s="27">
        <v>0.84745762711864414</v>
      </c>
      <c r="V83" s="33">
        <v>1</v>
      </c>
      <c r="AG83" s="31">
        <v>0</v>
      </c>
      <c r="AH83" s="1" t="s">
        <v>44</v>
      </c>
    </row>
    <row r="84" spans="1:34">
      <c r="A84" s="15" t="s">
        <v>127</v>
      </c>
      <c r="B84" s="8" t="s">
        <v>102</v>
      </c>
      <c r="C84" s="41" t="s">
        <v>37</v>
      </c>
      <c r="D84" s="1" t="s">
        <v>38</v>
      </c>
      <c r="E84" s="26" t="s">
        <v>39</v>
      </c>
      <c r="F84" s="27">
        <v>0.94339622641509424</v>
      </c>
      <c r="G84" s="33">
        <v>0.5</v>
      </c>
      <c r="H84" s="26" t="s">
        <v>40</v>
      </c>
      <c r="I84" s="26" t="s">
        <v>41</v>
      </c>
      <c r="J84" s="26" t="s">
        <v>42</v>
      </c>
      <c r="K84" s="27">
        <v>2.3255813953488373</v>
      </c>
      <c r="L84" s="27">
        <v>0.5</v>
      </c>
      <c r="M84" s="70"/>
      <c r="N84" s="26"/>
      <c r="O84" s="26"/>
      <c r="P84" s="27"/>
      <c r="Q84" s="36"/>
      <c r="R84" s="26" t="s">
        <v>43</v>
      </c>
      <c r="S84" s="26" t="s">
        <v>38</v>
      </c>
      <c r="T84" s="26" t="s">
        <v>39</v>
      </c>
      <c r="U84" s="27">
        <v>0.84745762711864414</v>
      </c>
      <c r="V84" s="33">
        <v>1</v>
      </c>
      <c r="AG84" s="31">
        <v>0</v>
      </c>
      <c r="AH84" s="1" t="s">
        <v>44</v>
      </c>
    </row>
    <row r="85" spans="1:34">
      <c r="A85" s="15" t="s">
        <v>128</v>
      </c>
      <c r="B85" s="8" t="s">
        <v>102</v>
      </c>
      <c r="C85" s="41" t="s">
        <v>37</v>
      </c>
      <c r="D85" s="1" t="s">
        <v>38</v>
      </c>
      <c r="E85" s="26" t="s">
        <v>39</v>
      </c>
      <c r="F85" s="27">
        <v>0.94339622641509424</v>
      </c>
      <c r="G85" s="33">
        <v>0.5</v>
      </c>
      <c r="H85" s="26" t="s">
        <v>40</v>
      </c>
      <c r="I85" s="26" t="s">
        <v>41</v>
      </c>
      <c r="J85" s="26" t="s">
        <v>42</v>
      </c>
      <c r="K85" s="27">
        <v>2.3255813953488373</v>
      </c>
      <c r="L85" s="27">
        <v>0.5</v>
      </c>
      <c r="M85" s="70"/>
      <c r="N85" s="26"/>
      <c r="O85" s="26"/>
      <c r="P85" s="27"/>
      <c r="Q85" s="36"/>
      <c r="R85" s="26" t="s">
        <v>43</v>
      </c>
      <c r="S85" s="26" t="s">
        <v>38</v>
      </c>
      <c r="T85" s="26" t="s">
        <v>39</v>
      </c>
      <c r="U85" s="27">
        <v>0.84745762711864414</v>
      </c>
      <c r="V85" s="33">
        <v>1</v>
      </c>
      <c r="AG85" s="31">
        <v>0</v>
      </c>
      <c r="AH85" s="1" t="s">
        <v>44</v>
      </c>
    </row>
    <row r="86" spans="1:34">
      <c r="A86" s="15" t="s">
        <v>129</v>
      </c>
      <c r="B86" s="8" t="s">
        <v>102</v>
      </c>
      <c r="C86" s="41" t="s">
        <v>37</v>
      </c>
      <c r="D86" s="1" t="s">
        <v>38</v>
      </c>
      <c r="E86" s="26" t="s">
        <v>39</v>
      </c>
      <c r="F86" s="27">
        <v>0.94339622641509424</v>
      </c>
      <c r="G86" s="33">
        <v>0.5</v>
      </c>
      <c r="H86" s="26" t="s">
        <v>40</v>
      </c>
      <c r="I86" s="26" t="s">
        <v>41</v>
      </c>
      <c r="J86" s="26" t="s">
        <v>42</v>
      </c>
      <c r="K86" s="27">
        <v>2.3255813953488373</v>
      </c>
      <c r="L86" s="27">
        <v>0.5</v>
      </c>
      <c r="M86" s="70"/>
      <c r="N86" s="26"/>
      <c r="O86" s="26"/>
      <c r="P86" s="27"/>
      <c r="Q86" s="36"/>
      <c r="R86" s="26" t="s">
        <v>43</v>
      </c>
      <c r="S86" s="26" t="s">
        <v>38</v>
      </c>
      <c r="T86" s="26" t="s">
        <v>39</v>
      </c>
      <c r="U86" s="27">
        <v>0.84745762711864414</v>
      </c>
      <c r="V86" s="33">
        <v>1</v>
      </c>
      <c r="AG86" s="31">
        <v>0</v>
      </c>
      <c r="AH86" s="1" t="s">
        <v>44</v>
      </c>
    </row>
    <row r="87" spans="1:34">
      <c r="A87" s="15" t="s">
        <v>130</v>
      </c>
      <c r="B87" s="8" t="s">
        <v>102</v>
      </c>
      <c r="C87" s="41" t="s">
        <v>37</v>
      </c>
      <c r="D87" s="1" t="s">
        <v>38</v>
      </c>
      <c r="E87" s="26" t="s">
        <v>39</v>
      </c>
      <c r="F87" s="27">
        <v>0.94339622641509424</v>
      </c>
      <c r="G87" s="33">
        <v>0.5</v>
      </c>
      <c r="H87" s="26" t="s">
        <v>40</v>
      </c>
      <c r="I87" s="26" t="s">
        <v>41</v>
      </c>
      <c r="J87" s="26" t="s">
        <v>42</v>
      </c>
      <c r="K87" s="27">
        <v>2.3255813953488373</v>
      </c>
      <c r="L87" s="27">
        <v>0.5</v>
      </c>
      <c r="M87" s="70"/>
      <c r="N87" s="26"/>
      <c r="O87" s="26"/>
      <c r="P87" s="27"/>
      <c r="Q87" s="36"/>
      <c r="R87" s="26" t="s">
        <v>43</v>
      </c>
      <c r="S87" s="26" t="s">
        <v>38</v>
      </c>
      <c r="T87" s="26" t="s">
        <v>39</v>
      </c>
      <c r="U87" s="27">
        <v>0.84745762711864414</v>
      </c>
      <c r="V87" s="33">
        <v>1</v>
      </c>
      <c r="AG87" s="31">
        <v>1</v>
      </c>
      <c r="AH87" s="1" t="s">
        <v>73</v>
      </c>
    </row>
    <row r="88" spans="1:34">
      <c r="A88" s="15" t="s">
        <v>131</v>
      </c>
      <c r="B88" s="8" t="s">
        <v>102</v>
      </c>
      <c r="C88" s="41" t="s">
        <v>37</v>
      </c>
      <c r="D88" s="1" t="s">
        <v>38</v>
      </c>
      <c r="E88" s="26" t="s">
        <v>39</v>
      </c>
      <c r="F88" s="27">
        <v>0.94339622641509424</v>
      </c>
      <c r="G88" s="33">
        <v>0.5</v>
      </c>
      <c r="H88" s="26" t="s">
        <v>40</v>
      </c>
      <c r="I88" s="26" t="s">
        <v>41</v>
      </c>
      <c r="J88" s="26" t="s">
        <v>42</v>
      </c>
      <c r="K88" s="27">
        <v>2.3255813953488373</v>
      </c>
      <c r="L88" s="27">
        <v>0.5</v>
      </c>
      <c r="M88" s="70"/>
      <c r="N88" s="26"/>
      <c r="O88" s="26"/>
      <c r="P88" s="27"/>
      <c r="Q88" s="36"/>
      <c r="R88" s="26" t="s">
        <v>43</v>
      </c>
      <c r="S88" s="26" t="s">
        <v>38</v>
      </c>
      <c r="T88" s="26" t="s">
        <v>39</v>
      </c>
      <c r="U88" s="27">
        <v>0.84745762711864414</v>
      </c>
      <c r="V88" s="33">
        <v>1</v>
      </c>
      <c r="AG88" s="31">
        <v>1</v>
      </c>
      <c r="AH88" s="1" t="s">
        <v>73</v>
      </c>
    </row>
    <row r="89" spans="1:34">
      <c r="A89" s="15" t="s">
        <v>132</v>
      </c>
      <c r="B89" s="8" t="s">
        <v>102</v>
      </c>
      <c r="C89" s="41" t="s">
        <v>37</v>
      </c>
      <c r="D89" s="1" t="s">
        <v>38</v>
      </c>
      <c r="E89" s="26" t="s">
        <v>39</v>
      </c>
      <c r="F89" s="27">
        <v>0.94339622641509424</v>
      </c>
      <c r="G89" s="33">
        <v>0.5</v>
      </c>
      <c r="H89" s="26" t="s">
        <v>40</v>
      </c>
      <c r="I89" s="26" t="s">
        <v>41</v>
      </c>
      <c r="J89" s="26" t="s">
        <v>42</v>
      </c>
      <c r="K89" s="27">
        <v>2.3255813953488373</v>
      </c>
      <c r="L89" s="27">
        <v>0.5</v>
      </c>
      <c r="M89" s="70"/>
      <c r="N89" s="26"/>
      <c r="O89" s="26"/>
      <c r="P89" s="27"/>
      <c r="Q89" s="36"/>
      <c r="R89" s="26" t="s">
        <v>43</v>
      </c>
      <c r="S89" s="26" t="s">
        <v>38</v>
      </c>
      <c r="T89" s="26" t="s">
        <v>39</v>
      </c>
      <c r="U89" s="27">
        <v>0.84745762711864414</v>
      </c>
      <c r="V89" s="33">
        <v>1</v>
      </c>
      <c r="AG89" s="31">
        <v>1</v>
      </c>
      <c r="AH89" s="1" t="s">
        <v>73</v>
      </c>
    </row>
    <row r="90" spans="1:34">
      <c r="A90" s="15" t="s">
        <v>133</v>
      </c>
      <c r="B90" s="8" t="s">
        <v>102</v>
      </c>
      <c r="C90" s="41" t="s">
        <v>37</v>
      </c>
      <c r="D90" s="1" t="s">
        <v>38</v>
      </c>
      <c r="E90" s="26" t="s">
        <v>39</v>
      </c>
      <c r="F90" s="27">
        <v>0.94339622641509424</v>
      </c>
      <c r="G90" s="33">
        <v>0.5</v>
      </c>
      <c r="H90" s="26" t="s">
        <v>40</v>
      </c>
      <c r="I90" s="26" t="s">
        <v>41</v>
      </c>
      <c r="J90" s="26" t="s">
        <v>42</v>
      </c>
      <c r="K90" s="27">
        <v>2.3255813953488373</v>
      </c>
      <c r="L90" s="27">
        <v>0.5</v>
      </c>
      <c r="M90" s="70"/>
      <c r="N90" s="26"/>
      <c r="O90" s="26"/>
      <c r="P90" s="27"/>
      <c r="Q90" s="36"/>
      <c r="R90" s="26" t="s">
        <v>43</v>
      </c>
      <c r="S90" s="26" t="s">
        <v>38</v>
      </c>
      <c r="T90" s="26" t="s">
        <v>39</v>
      </c>
      <c r="U90" s="27">
        <v>0.84745762711864414</v>
      </c>
      <c r="V90" s="33">
        <v>1</v>
      </c>
      <c r="AG90" s="31">
        <v>1</v>
      </c>
      <c r="AH90" s="1" t="s">
        <v>73</v>
      </c>
    </row>
    <row r="91" spans="1:34">
      <c r="A91" s="15" t="s">
        <v>134</v>
      </c>
      <c r="B91" s="8" t="s">
        <v>102</v>
      </c>
      <c r="C91" s="41" t="s">
        <v>37</v>
      </c>
      <c r="D91" s="1" t="s">
        <v>38</v>
      </c>
      <c r="E91" s="26" t="s">
        <v>39</v>
      </c>
      <c r="F91" s="27">
        <v>0.94339622641509424</v>
      </c>
      <c r="G91" s="33">
        <v>0.5</v>
      </c>
      <c r="H91" s="26" t="s">
        <v>40</v>
      </c>
      <c r="I91" s="26" t="s">
        <v>41</v>
      </c>
      <c r="J91" s="26" t="s">
        <v>42</v>
      </c>
      <c r="K91" s="27">
        <v>2.3255813953488373</v>
      </c>
      <c r="L91" s="27">
        <v>0.5</v>
      </c>
      <c r="M91" s="70"/>
      <c r="N91" s="26"/>
      <c r="O91" s="26"/>
      <c r="P91" s="27"/>
      <c r="Q91" s="36"/>
      <c r="R91" s="26" t="s">
        <v>43</v>
      </c>
      <c r="S91" s="26" t="s">
        <v>38</v>
      </c>
      <c r="T91" s="26" t="s">
        <v>39</v>
      </c>
      <c r="U91" s="27">
        <v>0.84745762711864414</v>
      </c>
      <c r="V91" s="33">
        <v>1</v>
      </c>
      <c r="AG91" s="31">
        <v>1</v>
      </c>
      <c r="AH91" s="1" t="s">
        <v>73</v>
      </c>
    </row>
    <row r="92" spans="1:34">
      <c r="A92" s="15" t="s">
        <v>135</v>
      </c>
      <c r="B92" s="8" t="s">
        <v>102</v>
      </c>
      <c r="C92" s="41" t="s">
        <v>37</v>
      </c>
      <c r="D92" s="1" t="s">
        <v>38</v>
      </c>
      <c r="E92" s="26" t="s">
        <v>39</v>
      </c>
      <c r="F92" s="27">
        <v>0.94339622641509424</v>
      </c>
      <c r="G92" s="33">
        <v>0.5</v>
      </c>
      <c r="H92" s="26" t="s">
        <v>40</v>
      </c>
      <c r="I92" s="26" t="s">
        <v>41</v>
      </c>
      <c r="J92" s="26" t="s">
        <v>42</v>
      </c>
      <c r="K92" s="27">
        <v>2.3255813953488373</v>
      </c>
      <c r="L92" s="27">
        <v>0.5</v>
      </c>
      <c r="M92" s="70"/>
      <c r="N92" s="26"/>
      <c r="O92" s="26"/>
      <c r="P92" s="27"/>
      <c r="Q92" s="36"/>
      <c r="R92" s="26" t="s">
        <v>43</v>
      </c>
      <c r="S92" s="26" t="s">
        <v>38</v>
      </c>
      <c r="T92" s="26" t="s">
        <v>39</v>
      </c>
      <c r="U92" s="27">
        <v>0.84745762711864414</v>
      </c>
      <c r="V92" s="33">
        <v>1</v>
      </c>
      <c r="AG92" s="31">
        <v>1</v>
      </c>
      <c r="AH92" s="1" t="s">
        <v>73</v>
      </c>
    </row>
    <row r="93" spans="1:34">
      <c r="A93" s="15" t="s">
        <v>136</v>
      </c>
      <c r="B93" s="8" t="s">
        <v>102</v>
      </c>
      <c r="C93" s="41" t="s">
        <v>37</v>
      </c>
      <c r="D93" s="1" t="s">
        <v>38</v>
      </c>
      <c r="E93" s="26" t="s">
        <v>39</v>
      </c>
      <c r="F93" s="27">
        <v>0.94339622641509424</v>
      </c>
      <c r="G93" s="33">
        <v>0.5</v>
      </c>
      <c r="H93" s="26" t="s">
        <v>40</v>
      </c>
      <c r="I93" s="26" t="s">
        <v>41</v>
      </c>
      <c r="J93" s="26" t="s">
        <v>42</v>
      </c>
      <c r="K93" s="27">
        <v>2.3255813953488373</v>
      </c>
      <c r="L93" s="27">
        <v>0.5</v>
      </c>
      <c r="M93" s="70"/>
      <c r="N93" s="26"/>
      <c r="O93" s="26"/>
      <c r="P93" s="27"/>
      <c r="Q93" s="36"/>
      <c r="R93" s="26" t="s">
        <v>43</v>
      </c>
      <c r="S93" s="26" t="s">
        <v>38</v>
      </c>
      <c r="T93" s="26" t="s">
        <v>39</v>
      </c>
      <c r="U93" s="27">
        <v>0.84745762711864414</v>
      </c>
      <c r="V93" s="33">
        <v>1</v>
      </c>
      <c r="AG93" s="31">
        <v>1</v>
      </c>
      <c r="AH93" s="1" t="s">
        <v>73</v>
      </c>
    </row>
    <row r="94" spans="1:34">
      <c r="A94" s="15" t="s">
        <v>137</v>
      </c>
      <c r="B94" s="8" t="s">
        <v>102</v>
      </c>
      <c r="C94" s="41" t="s">
        <v>37</v>
      </c>
      <c r="D94" s="1" t="s">
        <v>38</v>
      </c>
      <c r="E94" s="26" t="s">
        <v>39</v>
      </c>
      <c r="F94" s="27">
        <v>0.94339622641509424</v>
      </c>
      <c r="G94" s="33">
        <v>0.5</v>
      </c>
      <c r="H94" s="26" t="s">
        <v>40</v>
      </c>
      <c r="I94" s="26" t="s">
        <v>41</v>
      </c>
      <c r="J94" s="26" t="s">
        <v>42</v>
      </c>
      <c r="K94" s="27">
        <v>2.3255813953488373</v>
      </c>
      <c r="L94" s="27">
        <v>0.5</v>
      </c>
      <c r="M94" s="70"/>
      <c r="N94" s="26"/>
      <c r="O94" s="26"/>
      <c r="P94" s="27"/>
      <c r="Q94" s="36"/>
      <c r="R94" s="26" t="s">
        <v>43</v>
      </c>
      <c r="S94" s="26" t="s">
        <v>38</v>
      </c>
      <c r="T94" s="26" t="s">
        <v>39</v>
      </c>
      <c r="U94" s="27">
        <v>0.84745762711864414</v>
      </c>
      <c r="V94" s="33">
        <v>1</v>
      </c>
      <c r="AG94" s="31">
        <v>0</v>
      </c>
      <c r="AH94" s="1" t="s">
        <v>44</v>
      </c>
    </row>
    <row r="95" spans="1:34">
      <c r="A95" s="15" t="s">
        <v>138</v>
      </c>
      <c r="B95" s="8" t="s">
        <v>102</v>
      </c>
      <c r="C95" s="41" t="s">
        <v>37</v>
      </c>
      <c r="D95" s="1" t="s">
        <v>38</v>
      </c>
      <c r="E95" s="26" t="s">
        <v>39</v>
      </c>
      <c r="F95" s="27">
        <v>0.94339622641509424</v>
      </c>
      <c r="G95" s="33">
        <v>0.5</v>
      </c>
      <c r="H95" s="26" t="s">
        <v>40</v>
      </c>
      <c r="I95" s="26" t="s">
        <v>41</v>
      </c>
      <c r="J95" s="26" t="s">
        <v>42</v>
      </c>
      <c r="K95" s="27">
        <v>2.3255813953488373</v>
      </c>
      <c r="L95" s="27">
        <v>0.5</v>
      </c>
      <c r="M95" s="70"/>
      <c r="N95" s="26"/>
      <c r="O95" s="26"/>
      <c r="P95" s="27"/>
      <c r="Q95" s="36"/>
      <c r="R95" s="26" t="s">
        <v>43</v>
      </c>
      <c r="S95" s="26" t="s">
        <v>38</v>
      </c>
      <c r="T95" s="26" t="s">
        <v>39</v>
      </c>
      <c r="U95" s="27">
        <v>0.84745762711864414</v>
      </c>
      <c r="V95" s="33">
        <v>1</v>
      </c>
      <c r="AG95" s="31">
        <v>0</v>
      </c>
      <c r="AH95" s="1" t="s">
        <v>44</v>
      </c>
    </row>
    <row r="96" spans="1:34">
      <c r="A96" s="15" t="s">
        <v>139</v>
      </c>
      <c r="B96" s="8" t="s">
        <v>102</v>
      </c>
      <c r="C96" s="41" t="s">
        <v>37</v>
      </c>
      <c r="D96" s="1" t="s">
        <v>38</v>
      </c>
      <c r="E96" s="26" t="s">
        <v>39</v>
      </c>
      <c r="F96" s="27">
        <v>0.94339622641509424</v>
      </c>
      <c r="G96" s="33">
        <v>0.5</v>
      </c>
      <c r="H96" s="26" t="s">
        <v>40</v>
      </c>
      <c r="I96" s="26" t="s">
        <v>41</v>
      </c>
      <c r="J96" s="26" t="s">
        <v>42</v>
      </c>
      <c r="K96" s="27">
        <v>2.3255813953488373</v>
      </c>
      <c r="L96" s="27">
        <v>0.5</v>
      </c>
      <c r="M96" s="70"/>
      <c r="N96" s="26"/>
      <c r="O96" s="26"/>
      <c r="P96" s="27"/>
      <c r="Q96" s="36"/>
      <c r="R96" s="26" t="s">
        <v>43</v>
      </c>
      <c r="S96" s="26" t="s">
        <v>38</v>
      </c>
      <c r="T96" s="26" t="s">
        <v>39</v>
      </c>
      <c r="U96" s="27">
        <v>0.84745762711864414</v>
      </c>
      <c r="V96" s="33">
        <v>1</v>
      </c>
      <c r="AG96" s="31">
        <v>0</v>
      </c>
      <c r="AH96" s="1" t="s">
        <v>44</v>
      </c>
    </row>
    <row r="97" spans="1:34">
      <c r="A97" s="15" t="s">
        <v>140</v>
      </c>
      <c r="B97" s="8" t="s">
        <v>102</v>
      </c>
      <c r="C97" s="41" t="s">
        <v>37</v>
      </c>
      <c r="D97" s="1" t="s">
        <v>38</v>
      </c>
      <c r="E97" s="26" t="s">
        <v>39</v>
      </c>
      <c r="F97" s="27">
        <v>0.94339622641509424</v>
      </c>
      <c r="G97" s="33">
        <v>0.5</v>
      </c>
      <c r="H97" s="26" t="s">
        <v>40</v>
      </c>
      <c r="I97" s="26" t="s">
        <v>41</v>
      </c>
      <c r="J97" s="26" t="s">
        <v>42</v>
      </c>
      <c r="K97" s="27">
        <v>2.3255813953488373</v>
      </c>
      <c r="L97" s="27">
        <v>0.5</v>
      </c>
      <c r="M97" s="70"/>
      <c r="N97" s="26"/>
      <c r="O97" s="26"/>
      <c r="P97" s="27"/>
      <c r="Q97" s="36"/>
      <c r="R97" s="26" t="s">
        <v>43</v>
      </c>
      <c r="S97" s="26" t="s">
        <v>38</v>
      </c>
      <c r="T97" s="26" t="s">
        <v>39</v>
      </c>
      <c r="U97" s="27">
        <v>0.84745762711864414</v>
      </c>
      <c r="V97" s="33">
        <v>1</v>
      </c>
      <c r="AG97" s="31">
        <v>0</v>
      </c>
      <c r="AH97" s="1" t="s">
        <v>44</v>
      </c>
    </row>
    <row r="98" spans="1:34">
      <c r="A98" s="15" t="s">
        <v>141</v>
      </c>
      <c r="B98" s="8" t="s">
        <v>102</v>
      </c>
      <c r="C98" s="41" t="s">
        <v>37</v>
      </c>
      <c r="D98" s="1" t="s">
        <v>38</v>
      </c>
      <c r="E98" s="26" t="s">
        <v>39</v>
      </c>
      <c r="F98" s="27">
        <v>0.94339622641509424</v>
      </c>
      <c r="G98" s="33">
        <v>0.5</v>
      </c>
      <c r="H98" s="26" t="s">
        <v>40</v>
      </c>
      <c r="I98" s="26" t="s">
        <v>41</v>
      </c>
      <c r="J98" s="26" t="s">
        <v>42</v>
      </c>
      <c r="K98" s="27">
        <v>2.3255813953488373</v>
      </c>
      <c r="L98" s="27">
        <v>0.5</v>
      </c>
      <c r="M98" s="70"/>
      <c r="N98" s="26"/>
      <c r="O98" s="26"/>
      <c r="P98" s="27"/>
      <c r="Q98" s="36"/>
      <c r="R98" s="26" t="s">
        <v>43</v>
      </c>
      <c r="S98" s="26" t="s">
        <v>38</v>
      </c>
      <c r="T98" s="26" t="s">
        <v>39</v>
      </c>
      <c r="U98" s="27">
        <v>0.84745762711864414</v>
      </c>
      <c r="V98" s="33">
        <v>1</v>
      </c>
      <c r="AG98" s="31">
        <v>0</v>
      </c>
      <c r="AH98" s="1" t="s">
        <v>44</v>
      </c>
    </row>
    <row r="99" spans="1:34">
      <c r="A99" s="15" t="s">
        <v>142</v>
      </c>
      <c r="B99" s="8" t="s">
        <v>102</v>
      </c>
      <c r="C99" s="41" t="s">
        <v>37</v>
      </c>
      <c r="D99" s="1" t="s">
        <v>38</v>
      </c>
      <c r="E99" s="26" t="s">
        <v>39</v>
      </c>
      <c r="F99" s="27">
        <v>0.94339622641509424</v>
      </c>
      <c r="G99" s="33">
        <v>0.5</v>
      </c>
      <c r="H99" s="26" t="s">
        <v>40</v>
      </c>
      <c r="I99" s="26" t="s">
        <v>41</v>
      </c>
      <c r="J99" s="26" t="s">
        <v>42</v>
      </c>
      <c r="K99" s="27">
        <v>2.3255813953488373</v>
      </c>
      <c r="L99" s="27">
        <v>0.5</v>
      </c>
      <c r="M99" s="70"/>
      <c r="N99" s="26"/>
      <c r="O99" s="26"/>
      <c r="P99" s="27"/>
      <c r="Q99" s="36"/>
      <c r="R99" s="26" t="s">
        <v>43</v>
      </c>
      <c r="S99" s="26" t="s">
        <v>38</v>
      </c>
      <c r="T99" s="26" t="s">
        <v>39</v>
      </c>
      <c r="U99" s="27">
        <v>0.84745762711864414</v>
      </c>
      <c r="V99" s="33">
        <v>1</v>
      </c>
      <c r="AG99" s="31">
        <v>0</v>
      </c>
      <c r="AH99" s="1" t="s">
        <v>44</v>
      </c>
    </row>
    <row r="100" spans="1:34">
      <c r="A100" s="15" t="s">
        <v>143</v>
      </c>
      <c r="B100" s="8" t="s">
        <v>102</v>
      </c>
      <c r="C100" s="41" t="s">
        <v>37</v>
      </c>
      <c r="D100" s="1" t="s">
        <v>38</v>
      </c>
      <c r="E100" s="26" t="s">
        <v>39</v>
      </c>
      <c r="F100" s="27">
        <v>0.94339622641509424</v>
      </c>
      <c r="G100" s="33">
        <v>0.5</v>
      </c>
      <c r="H100" s="26" t="s">
        <v>40</v>
      </c>
      <c r="I100" s="26" t="s">
        <v>41</v>
      </c>
      <c r="J100" s="26" t="s">
        <v>42</v>
      </c>
      <c r="K100" s="27">
        <v>2.3255813953488373</v>
      </c>
      <c r="L100" s="27">
        <v>0.5</v>
      </c>
      <c r="M100" s="70"/>
      <c r="N100" s="26"/>
      <c r="O100" s="26"/>
      <c r="P100" s="27"/>
      <c r="Q100" s="36"/>
      <c r="R100" s="26" t="s">
        <v>43</v>
      </c>
      <c r="S100" s="26" t="s">
        <v>38</v>
      </c>
      <c r="T100" s="26" t="s">
        <v>39</v>
      </c>
      <c r="U100" s="27">
        <v>0.84745762711864414</v>
      </c>
      <c r="V100" s="33">
        <v>1</v>
      </c>
      <c r="AG100" s="31">
        <v>0</v>
      </c>
      <c r="AH100" s="1" t="s">
        <v>44</v>
      </c>
    </row>
    <row r="101" spans="1:34">
      <c r="A101" s="15" t="s">
        <v>144</v>
      </c>
      <c r="B101" s="8" t="s">
        <v>102</v>
      </c>
      <c r="C101" s="41" t="s">
        <v>37</v>
      </c>
      <c r="D101" s="1" t="s">
        <v>38</v>
      </c>
      <c r="E101" s="26" t="s">
        <v>39</v>
      </c>
      <c r="F101" s="27">
        <v>0.94339622641509424</v>
      </c>
      <c r="G101" s="33">
        <v>0.5</v>
      </c>
      <c r="H101" s="26" t="s">
        <v>40</v>
      </c>
      <c r="I101" s="26" t="s">
        <v>41</v>
      </c>
      <c r="J101" s="26" t="s">
        <v>42</v>
      </c>
      <c r="K101" s="27">
        <v>2.3255813953488373</v>
      </c>
      <c r="L101" s="27">
        <v>0.5</v>
      </c>
      <c r="M101" s="70"/>
      <c r="N101" s="26"/>
      <c r="O101" s="26"/>
      <c r="P101" s="27"/>
      <c r="Q101" s="36"/>
      <c r="R101" s="26" t="s">
        <v>43</v>
      </c>
      <c r="S101" s="26" t="s">
        <v>38</v>
      </c>
      <c r="T101" s="26" t="s">
        <v>39</v>
      </c>
      <c r="U101" s="27">
        <v>0.84745762711864414</v>
      </c>
      <c r="V101" s="33">
        <v>1</v>
      </c>
      <c r="AG101" s="31">
        <v>0</v>
      </c>
      <c r="AH101" s="1" t="s">
        <v>44</v>
      </c>
    </row>
    <row r="102" spans="1:34">
      <c r="A102" s="15" t="s">
        <v>145</v>
      </c>
      <c r="B102" s="8" t="s">
        <v>102</v>
      </c>
      <c r="C102" s="41" t="s">
        <v>37</v>
      </c>
      <c r="D102" s="1" t="s">
        <v>38</v>
      </c>
      <c r="E102" s="26" t="s">
        <v>39</v>
      </c>
      <c r="F102" s="27">
        <v>0.94339622641509424</v>
      </c>
      <c r="G102" s="33">
        <v>0.5</v>
      </c>
      <c r="H102" s="26" t="s">
        <v>40</v>
      </c>
      <c r="I102" s="26" t="s">
        <v>41</v>
      </c>
      <c r="J102" s="26" t="s">
        <v>42</v>
      </c>
      <c r="K102" s="27">
        <v>2.3255813953488373</v>
      </c>
      <c r="L102" s="27">
        <v>0.5</v>
      </c>
      <c r="M102" s="70"/>
      <c r="N102" s="26"/>
      <c r="O102" s="26"/>
      <c r="P102" s="27"/>
      <c r="Q102" s="36"/>
      <c r="R102" s="26" t="s">
        <v>43</v>
      </c>
      <c r="S102" s="26" t="s">
        <v>38</v>
      </c>
      <c r="T102" s="26" t="s">
        <v>39</v>
      </c>
      <c r="U102" s="27">
        <v>0.84745762711864414</v>
      </c>
      <c r="V102" s="33">
        <v>1</v>
      </c>
      <c r="AG102" s="31">
        <v>0</v>
      </c>
      <c r="AH102" s="1" t="s">
        <v>44</v>
      </c>
    </row>
    <row r="103" spans="1:34">
      <c r="A103" s="15" t="s">
        <v>146</v>
      </c>
      <c r="B103" s="8" t="s">
        <v>102</v>
      </c>
      <c r="C103" s="41" t="s">
        <v>37</v>
      </c>
      <c r="D103" s="1" t="s">
        <v>38</v>
      </c>
      <c r="E103" s="26" t="s">
        <v>39</v>
      </c>
      <c r="F103" s="27">
        <v>0.94339622641509424</v>
      </c>
      <c r="G103" s="33">
        <v>0.5</v>
      </c>
      <c r="H103" s="26" t="s">
        <v>40</v>
      </c>
      <c r="I103" s="26" t="s">
        <v>41</v>
      </c>
      <c r="J103" s="26" t="s">
        <v>42</v>
      </c>
      <c r="K103" s="27">
        <v>2.3255813953488373</v>
      </c>
      <c r="L103" s="27">
        <v>0.5</v>
      </c>
      <c r="M103" s="70"/>
      <c r="N103" s="26"/>
      <c r="O103" s="26"/>
      <c r="P103" s="27"/>
      <c r="Q103" s="36"/>
      <c r="R103" s="26" t="s">
        <v>43</v>
      </c>
      <c r="S103" s="26" t="s">
        <v>38</v>
      </c>
      <c r="T103" s="26" t="s">
        <v>39</v>
      </c>
      <c r="U103" s="27">
        <v>0.84745762711864414</v>
      </c>
      <c r="V103" s="33">
        <v>1</v>
      </c>
      <c r="AG103" s="31">
        <v>0</v>
      </c>
      <c r="AH103" s="1" t="s">
        <v>44</v>
      </c>
    </row>
    <row r="104" spans="1:34">
      <c r="A104" s="15" t="s">
        <v>147</v>
      </c>
      <c r="B104" s="8" t="s">
        <v>102</v>
      </c>
      <c r="C104" s="41" t="s">
        <v>37</v>
      </c>
      <c r="D104" s="1" t="s">
        <v>38</v>
      </c>
      <c r="E104" s="26" t="s">
        <v>39</v>
      </c>
      <c r="F104" s="27">
        <v>0.94339622641509424</v>
      </c>
      <c r="G104" s="33">
        <v>0.5</v>
      </c>
      <c r="H104" s="26" t="s">
        <v>40</v>
      </c>
      <c r="I104" s="26" t="s">
        <v>41</v>
      </c>
      <c r="J104" s="26" t="s">
        <v>42</v>
      </c>
      <c r="K104" s="27">
        <v>2.3255813953488373</v>
      </c>
      <c r="L104" s="27">
        <v>0.5</v>
      </c>
      <c r="M104" s="70"/>
      <c r="N104" s="26"/>
      <c r="O104" s="26"/>
      <c r="P104" s="27"/>
      <c r="Q104" s="36"/>
      <c r="R104" s="26" t="s">
        <v>43</v>
      </c>
      <c r="S104" s="26" t="s">
        <v>38</v>
      </c>
      <c r="T104" s="26" t="s">
        <v>39</v>
      </c>
      <c r="U104" s="27">
        <v>0.84745762711864414</v>
      </c>
      <c r="V104" s="33">
        <v>1</v>
      </c>
      <c r="AG104" s="31">
        <v>0</v>
      </c>
      <c r="AH104" s="1" t="s">
        <v>44</v>
      </c>
    </row>
    <row r="105" spans="1:34">
      <c r="A105" s="15" t="s">
        <v>148</v>
      </c>
      <c r="B105" s="8" t="s">
        <v>102</v>
      </c>
      <c r="C105" s="41" t="s">
        <v>37</v>
      </c>
      <c r="D105" s="1" t="s">
        <v>38</v>
      </c>
      <c r="E105" s="26" t="s">
        <v>39</v>
      </c>
      <c r="F105" s="27">
        <v>0.94339622641509424</v>
      </c>
      <c r="G105" s="33">
        <v>0.5</v>
      </c>
      <c r="H105" s="26" t="s">
        <v>40</v>
      </c>
      <c r="I105" s="26" t="s">
        <v>41</v>
      </c>
      <c r="J105" s="26" t="s">
        <v>42</v>
      </c>
      <c r="K105" s="27">
        <v>2.3255813953488373</v>
      </c>
      <c r="L105" s="27">
        <v>0.5</v>
      </c>
      <c r="M105" s="70"/>
      <c r="N105" s="26"/>
      <c r="O105" s="26"/>
      <c r="P105" s="27"/>
      <c r="Q105" s="36"/>
      <c r="R105" s="26" t="s">
        <v>43</v>
      </c>
      <c r="S105" s="26" t="s">
        <v>38</v>
      </c>
      <c r="T105" s="26" t="s">
        <v>39</v>
      </c>
      <c r="U105" s="27">
        <v>0.84745762711864414</v>
      </c>
      <c r="V105" s="33">
        <v>1</v>
      </c>
      <c r="AG105" s="31">
        <v>0</v>
      </c>
      <c r="AH105" s="1" t="s">
        <v>44</v>
      </c>
    </row>
    <row r="106" spans="1:34">
      <c r="A106" s="15" t="s">
        <v>149</v>
      </c>
      <c r="B106" s="8" t="s">
        <v>102</v>
      </c>
      <c r="C106" s="41" t="s">
        <v>37</v>
      </c>
      <c r="D106" s="1" t="s">
        <v>38</v>
      </c>
      <c r="E106" s="26" t="s">
        <v>39</v>
      </c>
      <c r="F106" s="27">
        <v>0.94339622641509424</v>
      </c>
      <c r="G106" s="33">
        <v>0.5</v>
      </c>
      <c r="H106" s="26" t="s">
        <v>40</v>
      </c>
      <c r="I106" s="26" t="s">
        <v>41</v>
      </c>
      <c r="J106" s="26" t="s">
        <v>42</v>
      </c>
      <c r="K106" s="27">
        <v>2.3255813953488373</v>
      </c>
      <c r="L106" s="27">
        <v>0.5</v>
      </c>
      <c r="M106" s="70"/>
      <c r="N106" s="26"/>
      <c r="O106" s="26"/>
      <c r="P106" s="27"/>
      <c r="Q106" s="36"/>
      <c r="R106" s="26" t="s">
        <v>43</v>
      </c>
      <c r="S106" s="26" t="s">
        <v>38</v>
      </c>
      <c r="T106" s="26" t="s">
        <v>39</v>
      </c>
      <c r="U106" s="27">
        <v>0.84745762711864414</v>
      </c>
      <c r="V106" s="33">
        <v>1</v>
      </c>
      <c r="AG106" s="31">
        <v>0</v>
      </c>
      <c r="AH106" s="1" t="s">
        <v>44</v>
      </c>
    </row>
    <row r="107" spans="1:34">
      <c r="A107" s="15" t="s">
        <v>150</v>
      </c>
      <c r="B107" s="8" t="s">
        <v>102</v>
      </c>
      <c r="C107" s="41" t="s">
        <v>37</v>
      </c>
      <c r="D107" s="1" t="s">
        <v>38</v>
      </c>
      <c r="E107" s="26" t="s">
        <v>39</v>
      </c>
      <c r="F107" s="27">
        <v>0.94339622641509424</v>
      </c>
      <c r="G107" s="33">
        <v>0.5</v>
      </c>
      <c r="H107" s="26" t="s">
        <v>40</v>
      </c>
      <c r="I107" s="26" t="s">
        <v>41</v>
      </c>
      <c r="J107" s="26" t="s">
        <v>42</v>
      </c>
      <c r="K107" s="27">
        <v>2.3255813953488373</v>
      </c>
      <c r="L107" s="27">
        <v>0.5</v>
      </c>
      <c r="M107" s="70"/>
      <c r="N107" s="26"/>
      <c r="O107" s="26"/>
      <c r="P107" s="27"/>
      <c r="Q107" s="36"/>
      <c r="R107" s="26" t="s">
        <v>43</v>
      </c>
      <c r="S107" s="26" t="s">
        <v>38</v>
      </c>
      <c r="T107" s="26" t="s">
        <v>39</v>
      </c>
      <c r="U107" s="27">
        <v>0.84745762711864414</v>
      </c>
      <c r="V107" s="33">
        <v>1</v>
      </c>
      <c r="AG107" s="31">
        <v>0</v>
      </c>
      <c r="AH107" s="1" t="s">
        <v>44</v>
      </c>
    </row>
    <row r="108" spans="1:34">
      <c r="A108" s="15" t="s">
        <v>151</v>
      </c>
      <c r="B108" s="8" t="s">
        <v>102</v>
      </c>
      <c r="C108" s="41" t="s">
        <v>37</v>
      </c>
      <c r="D108" s="1" t="s">
        <v>38</v>
      </c>
      <c r="E108" s="26" t="s">
        <v>39</v>
      </c>
      <c r="F108" s="27">
        <v>0.94339622641509424</v>
      </c>
      <c r="G108" s="33">
        <v>0.5</v>
      </c>
      <c r="H108" s="26" t="s">
        <v>40</v>
      </c>
      <c r="I108" s="26" t="s">
        <v>41</v>
      </c>
      <c r="J108" s="26" t="s">
        <v>42</v>
      </c>
      <c r="K108" s="27">
        <v>2.3255813953488373</v>
      </c>
      <c r="L108" s="27">
        <v>0.5</v>
      </c>
      <c r="M108" s="70"/>
      <c r="N108" s="26"/>
      <c r="O108" s="26"/>
      <c r="P108" s="27"/>
      <c r="Q108" s="36"/>
      <c r="R108" s="26" t="s">
        <v>43</v>
      </c>
      <c r="S108" s="26" t="s">
        <v>38</v>
      </c>
      <c r="T108" s="26" t="s">
        <v>39</v>
      </c>
      <c r="U108" s="27">
        <v>0.84745762711864414</v>
      </c>
      <c r="V108" s="33">
        <v>1</v>
      </c>
      <c r="AG108" s="31">
        <v>0</v>
      </c>
      <c r="AH108" s="1" t="s">
        <v>44</v>
      </c>
    </row>
    <row r="109" spans="1:34">
      <c r="A109" s="15" t="s">
        <v>152</v>
      </c>
      <c r="B109" s="8" t="s">
        <v>102</v>
      </c>
      <c r="C109" s="41" t="s">
        <v>37</v>
      </c>
      <c r="D109" s="1" t="s">
        <v>38</v>
      </c>
      <c r="E109" s="26" t="s">
        <v>39</v>
      </c>
      <c r="F109" s="27">
        <v>0.94339622641509424</v>
      </c>
      <c r="G109" s="33">
        <v>0.5</v>
      </c>
      <c r="H109" s="26" t="s">
        <v>40</v>
      </c>
      <c r="I109" s="26" t="s">
        <v>41</v>
      </c>
      <c r="J109" s="26" t="s">
        <v>42</v>
      </c>
      <c r="K109" s="27">
        <v>2.3255813953488373</v>
      </c>
      <c r="L109" s="27">
        <v>0.5</v>
      </c>
      <c r="M109" s="70"/>
      <c r="N109" s="26"/>
      <c r="O109" s="26"/>
      <c r="P109" s="27"/>
      <c r="Q109" s="36"/>
      <c r="R109" s="26" t="s">
        <v>43</v>
      </c>
      <c r="S109" s="26" t="s">
        <v>38</v>
      </c>
      <c r="T109" s="26" t="s">
        <v>39</v>
      </c>
      <c r="U109" s="27">
        <v>0.84745762711864414</v>
      </c>
      <c r="V109" s="33">
        <v>1</v>
      </c>
      <c r="AG109" s="31">
        <v>0</v>
      </c>
      <c r="AH109" s="1" t="s">
        <v>44</v>
      </c>
    </row>
    <row r="110" spans="1:34">
      <c r="A110" s="15" t="s">
        <v>153</v>
      </c>
      <c r="B110" s="8" t="s">
        <v>102</v>
      </c>
      <c r="C110" s="41" t="s">
        <v>37</v>
      </c>
      <c r="D110" s="1" t="s">
        <v>38</v>
      </c>
      <c r="E110" s="26" t="s">
        <v>39</v>
      </c>
      <c r="F110" s="27">
        <v>0.94339622641509424</v>
      </c>
      <c r="G110" s="33">
        <v>0.5</v>
      </c>
      <c r="H110" s="26" t="s">
        <v>40</v>
      </c>
      <c r="I110" s="26" t="s">
        <v>41</v>
      </c>
      <c r="J110" s="26" t="s">
        <v>42</v>
      </c>
      <c r="K110" s="27">
        <v>2.3255813953488373</v>
      </c>
      <c r="L110" s="27">
        <v>0.5</v>
      </c>
      <c r="M110" s="70"/>
      <c r="N110" s="26"/>
      <c r="O110" s="26"/>
      <c r="P110" s="27"/>
      <c r="Q110" s="36"/>
      <c r="R110" s="26" t="s">
        <v>43</v>
      </c>
      <c r="S110" s="26" t="s">
        <v>38</v>
      </c>
      <c r="T110" s="26" t="s">
        <v>39</v>
      </c>
      <c r="U110" s="27">
        <v>0.84745762711864414</v>
      </c>
      <c r="V110" s="33">
        <v>1</v>
      </c>
      <c r="AG110" s="31">
        <v>0</v>
      </c>
      <c r="AH110" s="1" t="s">
        <v>44</v>
      </c>
    </row>
    <row r="111" spans="1:34">
      <c r="A111" s="15" t="s">
        <v>154</v>
      </c>
      <c r="B111" s="8" t="s">
        <v>102</v>
      </c>
      <c r="C111" s="41" t="s">
        <v>37</v>
      </c>
      <c r="D111" s="1" t="s">
        <v>38</v>
      </c>
      <c r="E111" s="26" t="s">
        <v>39</v>
      </c>
      <c r="F111" s="27">
        <v>0.94339622641509424</v>
      </c>
      <c r="G111" s="33">
        <v>0.5</v>
      </c>
      <c r="H111" s="26" t="s">
        <v>40</v>
      </c>
      <c r="I111" s="26" t="s">
        <v>41</v>
      </c>
      <c r="J111" s="26" t="s">
        <v>42</v>
      </c>
      <c r="K111" s="27">
        <v>2.3255813953488373</v>
      </c>
      <c r="L111" s="27">
        <v>0.5</v>
      </c>
      <c r="M111" s="70"/>
      <c r="N111" s="26"/>
      <c r="O111" s="26"/>
      <c r="P111" s="27"/>
      <c r="Q111" s="36"/>
      <c r="R111" s="26" t="s">
        <v>43</v>
      </c>
      <c r="S111" s="26" t="s">
        <v>38</v>
      </c>
      <c r="T111" s="26" t="s">
        <v>39</v>
      </c>
      <c r="U111" s="27">
        <v>0.84745762711864414</v>
      </c>
      <c r="V111" s="33">
        <v>1</v>
      </c>
      <c r="AG111" s="31">
        <v>0</v>
      </c>
      <c r="AH111" s="1" t="s">
        <v>44</v>
      </c>
    </row>
    <row r="112" spans="1:34">
      <c r="A112" s="15" t="s">
        <v>155</v>
      </c>
      <c r="B112" s="8" t="s">
        <v>102</v>
      </c>
      <c r="C112" s="41" t="s">
        <v>37</v>
      </c>
      <c r="D112" s="1" t="s">
        <v>38</v>
      </c>
      <c r="E112" s="26" t="s">
        <v>39</v>
      </c>
      <c r="F112" s="27">
        <v>0.94339622641509424</v>
      </c>
      <c r="G112" s="33">
        <v>0.5</v>
      </c>
      <c r="H112" s="26" t="s">
        <v>40</v>
      </c>
      <c r="I112" s="26" t="s">
        <v>41</v>
      </c>
      <c r="J112" s="26" t="s">
        <v>42</v>
      </c>
      <c r="K112" s="27">
        <v>2.3255813953488373</v>
      </c>
      <c r="L112" s="27">
        <v>0.5</v>
      </c>
      <c r="M112" s="70"/>
      <c r="N112" s="26"/>
      <c r="O112" s="26"/>
      <c r="P112" s="27"/>
      <c r="Q112" s="36"/>
      <c r="R112" s="26" t="s">
        <v>43</v>
      </c>
      <c r="S112" s="26" t="s">
        <v>38</v>
      </c>
      <c r="T112" s="26" t="s">
        <v>39</v>
      </c>
      <c r="U112" s="27">
        <v>0.84745762711864414</v>
      </c>
      <c r="V112" s="33">
        <v>1</v>
      </c>
      <c r="AG112" s="31">
        <v>0</v>
      </c>
      <c r="AH112" s="1" t="s">
        <v>44</v>
      </c>
    </row>
    <row r="113" spans="1:34">
      <c r="A113" s="15" t="s">
        <v>156</v>
      </c>
      <c r="B113" s="8" t="s">
        <v>102</v>
      </c>
      <c r="C113" s="41" t="s">
        <v>37</v>
      </c>
      <c r="D113" s="1" t="s">
        <v>38</v>
      </c>
      <c r="E113" s="26" t="s">
        <v>39</v>
      </c>
      <c r="F113" s="27">
        <v>0.94339622641509424</v>
      </c>
      <c r="G113" s="33">
        <v>0.5</v>
      </c>
      <c r="H113" s="26" t="s">
        <v>40</v>
      </c>
      <c r="I113" s="26" t="s">
        <v>41</v>
      </c>
      <c r="J113" s="26" t="s">
        <v>42</v>
      </c>
      <c r="K113" s="27">
        <v>2.3255813953488373</v>
      </c>
      <c r="L113" s="27">
        <v>0.5</v>
      </c>
      <c r="M113" s="70"/>
      <c r="N113" s="26"/>
      <c r="O113" s="26"/>
      <c r="P113" s="27"/>
      <c r="Q113" s="36"/>
      <c r="R113" s="26" t="s">
        <v>43</v>
      </c>
      <c r="S113" s="26" t="s">
        <v>38</v>
      </c>
      <c r="T113" s="26" t="s">
        <v>39</v>
      </c>
      <c r="U113" s="27">
        <v>0.84745762711864414</v>
      </c>
      <c r="V113" s="33">
        <v>1</v>
      </c>
      <c r="AG113" s="31">
        <v>0</v>
      </c>
      <c r="AH113" s="1" t="s">
        <v>44</v>
      </c>
    </row>
    <row r="114" spans="1:34">
      <c r="A114" s="16" t="s">
        <v>157</v>
      </c>
      <c r="B114" s="8" t="s">
        <v>102</v>
      </c>
      <c r="C114" s="41" t="s">
        <v>37</v>
      </c>
      <c r="D114" s="1" t="s">
        <v>38</v>
      </c>
      <c r="E114" s="26" t="s">
        <v>39</v>
      </c>
      <c r="F114" s="27">
        <v>0.94339622641509424</v>
      </c>
      <c r="G114" s="33">
        <v>0.5</v>
      </c>
      <c r="H114" s="26" t="s">
        <v>40</v>
      </c>
      <c r="I114" s="26" t="s">
        <v>41</v>
      </c>
      <c r="J114" s="26" t="s">
        <v>42</v>
      </c>
      <c r="K114" s="27">
        <v>2.3255813953488373</v>
      </c>
      <c r="L114" s="27">
        <v>0.5</v>
      </c>
      <c r="M114" s="70"/>
      <c r="N114" s="26"/>
      <c r="O114" s="26"/>
      <c r="P114" s="27"/>
      <c r="Q114" s="36"/>
      <c r="R114" s="26" t="s">
        <v>43</v>
      </c>
      <c r="S114" s="26" t="s">
        <v>38</v>
      </c>
      <c r="T114" s="26" t="s">
        <v>39</v>
      </c>
      <c r="U114" s="27">
        <v>0.84745762711864414</v>
      </c>
      <c r="V114" s="33">
        <v>1</v>
      </c>
      <c r="AG114" s="31">
        <v>0</v>
      </c>
      <c r="AH114" s="1" t="s">
        <v>44</v>
      </c>
    </row>
    <row r="115" spans="1:34" s="6" customFormat="1">
      <c r="A115" s="15" t="s">
        <v>158</v>
      </c>
      <c r="B115" s="44" t="s">
        <v>159</v>
      </c>
      <c r="C115" s="45" t="s">
        <v>160</v>
      </c>
      <c r="D115" s="46" t="s">
        <v>38</v>
      </c>
      <c r="E115" s="47" t="s">
        <v>39</v>
      </c>
      <c r="F115" s="48">
        <v>0.81300813008130079</v>
      </c>
      <c r="G115" s="49">
        <v>1</v>
      </c>
      <c r="H115" s="47"/>
      <c r="I115" s="47"/>
      <c r="J115" s="47"/>
      <c r="K115" s="48"/>
      <c r="L115" s="48"/>
      <c r="M115" s="72"/>
      <c r="N115" s="47"/>
      <c r="O115" s="47"/>
      <c r="P115" s="48"/>
      <c r="Q115" s="50"/>
      <c r="R115" s="54" t="s">
        <v>161</v>
      </c>
      <c r="S115" s="47" t="s">
        <v>38</v>
      </c>
      <c r="T115" s="47" t="s">
        <v>39</v>
      </c>
      <c r="U115" s="48">
        <v>0.83333333333333337</v>
      </c>
      <c r="V115" s="49">
        <v>1</v>
      </c>
      <c r="W115" s="28"/>
      <c r="X115" s="28"/>
      <c r="Y115" s="28"/>
      <c r="Z115" s="29"/>
      <c r="AA115" s="28"/>
      <c r="AB115" s="74"/>
      <c r="AC115" s="28"/>
      <c r="AD115" s="28"/>
      <c r="AE115" s="28"/>
      <c r="AF115" s="39"/>
      <c r="AG115" s="29">
        <v>0</v>
      </c>
      <c r="AH115" s="6" t="s">
        <v>44</v>
      </c>
    </row>
    <row r="116" spans="1:34">
      <c r="A116" s="15" t="s">
        <v>162</v>
      </c>
      <c r="B116" s="8" t="s">
        <v>159</v>
      </c>
      <c r="C116" s="41" t="s">
        <v>160</v>
      </c>
      <c r="D116" s="1" t="s">
        <v>38</v>
      </c>
      <c r="E116" s="26" t="s">
        <v>39</v>
      </c>
      <c r="F116" s="27">
        <v>0.81300813008130079</v>
      </c>
      <c r="G116" s="33">
        <v>1</v>
      </c>
      <c r="R116" s="55" t="s">
        <v>161</v>
      </c>
      <c r="S116" s="26" t="s">
        <v>38</v>
      </c>
      <c r="T116" s="26" t="s">
        <v>39</v>
      </c>
      <c r="U116" s="27">
        <v>0.83333333333333337</v>
      </c>
      <c r="V116" s="33">
        <v>1</v>
      </c>
      <c r="AG116" s="31">
        <v>0</v>
      </c>
      <c r="AH116" t="s">
        <v>44</v>
      </c>
    </row>
    <row r="117" spans="1:34">
      <c r="A117" s="15" t="s">
        <v>163</v>
      </c>
      <c r="B117" s="8" t="s">
        <v>159</v>
      </c>
      <c r="C117" s="41" t="s">
        <v>160</v>
      </c>
      <c r="D117" s="1" t="s">
        <v>38</v>
      </c>
      <c r="E117" s="26" t="s">
        <v>39</v>
      </c>
      <c r="F117" s="27">
        <v>0.81300813008130079</v>
      </c>
      <c r="G117" s="33">
        <v>1</v>
      </c>
      <c r="R117" s="55" t="s">
        <v>161</v>
      </c>
      <c r="S117" s="26" t="s">
        <v>38</v>
      </c>
      <c r="T117" s="26" t="s">
        <v>39</v>
      </c>
      <c r="U117" s="27">
        <v>0.83333333333333337</v>
      </c>
      <c r="V117" s="33">
        <v>1</v>
      </c>
      <c r="AG117" s="31">
        <v>0</v>
      </c>
      <c r="AH117" t="s">
        <v>44</v>
      </c>
    </row>
    <row r="118" spans="1:34">
      <c r="A118" s="15" t="s">
        <v>164</v>
      </c>
      <c r="B118" s="8" t="s">
        <v>159</v>
      </c>
      <c r="C118" s="41" t="s">
        <v>160</v>
      </c>
      <c r="D118" s="1" t="s">
        <v>38</v>
      </c>
      <c r="E118" s="26" t="s">
        <v>39</v>
      </c>
      <c r="F118" s="27">
        <v>0.81300813008130079</v>
      </c>
      <c r="G118" s="33">
        <v>1</v>
      </c>
      <c r="R118" s="55" t="s">
        <v>161</v>
      </c>
      <c r="S118" s="26" t="s">
        <v>38</v>
      </c>
      <c r="T118" s="26" t="s">
        <v>39</v>
      </c>
      <c r="U118" s="27">
        <v>0.83333333333333337</v>
      </c>
      <c r="V118" s="33">
        <v>1</v>
      </c>
      <c r="AG118" s="31">
        <v>0</v>
      </c>
      <c r="AH118" t="s">
        <v>44</v>
      </c>
    </row>
    <row r="119" spans="1:34">
      <c r="A119" s="15" t="s">
        <v>165</v>
      </c>
      <c r="B119" s="8" t="s">
        <v>159</v>
      </c>
      <c r="C119" s="41" t="s">
        <v>160</v>
      </c>
      <c r="D119" s="1" t="s">
        <v>38</v>
      </c>
      <c r="E119" s="26" t="s">
        <v>39</v>
      </c>
      <c r="F119" s="27">
        <v>0.81300813008130079</v>
      </c>
      <c r="G119" s="33">
        <v>1</v>
      </c>
      <c r="R119" s="55" t="s">
        <v>161</v>
      </c>
      <c r="S119" s="26" t="s">
        <v>38</v>
      </c>
      <c r="T119" s="26" t="s">
        <v>39</v>
      </c>
      <c r="U119" s="27">
        <v>0.83333333333333337</v>
      </c>
      <c r="V119" s="33">
        <v>1</v>
      </c>
      <c r="AG119" s="31">
        <v>0</v>
      </c>
      <c r="AH119" t="s">
        <v>44</v>
      </c>
    </row>
    <row r="120" spans="1:34">
      <c r="A120" s="15" t="s">
        <v>166</v>
      </c>
      <c r="B120" s="8" t="s">
        <v>159</v>
      </c>
      <c r="C120" s="41" t="s">
        <v>160</v>
      </c>
      <c r="D120" s="1" t="s">
        <v>38</v>
      </c>
      <c r="E120" s="26" t="s">
        <v>39</v>
      </c>
      <c r="F120" s="27">
        <v>0.81300813008130079</v>
      </c>
      <c r="G120" s="33">
        <v>1</v>
      </c>
      <c r="R120" s="55" t="s">
        <v>161</v>
      </c>
      <c r="S120" s="26" t="s">
        <v>38</v>
      </c>
      <c r="T120" s="26" t="s">
        <v>39</v>
      </c>
      <c r="U120" s="27">
        <v>0.83333333333333337</v>
      </c>
      <c r="V120" s="33">
        <v>1</v>
      </c>
      <c r="AG120" s="31">
        <v>0</v>
      </c>
      <c r="AH120" t="s">
        <v>44</v>
      </c>
    </row>
    <row r="121" spans="1:34">
      <c r="A121" s="15" t="s">
        <v>167</v>
      </c>
      <c r="B121" s="8" t="s">
        <v>159</v>
      </c>
      <c r="C121" s="41" t="s">
        <v>160</v>
      </c>
      <c r="D121" s="1" t="s">
        <v>38</v>
      </c>
      <c r="E121" s="26" t="s">
        <v>39</v>
      </c>
      <c r="F121" s="27">
        <v>0.81300813008130079</v>
      </c>
      <c r="G121" s="33">
        <v>1</v>
      </c>
      <c r="R121" s="55" t="s">
        <v>161</v>
      </c>
      <c r="S121" s="26" t="s">
        <v>38</v>
      </c>
      <c r="T121" s="26" t="s">
        <v>39</v>
      </c>
      <c r="U121" s="27">
        <v>0.83333333333333337</v>
      </c>
      <c r="V121" s="33">
        <v>1</v>
      </c>
      <c r="AG121" s="31">
        <v>0</v>
      </c>
      <c r="AH121" t="s">
        <v>44</v>
      </c>
    </row>
    <row r="122" spans="1:34">
      <c r="A122" s="15" t="s">
        <v>168</v>
      </c>
      <c r="B122" s="8" t="s">
        <v>159</v>
      </c>
      <c r="C122" s="41" t="s">
        <v>160</v>
      </c>
      <c r="D122" s="1" t="s">
        <v>38</v>
      </c>
      <c r="E122" s="26" t="s">
        <v>39</v>
      </c>
      <c r="F122" s="27">
        <v>0.81300813008130079</v>
      </c>
      <c r="G122" s="33">
        <v>1</v>
      </c>
      <c r="R122" s="55" t="s">
        <v>161</v>
      </c>
      <c r="S122" s="26" t="s">
        <v>38</v>
      </c>
      <c r="T122" s="26" t="s">
        <v>39</v>
      </c>
      <c r="U122" s="27">
        <v>0.83333333333333337</v>
      </c>
      <c r="V122" s="33">
        <v>1</v>
      </c>
      <c r="AG122" s="31">
        <v>0</v>
      </c>
      <c r="AH122" t="s">
        <v>44</v>
      </c>
    </row>
    <row r="123" spans="1:34">
      <c r="A123" s="15" t="s">
        <v>169</v>
      </c>
      <c r="B123" s="8" t="s">
        <v>159</v>
      </c>
      <c r="C123" s="41" t="s">
        <v>160</v>
      </c>
      <c r="D123" s="1" t="s">
        <v>38</v>
      </c>
      <c r="E123" s="26" t="s">
        <v>39</v>
      </c>
      <c r="F123" s="27">
        <v>0.81300813008130079</v>
      </c>
      <c r="G123" s="33">
        <v>1</v>
      </c>
      <c r="R123" s="55" t="s">
        <v>161</v>
      </c>
      <c r="S123" s="26" t="s">
        <v>38</v>
      </c>
      <c r="T123" s="26" t="s">
        <v>39</v>
      </c>
      <c r="U123" s="27">
        <v>0.83333333333333337</v>
      </c>
      <c r="V123" s="33">
        <v>1</v>
      </c>
      <c r="AG123" s="31">
        <v>0</v>
      </c>
      <c r="AH123" t="s">
        <v>44</v>
      </c>
    </row>
    <row r="124" spans="1:34">
      <c r="A124" s="15" t="s">
        <v>170</v>
      </c>
      <c r="B124" s="8" t="s">
        <v>159</v>
      </c>
      <c r="C124" s="41" t="s">
        <v>160</v>
      </c>
      <c r="D124" s="1" t="s">
        <v>38</v>
      </c>
      <c r="E124" s="26" t="s">
        <v>39</v>
      </c>
      <c r="F124" s="27">
        <v>0.81300813008130079</v>
      </c>
      <c r="G124" s="33">
        <v>1</v>
      </c>
      <c r="R124" s="55" t="s">
        <v>161</v>
      </c>
      <c r="S124" s="26" t="s">
        <v>38</v>
      </c>
      <c r="T124" s="26" t="s">
        <v>39</v>
      </c>
      <c r="U124" s="27">
        <v>0.83333333333333337</v>
      </c>
      <c r="V124" s="33">
        <v>1</v>
      </c>
      <c r="AG124" s="31">
        <v>0</v>
      </c>
      <c r="AH124" t="s">
        <v>44</v>
      </c>
    </row>
    <row r="125" spans="1:34">
      <c r="A125" s="15" t="s">
        <v>171</v>
      </c>
      <c r="B125" s="8" t="s">
        <v>159</v>
      </c>
      <c r="C125" s="41" t="s">
        <v>160</v>
      </c>
      <c r="D125" s="1" t="s">
        <v>38</v>
      </c>
      <c r="E125" s="26" t="s">
        <v>39</v>
      </c>
      <c r="F125" s="27">
        <v>0.81300813008130079</v>
      </c>
      <c r="G125" s="33">
        <v>1</v>
      </c>
      <c r="R125" s="55" t="s">
        <v>161</v>
      </c>
      <c r="S125" s="26" t="s">
        <v>38</v>
      </c>
      <c r="T125" s="26" t="s">
        <v>39</v>
      </c>
      <c r="U125" s="27">
        <v>0.83333333333333337</v>
      </c>
      <c r="V125" s="33">
        <v>1</v>
      </c>
      <c r="AG125" s="31">
        <v>0</v>
      </c>
      <c r="AH125" t="s">
        <v>44</v>
      </c>
    </row>
    <row r="126" spans="1:34">
      <c r="A126" s="15" t="s">
        <v>172</v>
      </c>
      <c r="B126" s="8" t="s">
        <v>159</v>
      </c>
      <c r="C126" s="41" t="s">
        <v>160</v>
      </c>
      <c r="D126" s="1" t="s">
        <v>38</v>
      </c>
      <c r="E126" s="26" t="s">
        <v>39</v>
      </c>
      <c r="F126" s="27">
        <v>0.81300813008130079</v>
      </c>
      <c r="G126" s="33">
        <v>1</v>
      </c>
      <c r="R126" s="55" t="s">
        <v>161</v>
      </c>
      <c r="S126" s="26" t="s">
        <v>38</v>
      </c>
      <c r="T126" s="26" t="s">
        <v>39</v>
      </c>
      <c r="U126" s="27">
        <v>0.83333333333333337</v>
      </c>
      <c r="V126" s="33">
        <v>1</v>
      </c>
      <c r="AG126" s="31">
        <v>0</v>
      </c>
      <c r="AH126" t="s">
        <v>44</v>
      </c>
    </row>
    <row r="127" spans="1:34">
      <c r="A127" s="15" t="s">
        <v>173</v>
      </c>
      <c r="B127" s="8" t="s">
        <v>159</v>
      </c>
      <c r="C127" s="41" t="s">
        <v>160</v>
      </c>
      <c r="D127" s="1" t="s">
        <v>38</v>
      </c>
      <c r="E127" s="26" t="s">
        <v>39</v>
      </c>
      <c r="F127" s="27">
        <v>0.81300813008130079</v>
      </c>
      <c r="G127" s="33">
        <v>1</v>
      </c>
      <c r="R127" s="55" t="s">
        <v>161</v>
      </c>
      <c r="S127" s="26" t="s">
        <v>38</v>
      </c>
      <c r="T127" s="26" t="s">
        <v>39</v>
      </c>
      <c r="U127" s="27">
        <v>0.83333333333333337</v>
      </c>
      <c r="V127" s="33">
        <v>1</v>
      </c>
      <c r="AG127" s="31">
        <v>0</v>
      </c>
      <c r="AH127" t="s">
        <v>44</v>
      </c>
    </row>
    <row r="128" spans="1:34">
      <c r="A128" s="15" t="s">
        <v>174</v>
      </c>
      <c r="B128" s="8" t="s">
        <v>159</v>
      </c>
      <c r="C128" s="41" t="s">
        <v>160</v>
      </c>
      <c r="D128" s="1" t="s">
        <v>38</v>
      </c>
      <c r="E128" s="26" t="s">
        <v>39</v>
      </c>
      <c r="F128" s="27">
        <v>0.81300813008130079</v>
      </c>
      <c r="G128" s="33">
        <v>1</v>
      </c>
      <c r="R128" s="55" t="s">
        <v>161</v>
      </c>
      <c r="S128" s="26" t="s">
        <v>38</v>
      </c>
      <c r="T128" s="26" t="s">
        <v>39</v>
      </c>
      <c r="U128" s="27">
        <v>0.83333333333333337</v>
      </c>
      <c r="V128" s="33">
        <v>1</v>
      </c>
      <c r="AG128" s="31">
        <v>0</v>
      </c>
      <c r="AH128" t="s">
        <v>44</v>
      </c>
    </row>
    <row r="129" spans="1:34">
      <c r="A129" s="15" t="s">
        <v>175</v>
      </c>
      <c r="B129" s="8" t="s">
        <v>159</v>
      </c>
      <c r="C129" s="41" t="s">
        <v>160</v>
      </c>
      <c r="D129" s="1" t="s">
        <v>38</v>
      </c>
      <c r="E129" s="26" t="s">
        <v>39</v>
      </c>
      <c r="F129" s="27">
        <v>0.81300813008130079</v>
      </c>
      <c r="G129" s="33">
        <v>1</v>
      </c>
      <c r="R129" s="55" t="s">
        <v>161</v>
      </c>
      <c r="S129" s="26" t="s">
        <v>38</v>
      </c>
      <c r="T129" s="26" t="s">
        <v>39</v>
      </c>
      <c r="U129" s="27">
        <v>0.83333333333333337</v>
      </c>
      <c r="V129" s="33">
        <v>1</v>
      </c>
      <c r="AG129" s="31">
        <v>0</v>
      </c>
      <c r="AH129" t="s">
        <v>44</v>
      </c>
    </row>
    <row r="130" spans="1:34">
      <c r="A130" s="15" t="s">
        <v>176</v>
      </c>
      <c r="B130" s="8" t="s">
        <v>159</v>
      </c>
      <c r="C130" s="41" t="s">
        <v>160</v>
      </c>
      <c r="D130" s="1" t="s">
        <v>38</v>
      </c>
      <c r="E130" s="26" t="s">
        <v>39</v>
      </c>
      <c r="F130" s="27">
        <v>0.81300813008130079</v>
      </c>
      <c r="G130" s="33">
        <v>1</v>
      </c>
      <c r="R130" s="55" t="s">
        <v>161</v>
      </c>
      <c r="S130" s="26" t="s">
        <v>38</v>
      </c>
      <c r="T130" s="26" t="s">
        <v>39</v>
      </c>
      <c r="U130" s="27">
        <v>0.83333333333333337</v>
      </c>
      <c r="V130" s="33">
        <v>1</v>
      </c>
      <c r="AG130" s="31">
        <v>0</v>
      </c>
      <c r="AH130" t="s">
        <v>44</v>
      </c>
    </row>
    <row r="131" spans="1:34">
      <c r="A131" s="15" t="s">
        <v>177</v>
      </c>
      <c r="B131" s="8" t="s">
        <v>159</v>
      </c>
      <c r="C131" s="41" t="s">
        <v>160</v>
      </c>
      <c r="D131" s="1" t="s">
        <v>38</v>
      </c>
      <c r="E131" s="26" t="s">
        <v>39</v>
      </c>
      <c r="F131" s="27">
        <v>0.81300813008130079</v>
      </c>
      <c r="G131" s="33">
        <v>1</v>
      </c>
      <c r="R131" s="55" t="s">
        <v>161</v>
      </c>
      <c r="S131" s="26" t="s">
        <v>38</v>
      </c>
      <c r="T131" s="26" t="s">
        <v>39</v>
      </c>
      <c r="U131" s="27">
        <v>0.83333333333333337</v>
      </c>
      <c r="V131" s="33">
        <v>1</v>
      </c>
      <c r="AG131" s="31">
        <v>0</v>
      </c>
      <c r="AH131" t="s">
        <v>44</v>
      </c>
    </row>
    <row r="132" spans="1:34">
      <c r="A132" s="15" t="s">
        <v>178</v>
      </c>
      <c r="B132" s="8" t="s">
        <v>159</v>
      </c>
      <c r="C132" s="41" t="s">
        <v>160</v>
      </c>
      <c r="D132" s="1" t="s">
        <v>38</v>
      </c>
      <c r="E132" s="26" t="s">
        <v>39</v>
      </c>
      <c r="F132" s="27">
        <v>0.81300813008130079</v>
      </c>
      <c r="G132" s="33">
        <v>1</v>
      </c>
      <c r="R132" s="55" t="s">
        <v>161</v>
      </c>
      <c r="S132" s="26" t="s">
        <v>38</v>
      </c>
      <c r="T132" s="26" t="s">
        <v>39</v>
      </c>
      <c r="U132" s="27">
        <v>0.83333333333333337</v>
      </c>
      <c r="V132" s="33">
        <v>1</v>
      </c>
      <c r="AG132" s="31">
        <v>0</v>
      </c>
      <c r="AH132" t="s">
        <v>44</v>
      </c>
    </row>
    <row r="133" spans="1:34">
      <c r="A133" s="15" t="s">
        <v>179</v>
      </c>
      <c r="B133" s="8" t="s">
        <v>159</v>
      </c>
      <c r="C133" s="41" t="s">
        <v>160</v>
      </c>
      <c r="D133" s="1" t="s">
        <v>38</v>
      </c>
      <c r="E133" s="26" t="s">
        <v>39</v>
      </c>
      <c r="F133" s="27">
        <v>0.81300813008130079</v>
      </c>
      <c r="G133" s="33">
        <v>1</v>
      </c>
      <c r="R133" s="55" t="s">
        <v>161</v>
      </c>
      <c r="S133" s="26" t="s">
        <v>38</v>
      </c>
      <c r="T133" s="26" t="s">
        <v>39</v>
      </c>
      <c r="U133" s="27">
        <v>0.83333333333333337</v>
      </c>
      <c r="V133" s="33">
        <v>1</v>
      </c>
      <c r="AG133" s="31">
        <v>0</v>
      </c>
      <c r="AH133" t="s">
        <v>44</v>
      </c>
    </row>
    <row r="134" spans="1:34">
      <c r="A134" s="15" t="s">
        <v>180</v>
      </c>
      <c r="B134" s="8" t="s">
        <v>159</v>
      </c>
      <c r="C134" s="41" t="s">
        <v>160</v>
      </c>
      <c r="D134" s="1" t="s">
        <v>38</v>
      </c>
      <c r="E134" s="26" t="s">
        <v>39</v>
      </c>
      <c r="F134" s="27">
        <v>0.81300813008130079</v>
      </c>
      <c r="G134" s="33">
        <v>1</v>
      </c>
      <c r="R134" s="55" t="s">
        <v>161</v>
      </c>
      <c r="S134" s="26" t="s">
        <v>38</v>
      </c>
      <c r="T134" s="26" t="s">
        <v>39</v>
      </c>
      <c r="U134" s="27">
        <v>0.83333333333333337</v>
      </c>
      <c r="V134" s="33">
        <v>1</v>
      </c>
      <c r="AG134" s="31">
        <v>0</v>
      </c>
      <c r="AH134" t="s">
        <v>44</v>
      </c>
    </row>
    <row r="135" spans="1:34">
      <c r="A135" s="15" t="s">
        <v>181</v>
      </c>
      <c r="B135" s="8" t="s">
        <v>159</v>
      </c>
      <c r="C135" s="41" t="s">
        <v>160</v>
      </c>
      <c r="D135" s="1" t="s">
        <v>38</v>
      </c>
      <c r="E135" s="26" t="s">
        <v>39</v>
      </c>
      <c r="F135" s="27">
        <v>0.81300813008130079</v>
      </c>
      <c r="G135" s="33">
        <v>1</v>
      </c>
      <c r="R135" s="55" t="s">
        <v>161</v>
      </c>
      <c r="S135" s="26" t="s">
        <v>38</v>
      </c>
      <c r="T135" s="26" t="s">
        <v>39</v>
      </c>
      <c r="U135" s="27">
        <v>0.83333333333333337</v>
      </c>
      <c r="V135" s="33">
        <v>1</v>
      </c>
      <c r="AG135" s="31">
        <v>0</v>
      </c>
      <c r="AH135" t="s">
        <v>44</v>
      </c>
    </row>
    <row r="136" spans="1:34">
      <c r="A136" s="15" t="s">
        <v>182</v>
      </c>
      <c r="B136" s="8" t="s">
        <v>159</v>
      </c>
      <c r="C136" s="41" t="s">
        <v>160</v>
      </c>
      <c r="D136" s="1" t="s">
        <v>38</v>
      </c>
      <c r="E136" s="26" t="s">
        <v>39</v>
      </c>
      <c r="F136" s="27">
        <v>0.81300813008130079</v>
      </c>
      <c r="G136" s="33">
        <v>1</v>
      </c>
      <c r="R136" s="55" t="s">
        <v>161</v>
      </c>
      <c r="S136" s="26" t="s">
        <v>38</v>
      </c>
      <c r="T136" s="26" t="s">
        <v>39</v>
      </c>
      <c r="U136" s="27">
        <v>0.83333333333333337</v>
      </c>
      <c r="V136" s="33">
        <v>1</v>
      </c>
      <c r="AG136" s="31">
        <v>1</v>
      </c>
      <c r="AH136" t="s">
        <v>73</v>
      </c>
    </row>
    <row r="137" spans="1:34">
      <c r="A137" s="15" t="s">
        <v>183</v>
      </c>
      <c r="B137" s="8" t="s">
        <v>159</v>
      </c>
      <c r="C137" s="41" t="s">
        <v>160</v>
      </c>
      <c r="D137" s="1" t="s">
        <v>38</v>
      </c>
      <c r="E137" s="26" t="s">
        <v>39</v>
      </c>
      <c r="F137" s="27">
        <v>0.81300813008130079</v>
      </c>
      <c r="G137" s="33">
        <v>1</v>
      </c>
      <c r="R137" s="55" t="s">
        <v>161</v>
      </c>
      <c r="S137" s="26" t="s">
        <v>38</v>
      </c>
      <c r="T137" s="26" t="s">
        <v>39</v>
      </c>
      <c r="U137" s="27">
        <v>0.83333333333333337</v>
      </c>
      <c r="V137" s="33">
        <v>1</v>
      </c>
      <c r="AG137" s="31">
        <v>1</v>
      </c>
      <c r="AH137" t="s">
        <v>73</v>
      </c>
    </row>
    <row r="138" spans="1:34">
      <c r="A138" s="15" t="s">
        <v>184</v>
      </c>
      <c r="B138" s="8" t="s">
        <v>159</v>
      </c>
      <c r="C138" s="41" t="s">
        <v>160</v>
      </c>
      <c r="D138" s="1" t="s">
        <v>38</v>
      </c>
      <c r="E138" s="26" t="s">
        <v>39</v>
      </c>
      <c r="F138" s="27">
        <v>0.81300813008130079</v>
      </c>
      <c r="G138" s="33">
        <v>1</v>
      </c>
      <c r="R138" s="55" t="s">
        <v>161</v>
      </c>
      <c r="S138" s="26" t="s">
        <v>38</v>
      </c>
      <c r="T138" s="26" t="s">
        <v>39</v>
      </c>
      <c r="U138" s="27">
        <v>0.83333333333333337</v>
      </c>
      <c r="V138" s="33">
        <v>1</v>
      </c>
      <c r="AG138" s="31">
        <v>1</v>
      </c>
      <c r="AH138" t="s">
        <v>73</v>
      </c>
    </row>
    <row r="139" spans="1:34">
      <c r="A139" s="15" t="s">
        <v>185</v>
      </c>
      <c r="B139" s="8" t="s">
        <v>159</v>
      </c>
      <c r="C139" s="41" t="s">
        <v>160</v>
      </c>
      <c r="D139" s="1" t="s">
        <v>38</v>
      </c>
      <c r="E139" s="26" t="s">
        <v>39</v>
      </c>
      <c r="F139" s="27">
        <v>0.81300813008130079</v>
      </c>
      <c r="G139" s="33">
        <v>1</v>
      </c>
      <c r="R139" s="55" t="s">
        <v>161</v>
      </c>
      <c r="S139" s="26" t="s">
        <v>38</v>
      </c>
      <c r="T139" s="26" t="s">
        <v>39</v>
      </c>
      <c r="U139" s="27">
        <v>0.83333333333333337</v>
      </c>
      <c r="V139" s="33">
        <v>1</v>
      </c>
      <c r="AG139" s="31">
        <v>1</v>
      </c>
      <c r="AH139" t="s">
        <v>73</v>
      </c>
    </row>
    <row r="140" spans="1:34">
      <c r="A140" s="15" t="s">
        <v>186</v>
      </c>
      <c r="B140" s="8" t="s">
        <v>159</v>
      </c>
      <c r="C140" s="41" t="s">
        <v>160</v>
      </c>
      <c r="D140" s="1" t="s">
        <v>38</v>
      </c>
      <c r="E140" s="26" t="s">
        <v>39</v>
      </c>
      <c r="F140" s="27">
        <v>0.81300813008130079</v>
      </c>
      <c r="G140" s="33">
        <v>1</v>
      </c>
      <c r="R140" s="55" t="s">
        <v>161</v>
      </c>
      <c r="S140" s="26" t="s">
        <v>38</v>
      </c>
      <c r="T140" s="26" t="s">
        <v>39</v>
      </c>
      <c r="U140" s="27">
        <v>0.83333333333333337</v>
      </c>
      <c r="V140" s="33">
        <v>1</v>
      </c>
      <c r="AG140" s="31">
        <v>1</v>
      </c>
      <c r="AH140" t="s">
        <v>73</v>
      </c>
    </row>
    <row r="141" spans="1:34">
      <c r="A141" s="15" t="s">
        <v>187</v>
      </c>
      <c r="B141" s="8" t="s">
        <v>159</v>
      </c>
      <c r="C141" s="41" t="s">
        <v>160</v>
      </c>
      <c r="D141" s="1" t="s">
        <v>38</v>
      </c>
      <c r="E141" s="26" t="s">
        <v>39</v>
      </c>
      <c r="F141" s="27">
        <v>0.81300813008130079</v>
      </c>
      <c r="G141" s="33">
        <v>1</v>
      </c>
      <c r="R141" s="55" t="s">
        <v>161</v>
      </c>
      <c r="S141" s="26" t="s">
        <v>38</v>
      </c>
      <c r="T141" s="26" t="s">
        <v>39</v>
      </c>
      <c r="U141" s="27">
        <v>0.83333333333333337</v>
      </c>
      <c r="V141" s="33">
        <v>1</v>
      </c>
      <c r="AG141" s="31">
        <v>1</v>
      </c>
      <c r="AH141" t="s">
        <v>73</v>
      </c>
    </row>
    <row r="142" spans="1:34">
      <c r="A142" s="15" t="s">
        <v>188</v>
      </c>
      <c r="B142" s="8" t="s">
        <v>159</v>
      </c>
      <c r="C142" s="41" t="s">
        <v>160</v>
      </c>
      <c r="D142" s="1" t="s">
        <v>38</v>
      </c>
      <c r="E142" s="26" t="s">
        <v>39</v>
      </c>
      <c r="F142" s="27">
        <v>0.81300813008130079</v>
      </c>
      <c r="G142" s="33">
        <v>1</v>
      </c>
      <c r="R142" s="55" t="s">
        <v>161</v>
      </c>
      <c r="S142" s="26" t="s">
        <v>38</v>
      </c>
      <c r="T142" s="26" t="s">
        <v>39</v>
      </c>
      <c r="U142" s="27">
        <v>0.83333333333333337</v>
      </c>
      <c r="V142" s="33">
        <v>1</v>
      </c>
      <c r="AG142" s="31">
        <v>1</v>
      </c>
      <c r="AH142" t="s">
        <v>73</v>
      </c>
    </row>
    <row r="143" spans="1:34">
      <c r="A143" s="15" t="s">
        <v>189</v>
      </c>
      <c r="B143" s="8" t="s">
        <v>159</v>
      </c>
      <c r="C143" s="41" t="s">
        <v>160</v>
      </c>
      <c r="D143" s="1" t="s">
        <v>38</v>
      </c>
      <c r="E143" s="26" t="s">
        <v>39</v>
      </c>
      <c r="F143" s="27">
        <v>0.81300813008130079</v>
      </c>
      <c r="G143" s="33">
        <v>1</v>
      </c>
      <c r="R143" s="55" t="s">
        <v>161</v>
      </c>
      <c r="S143" s="26" t="s">
        <v>38</v>
      </c>
      <c r="T143" s="26" t="s">
        <v>39</v>
      </c>
      <c r="U143" s="27">
        <v>0.83333333333333337</v>
      </c>
      <c r="V143" s="33">
        <v>1</v>
      </c>
      <c r="AG143" s="31">
        <v>0</v>
      </c>
      <c r="AH143" t="s">
        <v>44</v>
      </c>
    </row>
    <row r="144" spans="1:34">
      <c r="A144" s="15" t="s">
        <v>190</v>
      </c>
      <c r="B144" s="8" t="s">
        <v>159</v>
      </c>
      <c r="C144" s="41" t="s">
        <v>160</v>
      </c>
      <c r="D144" s="1" t="s">
        <v>38</v>
      </c>
      <c r="E144" s="26" t="s">
        <v>39</v>
      </c>
      <c r="F144" s="27">
        <v>0.81300813008130079</v>
      </c>
      <c r="G144" s="33">
        <v>1</v>
      </c>
      <c r="R144" s="55" t="s">
        <v>161</v>
      </c>
      <c r="S144" s="26" t="s">
        <v>38</v>
      </c>
      <c r="T144" s="26" t="s">
        <v>39</v>
      </c>
      <c r="U144" s="27">
        <v>0.83333333333333337</v>
      </c>
      <c r="V144" s="33">
        <v>1</v>
      </c>
      <c r="AG144" s="31">
        <v>0</v>
      </c>
      <c r="AH144" t="s">
        <v>44</v>
      </c>
    </row>
    <row r="145" spans="1:34">
      <c r="A145" s="15" t="s">
        <v>191</v>
      </c>
      <c r="B145" s="8" t="s">
        <v>159</v>
      </c>
      <c r="C145" s="41" t="s">
        <v>160</v>
      </c>
      <c r="D145" s="1" t="s">
        <v>38</v>
      </c>
      <c r="E145" s="26" t="s">
        <v>39</v>
      </c>
      <c r="F145" s="27">
        <v>0.81300813008130079</v>
      </c>
      <c r="G145" s="33">
        <v>1</v>
      </c>
      <c r="R145" s="55" t="s">
        <v>161</v>
      </c>
      <c r="S145" s="26" t="s">
        <v>38</v>
      </c>
      <c r="T145" s="26" t="s">
        <v>39</v>
      </c>
      <c r="U145" s="27">
        <v>0.83333333333333337</v>
      </c>
      <c r="V145" s="33">
        <v>1</v>
      </c>
      <c r="AG145" s="31">
        <v>0</v>
      </c>
      <c r="AH145" t="s">
        <v>44</v>
      </c>
    </row>
    <row r="146" spans="1:34">
      <c r="A146" s="15" t="s">
        <v>192</v>
      </c>
      <c r="B146" s="8" t="s">
        <v>159</v>
      </c>
      <c r="C146" s="41" t="s">
        <v>160</v>
      </c>
      <c r="D146" s="1" t="s">
        <v>38</v>
      </c>
      <c r="E146" s="26" t="s">
        <v>39</v>
      </c>
      <c r="F146" s="27">
        <v>0.81300813008130079</v>
      </c>
      <c r="G146" s="33">
        <v>1</v>
      </c>
      <c r="R146" s="55" t="s">
        <v>161</v>
      </c>
      <c r="S146" s="26" t="s">
        <v>38</v>
      </c>
      <c r="T146" s="26" t="s">
        <v>39</v>
      </c>
      <c r="U146" s="27">
        <v>0.83333333333333337</v>
      </c>
      <c r="V146" s="33">
        <v>1</v>
      </c>
      <c r="AG146" s="31">
        <v>0</v>
      </c>
      <c r="AH146" t="s">
        <v>44</v>
      </c>
    </row>
    <row r="147" spans="1:34">
      <c r="A147" s="15" t="s">
        <v>193</v>
      </c>
      <c r="B147" s="8" t="s">
        <v>159</v>
      </c>
      <c r="C147" s="41" t="s">
        <v>160</v>
      </c>
      <c r="D147" s="1" t="s">
        <v>38</v>
      </c>
      <c r="E147" s="26" t="s">
        <v>39</v>
      </c>
      <c r="F147" s="27">
        <v>0.81300813008130079</v>
      </c>
      <c r="G147" s="33">
        <v>1</v>
      </c>
      <c r="R147" s="55" t="s">
        <v>161</v>
      </c>
      <c r="S147" s="26" t="s">
        <v>38</v>
      </c>
      <c r="T147" s="26" t="s">
        <v>39</v>
      </c>
      <c r="U147" s="27">
        <v>0.83333333333333337</v>
      </c>
      <c r="V147" s="33">
        <v>1</v>
      </c>
      <c r="AG147" s="31">
        <v>0</v>
      </c>
      <c r="AH147" t="s">
        <v>44</v>
      </c>
    </row>
    <row r="148" spans="1:34">
      <c r="A148" s="15" t="s">
        <v>194</v>
      </c>
      <c r="B148" s="8" t="s">
        <v>159</v>
      </c>
      <c r="C148" s="41" t="s">
        <v>160</v>
      </c>
      <c r="D148" s="1" t="s">
        <v>38</v>
      </c>
      <c r="E148" s="26" t="s">
        <v>39</v>
      </c>
      <c r="F148" s="27">
        <v>0.81300813008130079</v>
      </c>
      <c r="G148" s="33">
        <v>1</v>
      </c>
      <c r="R148" s="55" t="s">
        <v>161</v>
      </c>
      <c r="S148" s="26" t="s">
        <v>38</v>
      </c>
      <c r="T148" s="26" t="s">
        <v>39</v>
      </c>
      <c r="U148" s="27">
        <v>0.83333333333333337</v>
      </c>
      <c r="V148" s="33">
        <v>1</v>
      </c>
      <c r="AG148" s="31">
        <v>0</v>
      </c>
      <c r="AH148" t="s">
        <v>44</v>
      </c>
    </row>
    <row r="149" spans="1:34">
      <c r="A149" s="15" t="s">
        <v>195</v>
      </c>
      <c r="B149" s="8" t="s">
        <v>159</v>
      </c>
      <c r="C149" s="41" t="s">
        <v>160</v>
      </c>
      <c r="D149" s="1" t="s">
        <v>38</v>
      </c>
      <c r="E149" s="26" t="s">
        <v>39</v>
      </c>
      <c r="F149" s="27">
        <v>0.81300813008130079</v>
      </c>
      <c r="G149" s="33">
        <v>1</v>
      </c>
      <c r="R149" s="55" t="s">
        <v>161</v>
      </c>
      <c r="S149" s="26" t="s">
        <v>38</v>
      </c>
      <c r="T149" s="26" t="s">
        <v>39</v>
      </c>
      <c r="U149" s="27">
        <v>0.83333333333333337</v>
      </c>
      <c r="V149" s="33">
        <v>1</v>
      </c>
      <c r="AG149" s="31">
        <v>0</v>
      </c>
      <c r="AH149" t="s">
        <v>44</v>
      </c>
    </row>
    <row r="150" spans="1:34">
      <c r="A150" s="15" t="s">
        <v>196</v>
      </c>
      <c r="B150" s="8" t="s">
        <v>159</v>
      </c>
      <c r="C150" s="41" t="s">
        <v>160</v>
      </c>
      <c r="D150" s="1" t="s">
        <v>38</v>
      </c>
      <c r="E150" s="26" t="s">
        <v>39</v>
      </c>
      <c r="F150" s="27">
        <v>0.81300813008130079</v>
      </c>
      <c r="G150" s="33">
        <v>1</v>
      </c>
      <c r="R150" s="55" t="s">
        <v>161</v>
      </c>
      <c r="S150" s="26" t="s">
        <v>38</v>
      </c>
      <c r="T150" s="26" t="s">
        <v>39</v>
      </c>
      <c r="U150" s="27">
        <v>0.83333333333333337</v>
      </c>
      <c r="V150" s="33">
        <v>1</v>
      </c>
      <c r="AG150" s="31">
        <v>0</v>
      </c>
      <c r="AH150" t="s">
        <v>44</v>
      </c>
    </row>
    <row r="151" spans="1:34">
      <c r="A151" s="15" t="s">
        <v>197</v>
      </c>
      <c r="B151" s="8" t="s">
        <v>159</v>
      </c>
      <c r="C151" s="41" t="s">
        <v>160</v>
      </c>
      <c r="D151" s="1" t="s">
        <v>38</v>
      </c>
      <c r="E151" s="26" t="s">
        <v>39</v>
      </c>
      <c r="F151" s="27">
        <v>0.81300813008130079</v>
      </c>
      <c r="G151" s="33">
        <v>1</v>
      </c>
      <c r="R151" s="55" t="s">
        <v>161</v>
      </c>
      <c r="S151" s="26" t="s">
        <v>38</v>
      </c>
      <c r="T151" s="26" t="s">
        <v>39</v>
      </c>
      <c r="U151" s="27">
        <v>0.83333333333333337</v>
      </c>
      <c r="V151" s="33">
        <v>1</v>
      </c>
      <c r="AG151" s="31">
        <v>0</v>
      </c>
      <c r="AH151" t="s">
        <v>44</v>
      </c>
    </row>
    <row r="152" spans="1:34">
      <c r="A152" s="15" t="s">
        <v>198</v>
      </c>
      <c r="B152" s="8" t="s">
        <v>159</v>
      </c>
      <c r="C152" s="41" t="s">
        <v>160</v>
      </c>
      <c r="D152" s="1" t="s">
        <v>38</v>
      </c>
      <c r="E152" s="26" t="s">
        <v>39</v>
      </c>
      <c r="F152" s="27">
        <v>0.81300813008130079</v>
      </c>
      <c r="G152" s="33">
        <v>1</v>
      </c>
      <c r="R152" s="55" t="s">
        <v>161</v>
      </c>
      <c r="S152" s="26" t="s">
        <v>38</v>
      </c>
      <c r="T152" s="26" t="s">
        <v>39</v>
      </c>
      <c r="U152" s="27">
        <v>0.83333333333333337</v>
      </c>
      <c r="V152" s="33">
        <v>1</v>
      </c>
      <c r="AG152" s="31">
        <v>0</v>
      </c>
      <c r="AH152" t="s">
        <v>44</v>
      </c>
    </row>
    <row r="153" spans="1:34">
      <c r="A153" s="15" t="s">
        <v>199</v>
      </c>
      <c r="B153" s="8" t="s">
        <v>159</v>
      </c>
      <c r="C153" s="41" t="s">
        <v>160</v>
      </c>
      <c r="D153" s="1" t="s">
        <v>38</v>
      </c>
      <c r="E153" s="26" t="s">
        <v>39</v>
      </c>
      <c r="F153" s="27">
        <v>0.81300813008130079</v>
      </c>
      <c r="G153" s="33">
        <v>1</v>
      </c>
      <c r="R153" s="55" t="s">
        <v>161</v>
      </c>
      <c r="S153" s="26" t="s">
        <v>38</v>
      </c>
      <c r="T153" s="26" t="s">
        <v>39</v>
      </c>
      <c r="U153" s="27">
        <v>0.83333333333333337</v>
      </c>
      <c r="V153" s="33">
        <v>1</v>
      </c>
      <c r="AG153" s="31">
        <v>0</v>
      </c>
      <c r="AH153" t="s">
        <v>44</v>
      </c>
    </row>
    <row r="154" spans="1:34">
      <c r="A154" s="15" t="s">
        <v>200</v>
      </c>
      <c r="B154" s="8" t="s">
        <v>159</v>
      </c>
      <c r="C154" s="41" t="s">
        <v>160</v>
      </c>
      <c r="D154" s="1" t="s">
        <v>38</v>
      </c>
      <c r="E154" s="26" t="s">
        <v>39</v>
      </c>
      <c r="F154" s="27">
        <v>0.81300813008130079</v>
      </c>
      <c r="G154" s="33">
        <v>1</v>
      </c>
      <c r="R154" s="55" t="s">
        <v>161</v>
      </c>
      <c r="S154" s="26" t="s">
        <v>38</v>
      </c>
      <c r="T154" s="26" t="s">
        <v>39</v>
      </c>
      <c r="U154" s="27">
        <v>0.83333333333333337</v>
      </c>
      <c r="V154" s="33">
        <v>1</v>
      </c>
      <c r="AG154" s="31">
        <v>0</v>
      </c>
      <c r="AH154" t="s">
        <v>44</v>
      </c>
    </row>
    <row r="155" spans="1:34">
      <c r="A155" s="15" t="s">
        <v>201</v>
      </c>
      <c r="B155" s="8" t="s">
        <v>159</v>
      </c>
      <c r="C155" s="41" t="s">
        <v>160</v>
      </c>
      <c r="D155" s="1" t="s">
        <v>38</v>
      </c>
      <c r="E155" s="26" t="s">
        <v>39</v>
      </c>
      <c r="F155" s="27">
        <v>0.81300813008130079</v>
      </c>
      <c r="G155" s="33">
        <v>1</v>
      </c>
      <c r="R155" s="55" t="s">
        <v>161</v>
      </c>
      <c r="S155" s="26" t="s">
        <v>38</v>
      </c>
      <c r="T155" s="26" t="s">
        <v>39</v>
      </c>
      <c r="U155" s="27">
        <v>0.83333333333333337</v>
      </c>
      <c r="V155" s="33">
        <v>1</v>
      </c>
      <c r="AG155" s="31">
        <v>0</v>
      </c>
      <c r="AH155" t="s">
        <v>44</v>
      </c>
    </row>
    <row r="156" spans="1:34">
      <c r="A156" s="15" t="s">
        <v>202</v>
      </c>
      <c r="B156" s="8" t="s">
        <v>159</v>
      </c>
      <c r="C156" s="41" t="s">
        <v>160</v>
      </c>
      <c r="D156" s="1" t="s">
        <v>38</v>
      </c>
      <c r="E156" s="26" t="s">
        <v>39</v>
      </c>
      <c r="F156" s="27">
        <v>0.81300813008130079</v>
      </c>
      <c r="G156" s="33">
        <v>1</v>
      </c>
      <c r="R156" s="55" t="s">
        <v>161</v>
      </c>
      <c r="S156" s="26" t="s">
        <v>38</v>
      </c>
      <c r="T156" s="26" t="s">
        <v>39</v>
      </c>
      <c r="U156" s="27">
        <v>0.83333333333333337</v>
      </c>
      <c r="V156" s="33">
        <v>1</v>
      </c>
      <c r="AG156" s="31">
        <v>0</v>
      </c>
      <c r="AH156" t="s">
        <v>44</v>
      </c>
    </row>
    <row r="157" spans="1:34">
      <c r="A157" s="15" t="s">
        <v>203</v>
      </c>
      <c r="B157" s="8" t="s">
        <v>159</v>
      </c>
      <c r="C157" s="41" t="s">
        <v>160</v>
      </c>
      <c r="D157" s="1" t="s">
        <v>38</v>
      </c>
      <c r="E157" s="26" t="s">
        <v>39</v>
      </c>
      <c r="F157" s="27">
        <v>0.81300813008130079</v>
      </c>
      <c r="G157" s="33">
        <v>1</v>
      </c>
      <c r="R157" s="55" t="s">
        <v>161</v>
      </c>
      <c r="S157" s="26" t="s">
        <v>38</v>
      </c>
      <c r="T157" s="26" t="s">
        <v>39</v>
      </c>
      <c r="U157" s="27">
        <v>0.83333333333333337</v>
      </c>
      <c r="V157" s="33">
        <v>1</v>
      </c>
      <c r="AG157" s="31">
        <v>0</v>
      </c>
      <c r="AH157" t="s">
        <v>44</v>
      </c>
    </row>
    <row r="158" spans="1:34">
      <c r="A158" s="15" t="s">
        <v>204</v>
      </c>
      <c r="B158" s="8" t="s">
        <v>159</v>
      </c>
      <c r="C158" s="41" t="s">
        <v>160</v>
      </c>
      <c r="D158" s="1" t="s">
        <v>38</v>
      </c>
      <c r="E158" s="26" t="s">
        <v>39</v>
      </c>
      <c r="F158" s="27">
        <v>0.81300813008130079</v>
      </c>
      <c r="G158" s="33">
        <v>1</v>
      </c>
      <c r="R158" s="55" t="s">
        <v>161</v>
      </c>
      <c r="S158" s="26" t="s">
        <v>38</v>
      </c>
      <c r="T158" s="26" t="s">
        <v>39</v>
      </c>
      <c r="U158" s="27">
        <v>0.83333333333333337</v>
      </c>
      <c r="V158" s="33">
        <v>1</v>
      </c>
      <c r="AG158" s="31">
        <v>0</v>
      </c>
      <c r="AH158" t="s">
        <v>44</v>
      </c>
    </row>
    <row r="159" spans="1:34">
      <c r="A159" s="15" t="s">
        <v>205</v>
      </c>
      <c r="B159" s="8" t="s">
        <v>159</v>
      </c>
      <c r="C159" s="41" t="s">
        <v>160</v>
      </c>
      <c r="D159" s="1" t="s">
        <v>38</v>
      </c>
      <c r="E159" s="26" t="s">
        <v>39</v>
      </c>
      <c r="F159" s="27">
        <v>0.81300813008130079</v>
      </c>
      <c r="G159" s="33">
        <v>1</v>
      </c>
      <c r="R159" s="55" t="s">
        <v>161</v>
      </c>
      <c r="S159" s="26" t="s">
        <v>38</v>
      </c>
      <c r="T159" s="26" t="s">
        <v>39</v>
      </c>
      <c r="U159" s="27">
        <v>0.83333333333333337</v>
      </c>
      <c r="V159" s="33">
        <v>1</v>
      </c>
      <c r="AG159" s="31">
        <v>0</v>
      </c>
      <c r="AH159" t="s">
        <v>44</v>
      </c>
    </row>
    <row r="160" spans="1:34">
      <c r="A160" s="15" t="s">
        <v>206</v>
      </c>
      <c r="B160" s="8" t="s">
        <v>159</v>
      </c>
      <c r="C160" s="41" t="s">
        <v>160</v>
      </c>
      <c r="D160" s="1" t="s">
        <v>38</v>
      </c>
      <c r="E160" s="26" t="s">
        <v>39</v>
      </c>
      <c r="F160" s="27">
        <v>0.81300813008130079</v>
      </c>
      <c r="G160" s="33">
        <v>1</v>
      </c>
      <c r="R160" s="55" t="s">
        <v>161</v>
      </c>
      <c r="S160" s="26" t="s">
        <v>38</v>
      </c>
      <c r="T160" s="26" t="s">
        <v>39</v>
      </c>
      <c r="U160" s="27">
        <v>0.83333333333333337</v>
      </c>
      <c r="V160" s="33">
        <v>1</v>
      </c>
      <c r="AG160" s="31">
        <v>0</v>
      </c>
      <c r="AH160" t="s">
        <v>44</v>
      </c>
    </row>
    <row r="161" spans="1:34">
      <c r="A161" s="15" t="s">
        <v>207</v>
      </c>
      <c r="B161" s="8" t="s">
        <v>159</v>
      </c>
      <c r="C161" s="41" t="s">
        <v>160</v>
      </c>
      <c r="D161" s="1" t="s">
        <v>38</v>
      </c>
      <c r="E161" s="26" t="s">
        <v>39</v>
      </c>
      <c r="F161" s="27">
        <v>0.81300813008130079</v>
      </c>
      <c r="G161" s="33">
        <v>1</v>
      </c>
      <c r="R161" s="55" t="s">
        <v>161</v>
      </c>
      <c r="S161" s="26" t="s">
        <v>38</v>
      </c>
      <c r="T161" s="26" t="s">
        <v>39</v>
      </c>
      <c r="U161" s="27">
        <v>0.83333333333333337</v>
      </c>
      <c r="V161" s="33">
        <v>1</v>
      </c>
      <c r="AG161" s="31">
        <v>0</v>
      </c>
      <c r="AH161" t="s">
        <v>44</v>
      </c>
    </row>
    <row r="162" spans="1:34">
      <c r="A162" s="15" t="s">
        <v>208</v>
      </c>
      <c r="B162" s="8" t="s">
        <v>159</v>
      </c>
      <c r="C162" s="41" t="s">
        <v>160</v>
      </c>
      <c r="D162" s="1" t="s">
        <v>38</v>
      </c>
      <c r="E162" s="26" t="s">
        <v>39</v>
      </c>
      <c r="F162" s="27">
        <v>0.81300813008130079</v>
      </c>
      <c r="G162" s="33">
        <v>1</v>
      </c>
      <c r="R162" s="55" t="s">
        <v>161</v>
      </c>
      <c r="S162" s="26" t="s">
        <v>38</v>
      </c>
      <c r="T162" s="26" t="s">
        <v>39</v>
      </c>
      <c r="U162" s="27">
        <v>0.83333333333333337</v>
      </c>
      <c r="V162" s="33">
        <v>1</v>
      </c>
      <c r="AG162" s="31">
        <v>0</v>
      </c>
      <c r="AH162" t="s">
        <v>44</v>
      </c>
    </row>
    <row r="163" spans="1:34">
      <c r="A163" s="16" t="s">
        <v>209</v>
      </c>
      <c r="B163" s="8" t="s">
        <v>159</v>
      </c>
      <c r="C163" s="41" t="s">
        <v>160</v>
      </c>
      <c r="D163" s="1" t="s">
        <v>38</v>
      </c>
      <c r="E163" s="26" t="s">
        <v>39</v>
      </c>
      <c r="F163" s="27">
        <v>0.81300813008130079</v>
      </c>
      <c r="G163" s="33">
        <v>1</v>
      </c>
      <c r="R163" s="55" t="s">
        <v>161</v>
      </c>
      <c r="S163" s="26" t="s">
        <v>38</v>
      </c>
      <c r="T163" s="26" t="s">
        <v>39</v>
      </c>
      <c r="U163" s="27">
        <v>0.83333333333333337</v>
      </c>
      <c r="V163" s="33">
        <v>1</v>
      </c>
      <c r="AG163" s="31">
        <v>0</v>
      </c>
      <c r="AH163" t="s">
        <v>44</v>
      </c>
    </row>
    <row r="164" spans="1:34" s="6" customFormat="1">
      <c r="A164" s="15" t="s">
        <v>210</v>
      </c>
      <c r="B164" s="9" t="s">
        <v>211</v>
      </c>
      <c r="C164" s="45" t="s">
        <v>212</v>
      </c>
      <c r="D164" s="46" t="s">
        <v>41</v>
      </c>
      <c r="E164" s="47" t="s">
        <v>39</v>
      </c>
      <c r="F164" s="48">
        <v>1</v>
      </c>
      <c r="G164" s="49">
        <v>1</v>
      </c>
      <c r="H164" s="45"/>
      <c r="I164" s="46"/>
      <c r="J164" s="47"/>
      <c r="K164" s="48"/>
      <c r="L164" s="48"/>
      <c r="M164" s="72"/>
      <c r="N164" s="46"/>
      <c r="O164" s="47"/>
      <c r="P164" s="48"/>
      <c r="Q164" s="49"/>
      <c r="R164" s="54" t="s">
        <v>212</v>
      </c>
      <c r="S164" s="47" t="s">
        <v>41</v>
      </c>
      <c r="T164" s="47" t="s">
        <v>39</v>
      </c>
      <c r="U164" s="48">
        <v>0.80645161290322587</v>
      </c>
      <c r="V164" s="49">
        <v>1</v>
      </c>
      <c r="W164" s="28"/>
      <c r="X164" s="28"/>
      <c r="Y164" s="28"/>
      <c r="Z164" s="29"/>
      <c r="AA164" s="28"/>
      <c r="AB164" s="74"/>
      <c r="AC164" s="28"/>
      <c r="AD164" s="28"/>
      <c r="AE164" s="28"/>
      <c r="AF164" s="39"/>
      <c r="AG164" s="29">
        <v>1</v>
      </c>
      <c r="AH164" s="6" t="s">
        <v>73</v>
      </c>
    </row>
    <row r="165" spans="1:34">
      <c r="A165" s="15" t="s">
        <v>213</v>
      </c>
      <c r="B165" s="8" t="s">
        <v>211</v>
      </c>
      <c r="C165" s="41" t="s">
        <v>212</v>
      </c>
      <c r="D165" s="1" t="s">
        <v>41</v>
      </c>
      <c r="E165" s="26" t="s">
        <v>39</v>
      </c>
      <c r="F165" s="27">
        <v>1</v>
      </c>
      <c r="G165" s="33">
        <v>1</v>
      </c>
      <c r="H165" s="41"/>
      <c r="I165" s="1"/>
      <c r="J165" s="26"/>
      <c r="K165" s="27"/>
      <c r="L165" s="27"/>
      <c r="M165" s="70"/>
      <c r="N165" s="1"/>
      <c r="O165" s="26"/>
      <c r="P165" s="27"/>
      <c r="Q165" s="33"/>
      <c r="R165" s="55" t="s">
        <v>212</v>
      </c>
      <c r="S165" s="26" t="s">
        <v>41</v>
      </c>
      <c r="T165" s="26" t="s">
        <v>39</v>
      </c>
      <c r="U165" s="27">
        <v>0.80645161290322587</v>
      </c>
      <c r="V165" s="33">
        <v>1</v>
      </c>
      <c r="AG165" s="31">
        <v>1</v>
      </c>
      <c r="AH165" t="s">
        <v>73</v>
      </c>
    </row>
    <row r="166" spans="1:34">
      <c r="A166" s="15" t="s">
        <v>214</v>
      </c>
      <c r="B166" s="8" t="s">
        <v>211</v>
      </c>
      <c r="C166" s="41" t="s">
        <v>212</v>
      </c>
      <c r="D166" s="1" t="s">
        <v>41</v>
      </c>
      <c r="E166" s="26" t="s">
        <v>39</v>
      </c>
      <c r="F166" s="27">
        <v>1</v>
      </c>
      <c r="G166" s="33">
        <v>1</v>
      </c>
      <c r="H166" s="41"/>
      <c r="I166" s="1"/>
      <c r="J166" s="26"/>
      <c r="K166" s="27"/>
      <c r="L166" s="27"/>
      <c r="M166" s="70"/>
      <c r="N166" s="1"/>
      <c r="O166" s="26"/>
      <c r="P166" s="27"/>
      <c r="Q166" s="33"/>
      <c r="R166" s="55" t="s">
        <v>212</v>
      </c>
      <c r="S166" s="26" t="s">
        <v>41</v>
      </c>
      <c r="T166" s="26" t="s">
        <v>39</v>
      </c>
      <c r="U166" s="27">
        <v>0.80645161290322587</v>
      </c>
      <c r="V166" s="33">
        <v>1</v>
      </c>
      <c r="AG166" s="31">
        <v>1</v>
      </c>
      <c r="AH166" t="s">
        <v>73</v>
      </c>
    </row>
    <row r="167" spans="1:34">
      <c r="A167" s="15" t="s">
        <v>215</v>
      </c>
      <c r="B167" s="8" t="s">
        <v>211</v>
      </c>
      <c r="C167" s="41" t="s">
        <v>212</v>
      </c>
      <c r="D167" s="1" t="s">
        <v>41</v>
      </c>
      <c r="E167" s="26" t="s">
        <v>39</v>
      </c>
      <c r="F167" s="27">
        <v>1</v>
      </c>
      <c r="G167" s="33">
        <v>1</v>
      </c>
      <c r="H167" s="41"/>
      <c r="I167" s="1"/>
      <c r="J167" s="26"/>
      <c r="K167" s="27"/>
      <c r="L167" s="27"/>
      <c r="M167" s="70"/>
      <c r="N167" s="1"/>
      <c r="O167" s="26"/>
      <c r="P167" s="27"/>
      <c r="Q167" s="33"/>
      <c r="R167" s="55" t="s">
        <v>212</v>
      </c>
      <c r="S167" s="26" t="s">
        <v>41</v>
      </c>
      <c r="T167" s="26" t="s">
        <v>39</v>
      </c>
      <c r="U167" s="27">
        <v>0.80645161290322587</v>
      </c>
      <c r="V167" s="33">
        <v>1</v>
      </c>
      <c r="AG167" s="31">
        <v>1</v>
      </c>
      <c r="AH167" t="s">
        <v>73</v>
      </c>
    </row>
    <row r="168" spans="1:34">
      <c r="A168" s="15" t="s">
        <v>216</v>
      </c>
      <c r="B168" s="8" t="s">
        <v>211</v>
      </c>
      <c r="C168" s="41" t="s">
        <v>212</v>
      </c>
      <c r="D168" s="1" t="s">
        <v>41</v>
      </c>
      <c r="E168" s="26" t="s">
        <v>39</v>
      </c>
      <c r="F168" s="27">
        <v>1</v>
      </c>
      <c r="G168" s="33">
        <v>1</v>
      </c>
      <c r="H168" s="41"/>
      <c r="I168" s="1"/>
      <c r="J168" s="26"/>
      <c r="K168" s="27"/>
      <c r="L168" s="27"/>
      <c r="M168" s="70"/>
      <c r="N168" s="1"/>
      <c r="O168" s="26"/>
      <c r="P168" s="27"/>
      <c r="Q168" s="33"/>
      <c r="R168" s="55" t="s">
        <v>212</v>
      </c>
      <c r="S168" s="26" t="s">
        <v>41</v>
      </c>
      <c r="T168" s="26" t="s">
        <v>39</v>
      </c>
      <c r="U168" s="27">
        <v>0.80645161290322587</v>
      </c>
      <c r="V168" s="33">
        <v>1</v>
      </c>
      <c r="AG168" s="31">
        <v>1</v>
      </c>
      <c r="AH168" t="s">
        <v>73</v>
      </c>
    </row>
    <row r="169" spans="1:34">
      <c r="A169" s="15" t="s">
        <v>217</v>
      </c>
      <c r="B169" s="8" t="s">
        <v>211</v>
      </c>
      <c r="C169" s="41" t="s">
        <v>212</v>
      </c>
      <c r="D169" s="1" t="s">
        <v>41</v>
      </c>
      <c r="E169" s="26" t="s">
        <v>39</v>
      </c>
      <c r="F169" s="27">
        <v>1</v>
      </c>
      <c r="G169" s="33">
        <v>1</v>
      </c>
      <c r="H169" s="41"/>
      <c r="I169" s="1"/>
      <c r="J169" s="26"/>
      <c r="K169" s="27"/>
      <c r="L169" s="27"/>
      <c r="M169" s="70"/>
      <c r="N169" s="1"/>
      <c r="O169" s="26"/>
      <c r="P169" s="27"/>
      <c r="Q169" s="33"/>
      <c r="R169" s="55" t="s">
        <v>212</v>
      </c>
      <c r="S169" s="26" t="s">
        <v>41</v>
      </c>
      <c r="T169" s="26" t="s">
        <v>39</v>
      </c>
      <c r="U169" s="27">
        <v>0.80645161290322587</v>
      </c>
      <c r="V169" s="33">
        <v>1</v>
      </c>
      <c r="AG169" s="31">
        <v>1</v>
      </c>
      <c r="AH169" t="s">
        <v>73</v>
      </c>
    </row>
    <row r="170" spans="1:34">
      <c r="A170" s="15" t="s">
        <v>218</v>
      </c>
      <c r="B170" s="8" t="s">
        <v>211</v>
      </c>
      <c r="C170" s="41" t="s">
        <v>212</v>
      </c>
      <c r="D170" s="1" t="s">
        <v>41</v>
      </c>
      <c r="E170" s="26" t="s">
        <v>39</v>
      </c>
      <c r="F170" s="27">
        <v>1</v>
      </c>
      <c r="G170" s="33">
        <v>1</v>
      </c>
      <c r="H170" s="41"/>
      <c r="I170" s="1"/>
      <c r="J170" s="26"/>
      <c r="K170" s="27"/>
      <c r="L170" s="27"/>
      <c r="M170" s="70"/>
      <c r="N170" s="1"/>
      <c r="O170" s="26"/>
      <c r="P170" s="27"/>
      <c r="Q170" s="33"/>
      <c r="R170" s="55" t="s">
        <v>212</v>
      </c>
      <c r="S170" s="26" t="s">
        <v>41</v>
      </c>
      <c r="T170" s="26" t="s">
        <v>39</v>
      </c>
      <c r="U170" s="27">
        <v>0.80645161290322587</v>
      </c>
      <c r="V170" s="33">
        <v>1</v>
      </c>
      <c r="AG170" s="31">
        <v>1</v>
      </c>
      <c r="AH170" t="s">
        <v>73</v>
      </c>
    </row>
    <row r="171" spans="1:34">
      <c r="A171" s="15" t="s">
        <v>219</v>
      </c>
      <c r="B171" s="8" t="s">
        <v>211</v>
      </c>
      <c r="C171" s="41" t="s">
        <v>212</v>
      </c>
      <c r="D171" s="1" t="s">
        <v>41</v>
      </c>
      <c r="E171" s="26" t="s">
        <v>39</v>
      </c>
      <c r="F171" s="27">
        <v>1</v>
      </c>
      <c r="G171" s="33">
        <v>1</v>
      </c>
      <c r="H171" s="41"/>
      <c r="I171" s="1"/>
      <c r="J171" s="26"/>
      <c r="K171" s="27"/>
      <c r="L171" s="27"/>
      <c r="M171" s="70"/>
      <c r="N171" s="1"/>
      <c r="O171" s="26"/>
      <c r="P171" s="27"/>
      <c r="Q171" s="33"/>
      <c r="R171" s="55" t="s">
        <v>212</v>
      </c>
      <c r="S171" s="26" t="s">
        <v>41</v>
      </c>
      <c r="T171" s="26" t="s">
        <v>39</v>
      </c>
      <c r="U171" s="27">
        <v>0.80645161290322587</v>
      </c>
      <c r="V171" s="33">
        <v>1</v>
      </c>
      <c r="AG171" s="31">
        <v>1</v>
      </c>
      <c r="AH171" t="s">
        <v>73</v>
      </c>
    </row>
    <row r="172" spans="1:34">
      <c r="A172" s="15" t="s">
        <v>220</v>
      </c>
      <c r="B172" s="8" t="s">
        <v>211</v>
      </c>
      <c r="C172" s="41" t="s">
        <v>212</v>
      </c>
      <c r="D172" s="1" t="s">
        <v>41</v>
      </c>
      <c r="E172" s="26" t="s">
        <v>39</v>
      </c>
      <c r="F172" s="27">
        <v>1</v>
      </c>
      <c r="G172" s="33">
        <v>1</v>
      </c>
      <c r="H172" s="41"/>
      <c r="I172" s="1"/>
      <c r="J172" s="26"/>
      <c r="K172" s="27"/>
      <c r="L172" s="27"/>
      <c r="M172" s="70"/>
      <c r="N172" s="1"/>
      <c r="O172" s="26"/>
      <c r="P172" s="27"/>
      <c r="Q172" s="33"/>
      <c r="R172" s="55" t="s">
        <v>212</v>
      </c>
      <c r="S172" s="26" t="s">
        <v>41</v>
      </c>
      <c r="T172" s="26" t="s">
        <v>39</v>
      </c>
      <c r="U172" s="27">
        <v>0.80645161290322587</v>
      </c>
      <c r="V172" s="33">
        <v>1</v>
      </c>
      <c r="AG172" s="31">
        <v>1</v>
      </c>
      <c r="AH172" t="s">
        <v>73</v>
      </c>
    </row>
    <row r="173" spans="1:34">
      <c r="A173" s="15" t="s">
        <v>221</v>
      </c>
      <c r="B173" s="8" t="s">
        <v>211</v>
      </c>
      <c r="C173" s="41" t="s">
        <v>212</v>
      </c>
      <c r="D173" s="1" t="s">
        <v>41</v>
      </c>
      <c r="E173" s="26" t="s">
        <v>39</v>
      </c>
      <c r="F173" s="27">
        <v>1</v>
      </c>
      <c r="G173" s="33">
        <v>1</v>
      </c>
      <c r="H173" s="41"/>
      <c r="I173" s="1"/>
      <c r="J173" s="26"/>
      <c r="K173" s="27"/>
      <c r="L173" s="27"/>
      <c r="M173" s="70"/>
      <c r="N173" s="1"/>
      <c r="O173" s="26"/>
      <c r="P173" s="27"/>
      <c r="Q173" s="33"/>
      <c r="R173" s="55" t="s">
        <v>212</v>
      </c>
      <c r="S173" s="26" t="s">
        <v>41</v>
      </c>
      <c r="T173" s="26" t="s">
        <v>39</v>
      </c>
      <c r="U173" s="27">
        <v>0.80645161290322587</v>
      </c>
      <c r="V173" s="33">
        <v>1</v>
      </c>
      <c r="AG173" s="31">
        <v>1</v>
      </c>
      <c r="AH173" t="s">
        <v>73</v>
      </c>
    </row>
    <row r="174" spans="1:34">
      <c r="A174" s="15" t="s">
        <v>222</v>
      </c>
      <c r="B174" s="8" t="s">
        <v>211</v>
      </c>
      <c r="C174" s="41" t="s">
        <v>212</v>
      </c>
      <c r="D174" s="1" t="s">
        <v>41</v>
      </c>
      <c r="E174" s="26" t="s">
        <v>39</v>
      </c>
      <c r="F174" s="27">
        <v>1</v>
      </c>
      <c r="G174" s="33">
        <v>1</v>
      </c>
      <c r="H174" s="41"/>
      <c r="I174" s="1"/>
      <c r="J174" s="26"/>
      <c r="K174" s="27"/>
      <c r="L174" s="27"/>
      <c r="M174" s="70"/>
      <c r="N174" s="1"/>
      <c r="O174" s="26"/>
      <c r="P174" s="27"/>
      <c r="Q174" s="33"/>
      <c r="R174" s="55" t="s">
        <v>212</v>
      </c>
      <c r="S174" s="26" t="s">
        <v>41</v>
      </c>
      <c r="T174" s="26" t="s">
        <v>39</v>
      </c>
      <c r="U174" s="27">
        <v>0.80645161290322587</v>
      </c>
      <c r="V174" s="33">
        <v>1</v>
      </c>
      <c r="AG174" s="31">
        <v>1</v>
      </c>
      <c r="AH174" t="s">
        <v>73</v>
      </c>
    </row>
    <row r="175" spans="1:34">
      <c r="A175" s="15" t="s">
        <v>223</v>
      </c>
      <c r="B175" s="8" t="s">
        <v>211</v>
      </c>
      <c r="C175" s="41" t="s">
        <v>212</v>
      </c>
      <c r="D175" s="1" t="s">
        <v>41</v>
      </c>
      <c r="E175" s="26" t="s">
        <v>39</v>
      </c>
      <c r="F175" s="27">
        <v>1</v>
      </c>
      <c r="G175" s="33">
        <v>1</v>
      </c>
      <c r="H175" s="41"/>
      <c r="I175" s="1"/>
      <c r="J175" s="26"/>
      <c r="K175" s="27"/>
      <c r="L175" s="27"/>
      <c r="M175" s="70"/>
      <c r="N175" s="1"/>
      <c r="O175" s="26"/>
      <c r="P175" s="27"/>
      <c r="Q175" s="33"/>
      <c r="R175" s="55" t="s">
        <v>212</v>
      </c>
      <c r="S175" s="26" t="s">
        <v>41</v>
      </c>
      <c r="T175" s="26" t="s">
        <v>39</v>
      </c>
      <c r="U175" s="27">
        <v>0.80645161290322587</v>
      </c>
      <c r="V175" s="33">
        <v>1</v>
      </c>
      <c r="AG175" s="31">
        <v>1</v>
      </c>
      <c r="AH175" t="s">
        <v>73</v>
      </c>
    </row>
    <row r="176" spans="1:34">
      <c r="A176" s="15" t="s">
        <v>224</v>
      </c>
      <c r="B176" s="8" t="s">
        <v>211</v>
      </c>
      <c r="C176" s="41" t="s">
        <v>212</v>
      </c>
      <c r="D176" s="1" t="s">
        <v>41</v>
      </c>
      <c r="E176" s="26" t="s">
        <v>39</v>
      </c>
      <c r="F176" s="27">
        <v>1</v>
      </c>
      <c r="G176" s="33">
        <v>1</v>
      </c>
      <c r="H176" s="41"/>
      <c r="I176" s="1"/>
      <c r="J176" s="26"/>
      <c r="K176" s="27"/>
      <c r="L176" s="27"/>
      <c r="M176" s="70"/>
      <c r="N176" s="1"/>
      <c r="O176" s="26"/>
      <c r="P176" s="27"/>
      <c r="Q176" s="33"/>
      <c r="R176" s="55" t="s">
        <v>212</v>
      </c>
      <c r="S176" s="26" t="s">
        <v>41</v>
      </c>
      <c r="T176" s="26" t="s">
        <v>39</v>
      </c>
      <c r="U176" s="27">
        <v>0.80645161290322587</v>
      </c>
      <c r="V176" s="33">
        <v>1</v>
      </c>
      <c r="AG176" s="31">
        <v>1</v>
      </c>
      <c r="AH176" t="s">
        <v>73</v>
      </c>
    </row>
    <row r="177" spans="1:34">
      <c r="A177" s="15" t="s">
        <v>225</v>
      </c>
      <c r="B177" s="8" t="s">
        <v>211</v>
      </c>
      <c r="C177" s="41" t="s">
        <v>212</v>
      </c>
      <c r="D177" s="1" t="s">
        <v>41</v>
      </c>
      <c r="E177" s="26" t="s">
        <v>39</v>
      </c>
      <c r="F177" s="27">
        <v>1</v>
      </c>
      <c r="G177" s="33">
        <v>1</v>
      </c>
      <c r="H177" s="41"/>
      <c r="I177" s="1"/>
      <c r="J177" s="26"/>
      <c r="K177" s="27"/>
      <c r="L177" s="27"/>
      <c r="M177" s="70"/>
      <c r="N177" s="1"/>
      <c r="O177" s="26"/>
      <c r="P177" s="27"/>
      <c r="Q177" s="33"/>
      <c r="R177" s="55" t="s">
        <v>212</v>
      </c>
      <c r="S177" s="26" t="s">
        <v>41</v>
      </c>
      <c r="T177" s="26" t="s">
        <v>39</v>
      </c>
      <c r="U177" s="27">
        <v>0.80645161290322587</v>
      </c>
      <c r="V177" s="33">
        <v>1</v>
      </c>
      <c r="AG177" s="31">
        <v>1</v>
      </c>
      <c r="AH177" t="s">
        <v>73</v>
      </c>
    </row>
    <row r="178" spans="1:34">
      <c r="A178" s="15" t="s">
        <v>226</v>
      </c>
      <c r="B178" s="8" t="s">
        <v>211</v>
      </c>
      <c r="C178" s="41" t="s">
        <v>37</v>
      </c>
      <c r="D178" s="1" t="s">
        <v>38</v>
      </c>
      <c r="E178" s="26" t="s">
        <v>39</v>
      </c>
      <c r="F178" s="27">
        <v>1</v>
      </c>
      <c r="G178" s="27">
        <v>0.5</v>
      </c>
      <c r="H178" s="41" t="s">
        <v>227</v>
      </c>
      <c r="I178" s="26" t="s">
        <v>41</v>
      </c>
      <c r="J178" s="26" t="s">
        <v>42</v>
      </c>
      <c r="K178" s="27">
        <v>0.94339622641509424</v>
      </c>
      <c r="L178" s="27">
        <v>0.5</v>
      </c>
      <c r="M178" s="70"/>
      <c r="N178" s="26"/>
      <c r="O178" s="26"/>
      <c r="P178" s="27"/>
      <c r="Q178" s="33"/>
      <c r="R178" s="55" t="s">
        <v>212</v>
      </c>
      <c r="S178" s="26" t="s">
        <v>41</v>
      </c>
      <c r="T178" s="26" t="s">
        <v>39</v>
      </c>
      <c r="U178" s="27">
        <v>0.80645161290322587</v>
      </c>
      <c r="V178" s="33">
        <v>1</v>
      </c>
      <c r="AG178" s="31">
        <v>1</v>
      </c>
      <c r="AH178" t="s">
        <v>73</v>
      </c>
    </row>
    <row r="179" spans="1:34">
      <c r="A179" s="15" t="s">
        <v>228</v>
      </c>
      <c r="B179" s="8" t="s">
        <v>211</v>
      </c>
      <c r="C179" s="41" t="s">
        <v>37</v>
      </c>
      <c r="D179" s="1" t="s">
        <v>38</v>
      </c>
      <c r="E179" s="26" t="s">
        <v>39</v>
      </c>
      <c r="F179" s="27">
        <v>1</v>
      </c>
      <c r="G179" s="27">
        <v>0.5</v>
      </c>
      <c r="H179" s="41" t="s">
        <v>227</v>
      </c>
      <c r="I179" s="26" t="s">
        <v>41</v>
      </c>
      <c r="J179" s="26" t="s">
        <v>42</v>
      </c>
      <c r="K179" s="27">
        <v>0.94339622641509424</v>
      </c>
      <c r="L179" s="27">
        <v>0.5</v>
      </c>
      <c r="M179" s="70"/>
      <c r="N179" s="26"/>
      <c r="O179" s="26"/>
      <c r="P179" s="27"/>
      <c r="Q179" s="33"/>
      <c r="R179" s="55" t="s">
        <v>212</v>
      </c>
      <c r="S179" s="26" t="s">
        <v>41</v>
      </c>
      <c r="T179" s="26" t="s">
        <v>39</v>
      </c>
      <c r="U179" s="27">
        <v>0.80645161290322587</v>
      </c>
      <c r="V179" s="33">
        <v>1</v>
      </c>
      <c r="AG179" s="31">
        <v>1</v>
      </c>
      <c r="AH179" t="s">
        <v>73</v>
      </c>
    </row>
    <row r="180" spans="1:34">
      <c r="A180" s="15" t="s">
        <v>229</v>
      </c>
      <c r="B180" s="8" t="s">
        <v>211</v>
      </c>
      <c r="C180" s="41" t="s">
        <v>37</v>
      </c>
      <c r="D180" s="1" t="s">
        <v>38</v>
      </c>
      <c r="E180" s="26" t="s">
        <v>39</v>
      </c>
      <c r="F180" s="27">
        <v>1</v>
      </c>
      <c r="G180" s="27">
        <v>0.5</v>
      </c>
      <c r="H180" s="41" t="s">
        <v>227</v>
      </c>
      <c r="I180" s="26" t="s">
        <v>41</v>
      </c>
      <c r="J180" s="26" t="s">
        <v>42</v>
      </c>
      <c r="K180" s="27">
        <v>0.94339622641509424</v>
      </c>
      <c r="L180" s="27">
        <v>0.5</v>
      </c>
      <c r="M180" s="70"/>
      <c r="N180" s="26"/>
      <c r="O180" s="26"/>
      <c r="P180" s="27"/>
      <c r="Q180" s="33"/>
      <c r="R180" s="55" t="s">
        <v>212</v>
      </c>
      <c r="S180" s="26" t="s">
        <v>41</v>
      </c>
      <c r="T180" s="26" t="s">
        <v>39</v>
      </c>
      <c r="U180" s="27">
        <v>0.80645161290322587</v>
      </c>
      <c r="V180" s="33">
        <v>1</v>
      </c>
      <c r="AG180" s="31">
        <v>1</v>
      </c>
      <c r="AH180" t="s">
        <v>73</v>
      </c>
    </row>
    <row r="181" spans="1:34">
      <c r="A181" s="15" t="s">
        <v>230</v>
      </c>
      <c r="B181" s="8" t="s">
        <v>211</v>
      </c>
      <c r="C181" s="41" t="s">
        <v>37</v>
      </c>
      <c r="D181" s="1" t="s">
        <v>38</v>
      </c>
      <c r="E181" s="26" t="s">
        <v>39</v>
      </c>
      <c r="F181" s="27">
        <v>1</v>
      </c>
      <c r="G181" s="27">
        <v>0.5</v>
      </c>
      <c r="H181" s="41" t="s">
        <v>227</v>
      </c>
      <c r="I181" s="26" t="s">
        <v>41</v>
      </c>
      <c r="J181" s="26" t="s">
        <v>42</v>
      </c>
      <c r="K181" s="27">
        <v>0.94339622641509424</v>
      </c>
      <c r="L181" s="27">
        <v>0.5</v>
      </c>
      <c r="M181" s="70"/>
      <c r="N181" s="26"/>
      <c r="O181" s="26"/>
      <c r="P181" s="27"/>
      <c r="Q181" s="33"/>
      <c r="R181" s="55" t="s">
        <v>212</v>
      </c>
      <c r="S181" s="26" t="s">
        <v>41</v>
      </c>
      <c r="T181" s="26" t="s">
        <v>39</v>
      </c>
      <c r="U181" s="27">
        <v>0.80645161290322587</v>
      </c>
      <c r="V181" s="33">
        <v>1</v>
      </c>
      <c r="AG181" s="31">
        <v>1</v>
      </c>
      <c r="AH181" t="s">
        <v>73</v>
      </c>
    </row>
    <row r="182" spans="1:34">
      <c r="A182" s="15" t="s">
        <v>231</v>
      </c>
      <c r="B182" s="8" t="s">
        <v>211</v>
      </c>
      <c r="C182" s="41" t="s">
        <v>37</v>
      </c>
      <c r="D182" s="1" t="s">
        <v>38</v>
      </c>
      <c r="E182" s="26" t="s">
        <v>39</v>
      </c>
      <c r="F182" s="27">
        <v>1</v>
      </c>
      <c r="G182" s="27">
        <v>0.5</v>
      </c>
      <c r="H182" s="41" t="s">
        <v>227</v>
      </c>
      <c r="I182" s="26" t="s">
        <v>41</v>
      </c>
      <c r="J182" s="26" t="s">
        <v>42</v>
      </c>
      <c r="K182" s="27">
        <v>0.94339622641509424</v>
      </c>
      <c r="L182" s="27">
        <v>0.5</v>
      </c>
      <c r="M182" s="70"/>
      <c r="N182" s="26"/>
      <c r="O182" s="26"/>
      <c r="P182" s="27"/>
      <c r="Q182" s="33"/>
      <c r="R182" s="55" t="s">
        <v>212</v>
      </c>
      <c r="S182" s="26" t="s">
        <v>41</v>
      </c>
      <c r="T182" s="26" t="s">
        <v>39</v>
      </c>
      <c r="U182" s="27">
        <v>0.80645161290322587</v>
      </c>
      <c r="V182" s="33">
        <v>1</v>
      </c>
      <c r="AG182" s="31">
        <v>1</v>
      </c>
      <c r="AH182" t="s">
        <v>73</v>
      </c>
    </row>
    <row r="183" spans="1:34">
      <c r="A183" s="15" t="s">
        <v>232</v>
      </c>
      <c r="B183" s="8" t="s">
        <v>211</v>
      </c>
      <c r="C183" s="41" t="s">
        <v>37</v>
      </c>
      <c r="D183" s="1" t="s">
        <v>38</v>
      </c>
      <c r="E183" s="26" t="s">
        <v>39</v>
      </c>
      <c r="F183" s="27">
        <v>1</v>
      </c>
      <c r="G183" s="27">
        <v>0.5</v>
      </c>
      <c r="H183" s="41" t="s">
        <v>227</v>
      </c>
      <c r="I183" s="26" t="s">
        <v>41</v>
      </c>
      <c r="J183" s="26" t="s">
        <v>42</v>
      </c>
      <c r="K183" s="27">
        <v>0.94339622641509424</v>
      </c>
      <c r="L183" s="27">
        <v>0.5</v>
      </c>
      <c r="M183" s="70"/>
      <c r="N183" s="26"/>
      <c r="O183" s="26"/>
      <c r="P183" s="27"/>
      <c r="Q183" s="33"/>
      <c r="R183" s="55" t="s">
        <v>212</v>
      </c>
      <c r="S183" s="26" t="s">
        <v>41</v>
      </c>
      <c r="T183" s="26" t="s">
        <v>39</v>
      </c>
      <c r="U183" s="27">
        <v>0.80645161290322587</v>
      </c>
      <c r="V183" s="33">
        <v>1</v>
      </c>
      <c r="AG183" s="31">
        <v>1</v>
      </c>
      <c r="AH183" t="s">
        <v>73</v>
      </c>
    </row>
    <row r="184" spans="1:34">
      <c r="A184" s="15" t="s">
        <v>233</v>
      </c>
      <c r="B184" s="8" t="s">
        <v>211</v>
      </c>
      <c r="C184" s="41" t="s">
        <v>37</v>
      </c>
      <c r="D184" s="1" t="s">
        <v>38</v>
      </c>
      <c r="E184" s="26" t="s">
        <v>39</v>
      </c>
      <c r="F184" s="27">
        <v>1</v>
      </c>
      <c r="G184" s="27">
        <v>0.5</v>
      </c>
      <c r="H184" s="41" t="s">
        <v>227</v>
      </c>
      <c r="I184" s="26" t="s">
        <v>41</v>
      </c>
      <c r="J184" s="26" t="s">
        <v>42</v>
      </c>
      <c r="K184" s="27">
        <v>0.94339622641509424</v>
      </c>
      <c r="L184" s="27">
        <v>0.5</v>
      </c>
      <c r="M184" s="70"/>
      <c r="N184" s="26"/>
      <c r="O184" s="26"/>
      <c r="P184" s="27"/>
      <c r="Q184" s="33"/>
      <c r="R184" s="55" t="s">
        <v>212</v>
      </c>
      <c r="S184" s="26" t="s">
        <v>41</v>
      </c>
      <c r="T184" s="26" t="s">
        <v>39</v>
      </c>
      <c r="U184" s="27">
        <v>0.80645161290322587</v>
      </c>
      <c r="V184" s="33">
        <v>1</v>
      </c>
      <c r="AG184" s="31">
        <v>1</v>
      </c>
      <c r="AH184" t="s">
        <v>73</v>
      </c>
    </row>
    <row r="185" spans="1:34">
      <c r="A185" s="15" t="s">
        <v>234</v>
      </c>
      <c r="B185" s="8" t="s">
        <v>211</v>
      </c>
      <c r="C185" s="41" t="s">
        <v>37</v>
      </c>
      <c r="D185" s="1" t="s">
        <v>38</v>
      </c>
      <c r="E185" s="26" t="s">
        <v>39</v>
      </c>
      <c r="F185" s="27">
        <v>1</v>
      </c>
      <c r="G185" s="27">
        <v>0.5</v>
      </c>
      <c r="H185" s="41" t="s">
        <v>227</v>
      </c>
      <c r="I185" s="26" t="s">
        <v>41</v>
      </c>
      <c r="J185" s="26" t="s">
        <v>42</v>
      </c>
      <c r="K185" s="27">
        <v>0.94339622641509424</v>
      </c>
      <c r="L185" s="27">
        <v>0.5</v>
      </c>
      <c r="M185" s="70"/>
      <c r="N185" s="26"/>
      <c r="O185" s="26"/>
      <c r="P185" s="27"/>
      <c r="Q185" s="33"/>
      <c r="R185" s="55" t="s">
        <v>212</v>
      </c>
      <c r="S185" s="26" t="s">
        <v>41</v>
      </c>
      <c r="T185" s="26" t="s">
        <v>39</v>
      </c>
      <c r="U185" s="27">
        <v>0.80645161290322587</v>
      </c>
      <c r="V185" s="33">
        <v>1</v>
      </c>
      <c r="AG185" s="31">
        <v>1</v>
      </c>
      <c r="AH185" t="s">
        <v>73</v>
      </c>
    </row>
    <row r="186" spans="1:34">
      <c r="A186" s="15" t="s">
        <v>235</v>
      </c>
      <c r="B186" s="8" t="s">
        <v>211</v>
      </c>
      <c r="C186" s="41" t="s">
        <v>37</v>
      </c>
      <c r="D186" s="1" t="s">
        <v>38</v>
      </c>
      <c r="E186" s="26" t="s">
        <v>39</v>
      </c>
      <c r="F186" s="27">
        <v>1</v>
      </c>
      <c r="G186" s="27">
        <v>0.5</v>
      </c>
      <c r="H186" s="41" t="s">
        <v>227</v>
      </c>
      <c r="I186" s="26" t="s">
        <v>41</v>
      </c>
      <c r="J186" s="26" t="s">
        <v>42</v>
      </c>
      <c r="K186" s="27">
        <v>0.94339622641509424</v>
      </c>
      <c r="L186" s="27">
        <v>0.5</v>
      </c>
      <c r="M186" s="70"/>
      <c r="N186" s="26"/>
      <c r="O186" s="26"/>
      <c r="P186" s="27"/>
      <c r="Q186" s="33"/>
      <c r="R186" s="55" t="s">
        <v>212</v>
      </c>
      <c r="S186" s="26" t="s">
        <v>41</v>
      </c>
      <c r="T186" s="26" t="s">
        <v>39</v>
      </c>
      <c r="U186" s="27">
        <v>0.80645161290322587</v>
      </c>
      <c r="V186" s="33">
        <v>1</v>
      </c>
      <c r="AG186" s="31">
        <v>1</v>
      </c>
      <c r="AH186" t="s">
        <v>73</v>
      </c>
    </row>
    <row r="187" spans="1:34">
      <c r="A187" s="15" t="s">
        <v>236</v>
      </c>
      <c r="B187" s="8" t="s">
        <v>211</v>
      </c>
      <c r="C187" s="41" t="s">
        <v>37</v>
      </c>
      <c r="D187" s="1" t="s">
        <v>38</v>
      </c>
      <c r="E187" s="26" t="s">
        <v>39</v>
      </c>
      <c r="F187" s="27">
        <v>1</v>
      </c>
      <c r="G187" s="27">
        <v>0.5</v>
      </c>
      <c r="H187" s="41" t="s">
        <v>227</v>
      </c>
      <c r="I187" s="26" t="s">
        <v>41</v>
      </c>
      <c r="J187" s="26" t="s">
        <v>42</v>
      </c>
      <c r="K187" s="27">
        <v>0.94339622641509424</v>
      </c>
      <c r="L187" s="27">
        <v>0.5</v>
      </c>
      <c r="M187" s="70"/>
      <c r="N187" s="26"/>
      <c r="O187" s="26"/>
      <c r="P187" s="27"/>
      <c r="Q187" s="33"/>
      <c r="R187" s="55" t="s">
        <v>212</v>
      </c>
      <c r="S187" s="26" t="s">
        <v>41</v>
      </c>
      <c r="T187" s="26" t="s">
        <v>39</v>
      </c>
      <c r="U187" s="27">
        <v>0.80645161290322587</v>
      </c>
      <c r="V187" s="33">
        <v>1</v>
      </c>
      <c r="AG187" s="31">
        <v>1</v>
      </c>
      <c r="AH187" t="s">
        <v>73</v>
      </c>
    </row>
    <row r="188" spans="1:34">
      <c r="A188" s="15" t="s">
        <v>237</v>
      </c>
      <c r="B188" s="8" t="s">
        <v>211</v>
      </c>
      <c r="C188" s="41" t="s">
        <v>37</v>
      </c>
      <c r="D188" s="1" t="s">
        <v>38</v>
      </c>
      <c r="E188" s="26" t="s">
        <v>39</v>
      </c>
      <c r="F188" s="27">
        <v>1</v>
      </c>
      <c r="G188" s="27">
        <v>0.5</v>
      </c>
      <c r="H188" s="41" t="s">
        <v>227</v>
      </c>
      <c r="I188" s="26" t="s">
        <v>41</v>
      </c>
      <c r="J188" s="26" t="s">
        <v>42</v>
      </c>
      <c r="K188" s="27">
        <v>0.94339622641509424</v>
      </c>
      <c r="L188" s="27">
        <v>0.5</v>
      </c>
      <c r="M188" s="70"/>
      <c r="N188" s="26"/>
      <c r="O188" s="26"/>
      <c r="P188" s="27"/>
      <c r="Q188" s="33"/>
      <c r="R188" s="55" t="s">
        <v>212</v>
      </c>
      <c r="S188" s="26" t="s">
        <v>41</v>
      </c>
      <c r="T188" s="26" t="s">
        <v>39</v>
      </c>
      <c r="U188" s="27">
        <v>0.80645161290322587</v>
      </c>
      <c r="V188" s="33">
        <v>1</v>
      </c>
      <c r="AG188" s="31">
        <v>1</v>
      </c>
      <c r="AH188" t="s">
        <v>73</v>
      </c>
    </row>
    <row r="189" spans="1:34">
      <c r="A189" s="15" t="s">
        <v>238</v>
      </c>
      <c r="B189" s="8" t="s">
        <v>211</v>
      </c>
      <c r="C189" s="41" t="s">
        <v>37</v>
      </c>
      <c r="D189" s="1" t="s">
        <v>38</v>
      </c>
      <c r="E189" s="26" t="s">
        <v>39</v>
      </c>
      <c r="F189" s="27">
        <v>1</v>
      </c>
      <c r="G189" s="27">
        <v>0.5</v>
      </c>
      <c r="H189" s="41" t="s">
        <v>227</v>
      </c>
      <c r="I189" s="26" t="s">
        <v>41</v>
      </c>
      <c r="J189" s="26" t="s">
        <v>42</v>
      </c>
      <c r="K189" s="27">
        <v>0.94339622641509424</v>
      </c>
      <c r="L189" s="27">
        <v>0.5</v>
      </c>
      <c r="M189" s="70"/>
      <c r="N189" s="26"/>
      <c r="O189" s="26"/>
      <c r="P189" s="27"/>
      <c r="Q189" s="33"/>
      <c r="R189" s="55" t="s">
        <v>212</v>
      </c>
      <c r="S189" s="26" t="s">
        <v>41</v>
      </c>
      <c r="T189" s="26" t="s">
        <v>39</v>
      </c>
      <c r="U189" s="27">
        <v>0.80645161290322587</v>
      </c>
      <c r="V189" s="33">
        <v>1</v>
      </c>
      <c r="AG189" s="31">
        <v>1</v>
      </c>
      <c r="AH189" t="s">
        <v>73</v>
      </c>
    </row>
    <row r="190" spans="1:34">
      <c r="A190" s="15" t="s">
        <v>239</v>
      </c>
      <c r="B190" s="8" t="s">
        <v>211</v>
      </c>
      <c r="C190" s="41" t="s">
        <v>37</v>
      </c>
      <c r="D190" s="1" t="s">
        <v>38</v>
      </c>
      <c r="E190" s="26" t="s">
        <v>39</v>
      </c>
      <c r="F190" s="27">
        <v>1</v>
      </c>
      <c r="G190" s="27">
        <v>0.5</v>
      </c>
      <c r="H190" s="41" t="s">
        <v>227</v>
      </c>
      <c r="I190" s="26" t="s">
        <v>41</v>
      </c>
      <c r="J190" s="26" t="s">
        <v>42</v>
      </c>
      <c r="K190" s="27">
        <v>0.94339622641509424</v>
      </c>
      <c r="L190" s="27">
        <v>0.5</v>
      </c>
      <c r="M190" s="70"/>
      <c r="N190" s="26"/>
      <c r="O190" s="26"/>
      <c r="P190" s="27"/>
      <c r="Q190" s="33"/>
      <c r="R190" s="55" t="s">
        <v>212</v>
      </c>
      <c r="S190" s="26" t="s">
        <v>41</v>
      </c>
      <c r="T190" s="26" t="s">
        <v>39</v>
      </c>
      <c r="U190" s="27">
        <v>0.80645161290322587</v>
      </c>
      <c r="V190" s="33">
        <v>1</v>
      </c>
      <c r="AG190" s="31">
        <v>1</v>
      </c>
      <c r="AH190" t="s">
        <v>73</v>
      </c>
    </row>
    <row r="191" spans="1:34">
      <c r="A191" s="15" t="s">
        <v>240</v>
      </c>
      <c r="B191" s="8" t="s">
        <v>211</v>
      </c>
      <c r="C191" s="41" t="s">
        <v>37</v>
      </c>
      <c r="D191" s="1" t="s">
        <v>38</v>
      </c>
      <c r="E191" s="26" t="s">
        <v>39</v>
      </c>
      <c r="F191" s="27">
        <v>1</v>
      </c>
      <c r="G191" s="27">
        <v>0.5</v>
      </c>
      <c r="H191" s="41" t="s">
        <v>227</v>
      </c>
      <c r="I191" s="26" t="s">
        <v>41</v>
      </c>
      <c r="J191" s="26" t="s">
        <v>42</v>
      </c>
      <c r="K191" s="27">
        <v>0.94339622641509424</v>
      </c>
      <c r="L191" s="27">
        <v>0.5</v>
      </c>
      <c r="M191" s="70"/>
      <c r="N191" s="26"/>
      <c r="O191" s="26"/>
      <c r="P191" s="27"/>
      <c r="Q191" s="33"/>
      <c r="R191" s="55" t="s">
        <v>212</v>
      </c>
      <c r="S191" s="26" t="s">
        <v>41</v>
      </c>
      <c r="T191" s="26" t="s">
        <v>39</v>
      </c>
      <c r="U191" s="27">
        <v>0.80645161290322587</v>
      </c>
      <c r="V191" s="33">
        <v>1</v>
      </c>
      <c r="AG191" s="31">
        <v>1</v>
      </c>
      <c r="AH191" t="s">
        <v>73</v>
      </c>
    </row>
    <row r="192" spans="1:34">
      <c r="A192" s="15" t="s">
        <v>241</v>
      </c>
      <c r="B192" s="8" t="s">
        <v>211</v>
      </c>
      <c r="C192" s="41" t="s">
        <v>37</v>
      </c>
      <c r="D192" s="1" t="s">
        <v>38</v>
      </c>
      <c r="E192" s="26" t="s">
        <v>39</v>
      </c>
      <c r="F192" s="27">
        <v>1</v>
      </c>
      <c r="G192" s="33">
        <v>1</v>
      </c>
      <c r="H192" s="41"/>
      <c r="I192" s="1"/>
      <c r="J192" s="26"/>
      <c r="K192" s="27"/>
      <c r="L192" s="27"/>
      <c r="M192" s="70"/>
      <c r="N192" s="1"/>
      <c r="O192" s="26"/>
      <c r="P192" s="27"/>
      <c r="Q192" s="27"/>
      <c r="R192" s="55" t="s">
        <v>242</v>
      </c>
      <c r="S192" s="26" t="s">
        <v>38</v>
      </c>
      <c r="T192" s="26" t="s">
        <v>39</v>
      </c>
      <c r="U192" s="27">
        <v>0.84745762711864414</v>
      </c>
      <c r="V192" s="33">
        <v>1</v>
      </c>
      <c r="AG192" s="31">
        <v>0</v>
      </c>
      <c r="AH192" t="s">
        <v>44</v>
      </c>
    </row>
    <row r="193" spans="1:34">
      <c r="A193" s="15" t="s">
        <v>243</v>
      </c>
      <c r="B193" s="8" t="s">
        <v>211</v>
      </c>
      <c r="C193" s="41" t="s">
        <v>37</v>
      </c>
      <c r="D193" s="1" t="s">
        <v>38</v>
      </c>
      <c r="E193" s="26" t="s">
        <v>39</v>
      </c>
      <c r="F193" s="27">
        <v>1</v>
      </c>
      <c r="G193" s="33">
        <v>1</v>
      </c>
      <c r="H193" s="41"/>
      <c r="I193" s="1"/>
      <c r="J193" s="26"/>
      <c r="K193" s="27"/>
      <c r="L193" s="27"/>
      <c r="M193" s="70"/>
      <c r="N193" s="1"/>
      <c r="O193" s="26"/>
      <c r="P193" s="27"/>
      <c r="Q193" s="27"/>
      <c r="R193" s="55" t="s">
        <v>242</v>
      </c>
      <c r="S193" s="26" t="s">
        <v>38</v>
      </c>
      <c r="T193" s="26" t="s">
        <v>39</v>
      </c>
      <c r="U193" s="27">
        <v>0.84745762711864414</v>
      </c>
      <c r="V193" s="33">
        <v>1</v>
      </c>
      <c r="AG193" s="31">
        <v>0</v>
      </c>
      <c r="AH193" t="s">
        <v>44</v>
      </c>
    </row>
    <row r="194" spans="1:34">
      <c r="A194" s="15" t="s">
        <v>244</v>
      </c>
      <c r="B194" s="8" t="s">
        <v>211</v>
      </c>
      <c r="C194" s="41" t="s">
        <v>37</v>
      </c>
      <c r="D194" s="1" t="s">
        <v>38</v>
      </c>
      <c r="E194" s="26" t="s">
        <v>39</v>
      </c>
      <c r="F194" s="27">
        <v>1</v>
      </c>
      <c r="G194" s="33">
        <v>1</v>
      </c>
      <c r="H194" s="41"/>
      <c r="I194" s="1"/>
      <c r="J194" s="26"/>
      <c r="K194" s="27"/>
      <c r="L194" s="27"/>
      <c r="M194" s="70"/>
      <c r="N194" s="1"/>
      <c r="O194" s="26"/>
      <c r="P194" s="27"/>
      <c r="Q194" s="27"/>
      <c r="R194" s="55" t="s">
        <v>242</v>
      </c>
      <c r="S194" s="26" t="s">
        <v>38</v>
      </c>
      <c r="T194" s="26" t="s">
        <v>39</v>
      </c>
      <c r="U194" s="27">
        <v>0.84745762711864414</v>
      </c>
      <c r="V194" s="33">
        <v>1</v>
      </c>
      <c r="AG194" s="31">
        <v>0</v>
      </c>
      <c r="AH194" t="s">
        <v>44</v>
      </c>
    </row>
    <row r="195" spans="1:34">
      <c r="A195" s="15" t="s">
        <v>245</v>
      </c>
      <c r="B195" s="8" t="s">
        <v>211</v>
      </c>
      <c r="C195" s="41" t="s">
        <v>37</v>
      </c>
      <c r="D195" s="1" t="s">
        <v>38</v>
      </c>
      <c r="E195" s="26" t="s">
        <v>39</v>
      </c>
      <c r="F195" s="27">
        <v>1</v>
      </c>
      <c r="G195" s="33">
        <v>1</v>
      </c>
      <c r="H195" s="41"/>
      <c r="I195" s="1"/>
      <c r="J195" s="26"/>
      <c r="K195" s="27"/>
      <c r="L195" s="27"/>
      <c r="M195" s="70"/>
      <c r="N195" s="1"/>
      <c r="O195" s="26"/>
      <c r="P195" s="27"/>
      <c r="Q195" s="27"/>
      <c r="R195" s="55" t="s">
        <v>242</v>
      </c>
      <c r="S195" s="26" t="s">
        <v>38</v>
      </c>
      <c r="T195" s="26" t="s">
        <v>39</v>
      </c>
      <c r="U195" s="27">
        <v>0.84745762711864414</v>
      </c>
      <c r="V195" s="33">
        <v>1</v>
      </c>
      <c r="AG195" s="31">
        <v>0</v>
      </c>
      <c r="AH195" t="s">
        <v>44</v>
      </c>
    </row>
    <row r="196" spans="1:34">
      <c r="A196" s="15" t="s">
        <v>246</v>
      </c>
      <c r="B196" s="8" t="s">
        <v>211</v>
      </c>
      <c r="C196" s="41" t="s">
        <v>37</v>
      </c>
      <c r="D196" s="1" t="s">
        <v>38</v>
      </c>
      <c r="E196" s="26" t="s">
        <v>39</v>
      </c>
      <c r="F196" s="27">
        <v>1</v>
      </c>
      <c r="G196" s="33">
        <v>1</v>
      </c>
      <c r="H196" s="41"/>
      <c r="I196" s="1"/>
      <c r="J196" s="26"/>
      <c r="K196" s="27"/>
      <c r="L196" s="27"/>
      <c r="M196" s="70"/>
      <c r="N196" s="1"/>
      <c r="O196" s="26"/>
      <c r="P196" s="27"/>
      <c r="Q196" s="27"/>
      <c r="R196" s="55" t="s">
        <v>242</v>
      </c>
      <c r="S196" s="26" t="s">
        <v>38</v>
      </c>
      <c r="T196" s="26" t="s">
        <v>39</v>
      </c>
      <c r="U196" s="27">
        <v>0.84745762711864414</v>
      </c>
      <c r="V196" s="33">
        <v>1</v>
      </c>
      <c r="AG196" s="31">
        <v>0</v>
      </c>
      <c r="AH196" t="s">
        <v>44</v>
      </c>
    </row>
    <row r="197" spans="1:34">
      <c r="A197" s="15" t="s">
        <v>247</v>
      </c>
      <c r="B197" s="8" t="s">
        <v>211</v>
      </c>
      <c r="C197" s="41" t="s">
        <v>37</v>
      </c>
      <c r="D197" s="1" t="s">
        <v>38</v>
      </c>
      <c r="E197" s="26" t="s">
        <v>39</v>
      </c>
      <c r="F197" s="27">
        <v>1</v>
      </c>
      <c r="G197" s="33">
        <v>1</v>
      </c>
      <c r="H197" s="41"/>
      <c r="I197" s="1"/>
      <c r="J197" s="26"/>
      <c r="K197" s="27"/>
      <c r="L197" s="27"/>
      <c r="M197" s="70"/>
      <c r="N197" s="1"/>
      <c r="O197" s="26"/>
      <c r="P197" s="27"/>
      <c r="Q197" s="27"/>
      <c r="R197" s="55" t="s">
        <v>242</v>
      </c>
      <c r="S197" s="26" t="s">
        <v>38</v>
      </c>
      <c r="T197" s="26" t="s">
        <v>39</v>
      </c>
      <c r="U197" s="27">
        <v>0.84745762711864414</v>
      </c>
      <c r="V197" s="33">
        <v>1</v>
      </c>
      <c r="AG197" s="31">
        <v>0</v>
      </c>
      <c r="AH197" t="s">
        <v>44</v>
      </c>
    </row>
    <row r="198" spans="1:34">
      <c r="A198" s="15" t="s">
        <v>248</v>
      </c>
      <c r="B198" s="8" t="s">
        <v>211</v>
      </c>
      <c r="C198" s="41" t="s">
        <v>37</v>
      </c>
      <c r="D198" s="1" t="s">
        <v>38</v>
      </c>
      <c r="E198" s="26" t="s">
        <v>39</v>
      </c>
      <c r="F198" s="27">
        <v>1</v>
      </c>
      <c r="G198" s="33">
        <v>1</v>
      </c>
      <c r="H198" s="41"/>
      <c r="I198" s="1"/>
      <c r="J198" s="26"/>
      <c r="K198" s="27"/>
      <c r="L198" s="27"/>
      <c r="M198" s="70"/>
      <c r="N198" s="1"/>
      <c r="O198" s="26"/>
      <c r="P198" s="27"/>
      <c r="Q198" s="27"/>
      <c r="R198" s="55" t="s">
        <v>242</v>
      </c>
      <c r="S198" s="26" t="s">
        <v>38</v>
      </c>
      <c r="T198" s="26" t="s">
        <v>39</v>
      </c>
      <c r="U198" s="27">
        <v>0.84745762711864414</v>
      </c>
      <c r="V198" s="33">
        <v>1</v>
      </c>
      <c r="AG198" s="31">
        <v>0</v>
      </c>
      <c r="AH198" t="s">
        <v>44</v>
      </c>
    </row>
    <row r="199" spans="1:34">
      <c r="A199" s="15" t="s">
        <v>249</v>
      </c>
      <c r="B199" s="8" t="s">
        <v>211</v>
      </c>
      <c r="C199" s="41" t="s">
        <v>37</v>
      </c>
      <c r="D199" s="1" t="s">
        <v>38</v>
      </c>
      <c r="E199" s="26" t="s">
        <v>39</v>
      </c>
      <c r="F199" s="27">
        <v>1</v>
      </c>
      <c r="G199" s="33">
        <v>1</v>
      </c>
      <c r="H199" s="41"/>
      <c r="I199" s="1"/>
      <c r="J199" s="26"/>
      <c r="K199" s="27"/>
      <c r="L199" s="27"/>
      <c r="M199" s="70"/>
      <c r="N199" s="1"/>
      <c r="O199" s="26"/>
      <c r="P199" s="27"/>
      <c r="Q199" s="27"/>
      <c r="R199" s="55" t="s">
        <v>242</v>
      </c>
      <c r="S199" s="26" t="s">
        <v>38</v>
      </c>
      <c r="T199" s="26" t="s">
        <v>39</v>
      </c>
      <c r="U199" s="27">
        <v>0.84745762711864414</v>
      </c>
      <c r="V199" s="33">
        <v>1</v>
      </c>
      <c r="AG199" s="31">
        <v>0</v>
      </c>
      <c r="AH199" t="s">
        <v>44</v>
      </c>
    </row>
    <row r="200" spans="1:34">
      <c r="A200" s="15" t="s">
        <v>250</v>
      </c>
      <c r="B200" s="8" t="s">
        <v>211</v>
      </c>
      <c r="C200" s="41" t="s">
        <v>37</v>
      </c>
      <c r="D200" s="1" t="s">
        <v>38</v>
      </c>
      <c r="E200" s="26" t="s">
        <v>39</v>
      </c>
      <c r="F200" s="27">
        <v>1</v>
      </c>
      <c r="G200" s="33">
        <v>1</v>
      </c>
      <c r="H200" s="41"/>
      <c r="I200" s="1"/>
      <c r="J200" s="26"/>
      <c r="K200" s="27"/>
      <c r="L200" s="27"/>
      <c r="M200" s="70"/>
      <c r="N200" s="1"/>
      <c r="O200" s="26"/>
      <c r="P200" s="27"/>
      <c r="Q200" s="27"/>
      <c r="R200" s="55" t="s">
        <v>242</v>
      </c>
      <c r="S200" s="26" t="s">
        <v>38</v>
      </c>
      <c r="T200" s="26" t="s">
        <v>39</v>
      </c>
      <c r="U200" s="27">
        <v>0.84745762711864414</v>
      </c>
      <c r="V200" s="33">
        <v>1</v>
      </c>
      <c r="AG200" s="31">
        <v>0</v>
      </c>
      <c r="AH200" t="s">
        <v>44</v>
      </c>
    </row>
    <row r="201" spans="1:34">
      <c r="A201" s="15" t="s">
        <v>251</v>
      </c>
      <c r="B201" s="8" t="s">
        <v>211</v>
      </c>
      <c r="C201" s="41" t="s">
        <v>37</v>
      </c>
      <c r="D201" s="1" t="s">
        <v>38</v>
      </c>
      <c r="E201" s="26" t="s">
        <v>39</v>
      </c>
      <c r="F201" s="27">
        <v>1</v>
      </c>
      <c r="G201" s="33">
        <v>1</v>
      </c>
      <c r="H201" s="41"/>
      <c r="I201" s="1"/>
      <c r="J201" s="26"/>
      <c r="K201" s="27"/>
      <c r="L201" s="27"/>
      <c r="M201" s="70"/>
      <c r="N201" s="1"/>
      <c r="O201" s="26"/>
      <c r="P201" s="27"/>
      <c r="Q201" s="27"/>
      <c r="R201" s="55" t="s">
        <v>242</v>
      </c>
      <c r="S201" s="26" t="s">
        <v>38</v>
      </c>
      <c r="T201" s="26" t="s">
        <v>39</v>
      </c>
      <c r="U201" s="27">
        <v>0.84745762711864414</v>
      </c>
      <c r="V201" s="33">
        <v>1</v>
      </c>
      <c r="AG201" s="31">
        <v>0</v>
      </c>
      <c r="AH201" t="s">
        <v>44</v>
      </c>
    </row>
    <row r="202" spans="1:34">
      <c r="A202" s="15" t="s">
        <v>252</v>
      </c>
      <c r="B202" s="8" t="s">
        <v>211</v>
      </c>
      <c r="C202" s="41" t="s">
        <v>37</v>
      </c>
      <c r="D202" s="1" t="s">
        <v>38</v>
      </c>
      <c r="E202" s="26" t="s">
        <v>39</v>
      </c>
      <c r="F202" s="27">
        <v>1</v>
      </c>
      <c r="G202" s="33">
        <v>1</v>
      </c>
      <c r="H202" s="41"/>
      <c r="I202" s="1"/>
      <c r="J202" s="26"/>
      <c r="K202" s="27"/>
      <c r="L202" s="27"/>
      <c r="M202" s="70"/>
      <c r="N202" s="1"/>
      <c r="O202" s="26"/>
      <c r="P202" s="27"/>
      <c r="Q202" s="27"/>
      <c r="R202" s="55" t="s">
        <v>242</v>
      </c>
      <c r="S202" s="26" t="s">
        <v>38</v>
      </c>
      <c r="T202" s="26" t="s">
        <v>39</v>
      </c>
      <c r="U202" s="27">
        <v>0.84745762711864414</v>
      </c>
      <c r="V202" s="33">
        <v>1</v>
      </c>
      <c r="AG202" s="31">
        <v>0</v>
      </c>
      <c r="AH202" t="s">
        <v>44</v>
      </c>
    </row>
    <row r="203" spans="1:34">
      <c r="A203" s="15" t="s">
        <v>253</v>
      </c>
      <c r="B203" s="8" t="s">
        <v>211</v>
      </c>
      <c r="C203" s="41" t="s">
        <v>37</v>
      </c>
      <c r="D203" s="1" t="s">
        <v>38</v>
      </c>
      <c r="E203" s="26" t="s">
        <v>39</v>
      </c>
      <c r="F203" s="27">
        <v>1</v>
      </c>
      <c r="G203" s="33">
        <v>1</v>
      </c>
      <c r="H203" s="41"/>
      <c r="I203" s="1"/>
      <c r="J203" s="26"/>
      <c r="K203" s="27"/>
      <c r="L203" s="27"/>
      <c r="M203" s="70"/>
      <c r="N203" s="1"/>
      <c r="O203" s="26"/>
      <c r="P203" s="27"/>
      <c r="Q203" s="27"/>
      <c r="R203" s="55" t="s">
        <v>242</v>
      </c>
      <c r="S203" s="26" t="s">
        <v>38</v>
      </c>
      <c r="T203" s="26" t="s">
        <v>39</v>
      </c>
      <c r="U203" s="27">
        <v>0.84745762711864414</v>
      </c>
      <c r="V203" s="33">
        <v>1</v>
      </c>
      <c r="AG203" s="31">
        <v>0</v>
      </c>
      <c r="AH203" t="s">
        <v>44</v>
      </c>
    </row>
    <row r="204" spans="1:34">
      <c r="A204" s="15" t="s">
        <v>254</v>
      </c>
      <c r="B204" s="8" t="s">
        <v>211</v>
      </c>
      <c r="C204" s="41" t="s">
        <v>37</v>
      </c>
      <c r="D204" s="1" t="s">
        <v>38</v>
      </c>
      <c r="E204" s="26" t="s">
        <v>39</v>
      </c>
      <c r="F204" s="27">
        <v>1</v>
      </c>
      <c r="G204" s="33">
        <v>1</v>
      </c>
      <c r="H204" s="41"/>
      <c r="I204" s="1"/>
      <c r="J204" s="26"/>
      <c r="K204" s="27"/>
      <c r="L204" s="27"/>
      <c r="M204" s="70"/>
      <c r="N204" s="1"/>
      <c r="O204" s="26"/>
      <c r="P204" s="27"/>
      <c r="Q204" s="27"/>
      <c r="R204" s="55" t="s">
        <v>242</v>
      </c>
      <c r="S204" s="26" t="s">
        <v>38</v>
      </c>
      <c r="T204" s="26" t="s">
        <v>39</v>
      </c>
      <c r="U204" s="27">
        <v>0.84745762711864414</v>
      </c>
      <c r="V204" s="33">
        <v>1</v>
      </c>
      <c r="AG204" s="31">
        <v>0</v>
      </c>
      <c r="AH204" t="s">
        <v>44</v>
      </c>
    </row>
    <row r="205" spans="1:34">
      <c r="A205" s="15" t="s">
        <v>255</v>
      </c>
      <c r="B205" s="8" t="s">
        <v>211</v>
      </c>
      <c r="C205" s="41" t="s">
        <v>37</v>
      </c>
      <c r="D205" s="1" t="s">
        <v>38</v>
      </c>
      <c r="E205" s="26" t="s">
        <v>39</v>
      </c>
      <c r="F205" s="27">
        <v>1</v>
      </c>
      <c r="G205" s="33">
        <v>1</v>
      </c>
      <c r="H205" s="41"/>
      <c r="I205" s="1"/>
      <c r="J205" s="26"/>
      <c r="K205" s="27"/>
      <c r="L205" s="27"/>
      <c r="M205" s="70"/>
      <c r="N205" s="1"/>
      <c r="O205" s="26"/>
      <c r="P205" s="27"/>
      <c r="Q205" s="27"/>
      <c r="R205" s="55" t="s">
        <v>242</v>
      </c>
      <c r="S205" s="26" t="s">
        <v>38</v>
      </c>
      <c r="T205" s="26" t="s">
        <v>39</v>
      </c>
      <c r="U205" s="27">
        <v>0.84745762711864414</v>
      </c>
      <c r="V205" s="33">
        <v>1</v>
      </c>
      <c r="AG205" s="31">
        <v>0</v>
      </c>
      <c r="AH205" t="s">
        <v>44</v>
      </c>
    </row>
    <row r="206" spans="1:34">
      <c r="A206" s="15" t="s">
        <v>256</v>
      </c>
      <c r="B206" s="8" t="s">
        <v>211</v>
      </c>
      <c r="C206" s="41" t="s">
        <v>37</v>
      </c>
      <c r="D206" s="1" t="s">
        <v>38</v>
      </c>
      <c r="E206" s="26" t="s">
        <v>39</v>
      </c>
      <c r="F206" s="27">
        <v>1</v>
      </c>
      <c r="G206" s="33">
        <v>1</v>
      </c>
      <c r="H206" s="41"/>
      <c r="I206" s="1"/>
      <c r="J206" s="26"/>
      <c r="K206" s="27"/>
      <c r="L206" s="27"/>
      <c r="M206" s="70"/>
      <c r="N206" s="1"/>
      <c r="O206" s="26"/>
      <c r="P206" s="27"/>
      <c r="Q206" s="27"/>
      <c r="R206" s="55" t="s">
        <v>242</v>
      </c>
      <c r="S206" s="26" t="s">
        <v>38</v>
      </c>
      <c r="T206" s="26" t="s">
        <v>39</v>
      </c>
      <c r="U206" s="27">
        <v>0.84745762711864414</v>
      </c>
      <c r="V206" s="33">
        <v>1</v>
      </c>
      <c r="AG206" s="31">
        <v>1</v>
      </c>
      <c r="AH206" t="s">
        <v>73</v>
      </c>
    </row>
    <row r="207" spans="1:34">
      <c r="A207" s="15" t="s">
        <v>257</v>
      </c>
      <c r="B207" s="8" t="s">
        <v>211</v>
      </c>
      <c r="C207" s="41" t="s">
        <v>37</v>
      </c>
      <c r="D207" s="1" t="s">
        <v>38</v>
      </c>
      <c r="E207" s="26" t="s">
        <v>39</v>
      </c>
      <c r="F207" s="27">
        <v>1</v>
      </c>
      <c r="G207" s="33">
        <v>1</v>
      </c>
      <c r="H207" s="41"/>
      <c r="I207" s="1"/>
      <c r="J207" s="26"/>
      <c r="K207" s="27"/>
      <c r="L207" s="27"/>
      <c r="M207" s="70"/>
      <c r="N207" s="1"/>
      <c r="O207" s="26"/>
      <c r="P207" s="27"/>
      <c r="Q207" s="27"/>
      <c r="R207" s="55" t="s">
        <v>242</v>
      </c>
      <c r="S207" s="26" t="s">
        <v>38</v>
      </c>
      <c r="T207" s="26" t="s">
        <v>39</v>
      </c>
      <c r="U207" s="27">
        <v>0.84745762711864414</v>
      </c>
      <c r="V207" s="33">
        <v>1</v>
      </c>
      <c r="AG207" s="31">
        <v>1</v>
      </c>
      <c r="AH207" t="s">
        <v>73</v>
      </c>
    </row>
    <row r="208" spans="1:34">
      <c r="A208" s="15" t="s">
        <v>258</v>
      </c>
      <c r="B208" s="8" t="s">
        <v>211</v>
      </c>
      <c r="C208" s="41" t="s">
        <v>37</v>
      </c>
      <c r="D208" s="1" t="s">
        <v>38</v>
      </c>
      <c r="E208" s="26" t="s">
        <v>39</v>
      </c>
      <c r="F208" s="27">
        <v>1</v>
      </c>
      <c r="G208" s="33">
        <v>1</v>
      </c>
      <c r="H208" s="41"/>
      <c r="I208" s="1"/>
      <c r="J208" s="26"/>
      <c r="K208" s="27"/>
      <c r="L208" s="27"/>
      <c r="M208" s="70"/>
      <c r="N208" s="1"/>
      <c r="O208" s="26"/>
      <c r="P208" s="27"/>
      <c r="Q208" s="27"/>
      <c r="R208" s="55" t="s">
        <v>242</v>
      </c>
      <c r="S208" s="26" t="s">
        <v>38</v>
      </c>
      <c r="T208" s="26" t="s">
        <v>39</v>
      </c>
      <c r="U208" s="27">
        <v>0.84745762711864414</v>
      </c>
      <c r="V208" s="33">
        <v>1</v>
      </c>
      <c r="AG208" s="31">
        <v>1</v>
      </c>
      <c r="AH208" t="s">
        <v>73</v>
      </c>
    </row>
    <row r="209" spans="1:34">
      <c r="A209" s="15" t="s">
        <v>259</v>
      </c>
      <c r="B209" s="8" t="s">
        <v>211</v>
      </c>
      <c r="C209" s="41" t="s">
        <v>37</v>
      </c>
      <c r="D209" s="1" t="s">
        <v>38</v>
      </c>
      <c r="E209" s="26" t="s">
        <v>39</v>
      </c>
      <c r="F209" s="27">
        <v>1</v>
      </c>
      <c r="G209" s="33">
        <v>1</v>
      </c>
      <c r="H209" s="41"/>
      <c r="I209" s="1"/>
      <c r="J209" s="26"/>
      <c r="K209" s="27"/>
      <c r="L209" s="27"/>
      <c r="M209" s="70"/>
      <c r="N209" s="1"/>
      <c r="O209" s="26"/>
      <c r="P209" s="27"/>
      <c r="Q209" s="27"/>
      <c r="R209" s="55" t="s">
        <v>242</v>
      </c>
      <c r="S209" s="26" t="s">
        <v>38</v>
      </c>
      <c r="T209" s="26" t="s">
        <v>39</v>
      </c>
      <c r="U209" s="27">
        <v>0.84745762711864414</v>
      </c>
      <c r="V209" s="33">
        <v>1</v>
      </c>
      <c r="AG209" s="31">
        <v>1</v>
      </c>
      <c r="AH209" t="s">
        <v>73</v>
      </c>
    </row>
    <row r="210" spans="1:34">
      <c r="A210" s="15" t="s">
        <v>260</v>
      </c>
      <c r="B210" s="8" t="s">
        <v>211</v>
      </c>
      <c r="C210" s="41" t="s">
        <v>37</v>
      </c>
      <c r="D210" s="1" t="s">
        <v>38</v>
      </c>
      <c r="E210" s="26" t="s">
        <v>39</v>
      </c>
      <c r="F210" s="27">
        <v>1</v>
      </c>
      <c r="G210" s="33">
        <v>1</v>
      </c>
      <c r="H210" s="41"/>
      <c r="I210" s="1"/>
      <c r="J210" s="26"/>
      <c r="K210" s="27"/>
      <c r="L210" s="27"/>
      <c r="M210" s="70"/>
      <c r="N210" s="1"/>
      <c r="O210" s="26"/>
      <c r="P210" s="27"/>
      <c r="Q210" s="27"/>
      <c r="R210" s="55" t="s">
        <v>242</v>
      </c>
      <c r="S210" s="26" t="s">
        <v>38</v>
      </c>
      <c r="T210" s="26" t="s">
        <v>39</v>
      </c>
      <c r="U210" s="27">
        <v>0.84745762711864414</v>
      </c>
      <c r="V210" s="33">
        <v>1</v>
      </c>
      <c r="AG210" s="31">
        <v>1</v>
      </c>
      <c r="AH210" t="s">
        <v>73</v>
      </c>
    </row>
    <row r="211" spans="1:34">
      <c r="A211" s="15" t="s">
        <v>261</v>
      </c>
      <c r="B211" s="8" t="s">
        <v>211</v>
      </c>
      <c r="C211" s="41" t="s">
        <v>37</v>
      </c>
      <c r="D211" s="1" t="s">
        <v>38</v>
      </c>
      <c r="E211" s="26" t="s">
        <v>39</v>
      </c>
      <c r="F211" s="27">
        <v>1</v>
      </c>
      <c r="G211" s="33">
        <v>1</v>
      </c>
      <c r="H211" s="41"/>
      <c r="I211" s="1"/>
      <c r="J211" s="26"/>
      <c r="K211" s="27"/>
      <c r="L211" s="27"/>
      <c r="M211" s="70"/>
      <c r="N211" s="1"/>
      <c r="O211" s="26"/>
      <c r="P211" s="27"/>
      <c r="Q211" s="27"/>
      <c r="R211" s="55" t="s">
        <v>242</v>
      </c>
      <c r="S211" s="26" t="s">
        <v>38</v>
      </c>
      <c r="T211" s="26" t="s">
        <v>39</v>
      </c>
      <c r="U211" s="27">
        <v>0.84745762711864414</v>
      </c>
      <c r="V211" s="33">
        <v>1</v>
      </c>
      <c r="AG211" s="31">
        <v>1</v>
      </c>
      <c r="AH211" t="s">
        <v>73</v>
      </c>
    </row>
    <row r="212" spans="1:34">
      <c r="A212" s="15" t="s">
        <v>262</v>
      </c>
      <c r="B212" s="8" t="s">
        <v>211</v>
      </c>
      <c r="C212" s="41" t="s">
        <v>37</v>
      </c>
      <c r="D212" s="1" t="s">
        <v>38</v>
      </c>
      <c r="E212" s="26" t="s">
        <v>39</v>
      </c>
      <c r="F212" s="27">
        <v>1</v>
      </c>
      <c r="G212" s="33">
        <v>1</v>
      </c>
      <c r="H212" s="41"/>
      <c r="I212" s="1"/>
      <c r="J212" s="26"/>
      <c r="K212" s="27"/>
      <c r="L212" s="27"/>
      <c r="M212" s="70"/>
      <c r="N212" s="1"/>
      <c r="O212" s="26"/>
      <c r="P212" s="27"/>
      <c r="Q212" s="27"/>
      <c r="R212" s="55" t="s">
        <v>242</v>
      </c>
      <c r="S212" s="26" t="s">
        <v>38</v>
      </c>
      <c r="T212" s="26" t="s">
        <v>39</v>
      </c>
      <c r="U212" s="27">
        <v>0.84745762711864414</v>
      </c>
      <c r="V212" s="33">
        <v>1</v>
      </c>
      <c r="AG212" s="31">
        <v>1</v>
      </c>
      <c r="AH212" t="s">
        <v>73</v>
      </c>
    </row>
    <row r="213" spans="1:34">
      <c r="A213" s="15" t="s">
        <v>263</v>
      </c>
      <c r="B213" s="8" t="s">
        <v>211</v>
      </c>
      <c r="C213" s="41" t="s">
        <v>37</v>
      </c>
      <c r="D213" s="1" t="s">
        <v>38</v>
      </c>
      <c r="E213" s="26" t="s">
        <v>39</v>
      </c>
      <c r="F213" s="27">
        <v>1</v>
      </c>
      <c r="G213" s="33">
        <v>1</v>
      </c>
      <c r="H213" s="41"/>
      <c r="I213" s="1"/>
      <c r="J213" s="26"/>
      <c r="K213" s="27"/>
      <c r="L213" s="27"/>
      <c r="M213" s="70"/>
      <c r="N213" s="1"/>
      <c r="O213" s="26"/>
      <c r="P213" s="27"/>
      <c r="Q213" s="27"/>
      <c r="R213" s="55" t="s">
        <v>242</v>
      </c>
      <c r="S213" s="26" t="s">
        <v>38</v>
      </c>
      <c r="T213" s="26" t="s">
        <v>39</v>
      </c>
      <c r="U213" s="27">
        <v>0.84745762711864414</v>
      </c>
      <c r="V213" s="33">
        <v>1</v>
      </c>
      <c r="AG213" s="31">
        <v>1</v>
      </c>
      <c r="AH213" t="s">
        <v>73</v>
      </c>
    </row>
    <row r="214" spans="1:34">
      <c r="A214" s="15" t="s">
        <v>264</v>
      </c>
      <c r="B214" s="8" t="s">
        <v>211</v>
      </c>
      <c r="C214" s="41" t="s">
        <v>37</v>
      </c>
      <c r="D214" s="1" t="s">
        <v>38</v>
      </c>
      <c r="E214" s="26" t="s">
        <v>39</v>
      </c>
      <c r="F214" s="27">
        <v>1</v>
      </c>
      <c r="G214" s="33">
        <v>1</v>
      </c>
      <c r="H214" s="41"/>
      <c r="I214" s="1"/>
      <c r="J214" s="26"/>
      <c r="K214" s="27"/>
      <c r="L214" s="27"/>
      <c r="M214" s="70"/>
      <c r="N214" s="1"/>
      <c r="O214" s="26"/>
      <c r="P214" s="27"/>
      <c r="Q214" s="27"/>
      <c r="R214" s="55" t="s">
        <v>242</v>
      </c>
      <c r="S214" s="26" t="s">
        <v>38</v>
      </c>
      <c r="T214" s="26" t="s">
        <v>39</v>
      </c>
      <c r="U214" s="27">
        <v>0.84745762711864414</v>
      </c>
      <c r="V214" s="33">
        <v>1</v>
      </c>
      <c r="AG214" s="31">
        <v>1</v>
      </c>
      <c r="AH214" t="s">
        <v>73</v>
      </c>
    </row>
    <row r="215" spans="1:34">
      <c r="A215" s="15" t="s">
        <v>265</v>
      </c>
      <c r="B215" s="8" t="s">
        <v>211</v>
      </c>
      <c r="C215" s="41" t="s">
        <v>37</v>
      </c>
      <c r="D215" s="1" t="s">
        <v>38</v>
      </c>
      <c r="E215" s="26" t="s">
        <v>39</v>
      </c>
      <c r="F215" s="27">
        <v>1</v>
      </c>
      <c r="G215" s="33">
        <v>1</v>
      </c>
      <c r="H215" s="41"/>
      <c r="I215" s="1"/>
      <c r="J215" s="26"/>
      <c r="K215" s="27"/>
      <c r="L215" s="27"/>
      <c r="M215" s="70"/>
      <c r="N215" s="1"/>
      <c r="O215" s="26"/>
      <c r="P215" s="27"/>
      <c r="Q215" s="27"/>
      <c r="R215" s="55" t="s">
        <v>242</v>
      </c>
      <c r="S215" s="26" t="s">
        <v>38</v>
      </c>
      <c r="T215" s="26" t="s">
        <v>39</v>
      </c>
      <c r="U215" s="27">
        <v>0.84745762711864414</v>
      </c>
      <c r="V215" s="33">
        <v>1</v>
      </c>
      <c r="AG215" s="31">
        <v>1</v>
      </c>
      <c r="AH215" t="s">
        <v>73</v>
      </c>
    </row>
    <row r="216" spans="1:34">
      <c r="A216" s="15" t="s">
        <v>266</v>
      </c>
      <c r="B216" s="8" t="s">
        <v>211</v>
      </c>
      <c r="C216" s="41" t="s">
        <v>37</v>
      </c>
      <c r="D216" s="1" t="s">
        <v>38</v>
      </c>
      <c r="E216" s="26" t="s">
        <v>39</v>
      </c>
      <c r="F216" s="27">
        <v>1</v>
      </c>
      <c r="G216" s="33">
        <v>1</v>
      </c>
      <c r="H216" s="41"/>
      <c r="I216" s="1"/>
      <c r="J216" s="26"/>
      <c r="K216" s="27"/>
      <c r="L216" s="27"/>
      <c r="M216" s="70"/>
      <c r="N216" s="1"/>
      <c r="O216" s="26"/>
      <c r="P216" s="27"/>
      <c r="Q216" s="27"/>
      <c r="R216" s="55" t="s">
        <v>242</v>
      </c>
      <c r="S216" s="26" t="s">
        <v>38</v>
      </c>
      <c r="T216" s="26" t="s">
        <v>39</v>
      </c>
      <c r="U216" s="27">
        <v>0.84745762711864414</v>
      </c>
      <c r="V216" s="33">
        <v>1</v>
      </c>
      <c r="AG216" s="31">
        <v>1</v>
      </c>
      <c r="AH216" t="s">
        <v>73</v>
      </c>
    </row>
    <row r="217" spans="1:34">
      <c r="A217" s="15" t="s">
        <v>267</v>
      </c>
      <c r="B217" s="8" t="s">
        <v>211</v>
      </c>
      <c r="C217" s="41" t="s">
        <v>37</v>
      </c>
      <c r="D217" s="1" t="s">
        <v>38</v>
      </c>
      <c r="E217" s="26" t="s">
        <v>39</v>
      </c>
      <c r="F217" s="27">
        <v>1</v>
      </c>
      <c r="G217" s="33">
        <v>1</v>
      </c>
      <c r="H217" s="41"/>
      <c r="I217" s="1"/>
      <c r="J217" s="26"/>
      <c r="K217" s="27"/>
      <c r="L217" s="27"/>
      <c r="M217" s="70"/>
      <c r="N217" s="1"/>
      <c r="O217" s="26"/>
      <c r="P217" s="27"/>
      <c r="Q217" s="27"/>
      <c r="R217" s="55" t="s">
        <v>242</v>
      </c>
      <c r="S217" s="26" t="s">
        <v>38</v>
      </c>
      <c r="T217" s="26" t="s">
        <v>39</v>
      </c>
      <c r="U217" s="27">
        <v>0.84745762711864414</v>
      </c>
      <c r="V217" s="33">
        <v>1</v>
      </c>
      <c r="AG217" s="31">
        <v>1</v>
      </c>
      <c r="AH217" t="s">
        <v>73</v>
      </c>
    </row>
    <row r="218" spans="1:34">
      <c r="A218" s="15" t="s">
        <v>268</v>
      </c>
      <c r="B218" s="8" t="s">
        <v>211</v>
      </c>
      <c r="C218" s="41" t="s">
        <v>37</v>
      </c>
      <c r="D218" s="1" t="s">
        <v>38</v>
      </c>
      <c r="E218" s="26" t="s">
        <v>39</v>
      </c>
      <c r="F218" s="27">
        <v>1</v>
      </c>
      <c r="G218" s="33">
        <v>1</v>
      </c>
      <c r="H218" s="41"/>
      <c r="I218" s="1"/>
      <c r="J218" s="26"/>
      <c r="K218" s="27"/>
      <c r="L218" s="27"/>
      <c r="M218" s="70"/>
      <c r="N218" s="1"/>
      <c r="O218" s="26"/>
      <c r="P218" s="27"/>
      <c r="Q218" s="27"/>
      <c r="R218" s="55" t="s">
        <v>242</v>
      </c>
      <c r="S218" s="26" t="s">
        <v>38</v>
      </c>
      <c r="T218" s="26" t="s">
        <v>39</v>
      </c>
      <c r="U218" s="27">
        <v>0.84745762711864414</v>
      </c>
      <c r="V218" s="33">
        <v>1</v>
      </c>
      <c r="AG218" s="31">
        <v>1</v>
      </c>
      <c r="AH218" t="s">
        <v>73</v>
      </c>
    </row>
    <row r="219" spans="1:34">
      <c r="A219" s="15" t="s">
        <v>269</v>
      </c>
      <c r="B219" s="8" t="s">
        <v>211</v>
      </c>
      <c r="C219" s="41" t="s">
        <v>37</v>
      </c>
      <c r="D219" s="1" t="s">
        <v>38</v>
      </c>
      <c r="E219" s="26" t="s">
        <v>39</v>
      </c>
      <c r="F219" s="27">
        <v>1</v>
      </c>
      <c r="G219" s="33">
        <v>1</v>
      </c>
      <c r="H219" s="41"/>
      <c r="I219" s="1"/>
      <c r="J219" s="26"/>
      <c r="K219" s="27"/>
      <c r="L219" s="27"/>
      <c r="M219" s="70"/>
      <c r="N219" s="1"/>
      <c r="O219" s="26"/>
      <c r="P219" s="27"/>
      <c r="Q219" s="27"/>
      <c r="R219" s="55" t="s">
        <v>242</v>
      </c>
      <c r="S219" s="26" t="s">
        <v>38</v>
      </c>
      <c r="T219" s="26" t="s">
        <v>39</v>
      </c>
      <c r="U219" s="27">
        <v>0.84745762711864414</v>
      </c>
      <c r="V219" s="33">
        <v>1</v>
      </c>
      <c r="AG219" s="31">
        <v>1</v>
      </c>
      <c r="AH219" t="s">
        <v>73</v>
      </c>
    </row>
    <row r="220" spans="1:34">
      <c r="A220" s="15" t="s">
        <v>270</v>
      </c>
      <c r="B220" s="8" t="s">
        <v>211</v>
      </c>
      <c r="C220" s="41" t="s">
        <v>37</v>
      </c>
      <c r="D220" s="1" t="s">
        <v>38</v>
      </c>
      <c r="E220" s="26" t="s">
        <v>39</v>
      </c>
      <c r="F220" s="27">
        <v>1</v>
      </c>
      <c r="G220" s="33">
        <v>1</v>
      </c>
      <c r="H220" s="41"/>
      <c r="I220" s="1"/>
      <c r="J220" s="26"/>
      <c r="K220" s="27"/>
      <c r="L220" s="27"/>
      <c r="M220" s="70"/>
      <c r="N220" s="1"/>
      <c r="O220" s="26"/>
      <c r="P220" s="27"/>
      <c r="Q220" s="27"/>
      <c r="R220" s="55" t="s">
        <v>242</v>
      </c>
      <c r="S220" s="26" t="s">
        <v>38</v>
      </c>
      <c r="T220" s="26" t="s">
        <v>39</v>
      </c>
      <c r="U220" s="27">
        <v>0.84745762711864414</v>
      </c>
      <c r="V220" s="33">
        <v>1</v>
      </c>
      <c r="AG220" s="31">
        <v>1</v>
      </c>
      <c r="AH220" t="s">
        <v>73</v>
      </c>
    </row>
    <row r="221" spans="1:34">
      <c r="A221" s="15" t="s">
        <v>271</v>
      </c>
      <c r="B221" s="8" t="s">
        <v>211</v>
      </c>
      <c r="C221" s="41" t="s">
        <v>37</v>
      </c>
      <c r="D221" s="1" t="s">
        <v>38</v>
      </c>
      <c r="E221" s="26" t="s">
        <v>39</v>
      </c>
      <c r="F221" s="27">
        <v>1</v>
      </c>
      <c r="G221" s="33">
        <v>1</v>
      </c>
      <c r="H221" s="41"/>
      <c r="I221" s="1"/>
      <c r="J221" s="26"/>
      <c r="K221" s="27"/>
      <c r="L221" s="27"/>
      <c r="M221" s="70"/>
      <c r="N221" s="1"/>
      <c r="O221" s="26"/>
      <c r="P221" s="27"/>
      <c r="Q221" s="27"/>
      <c r="R221" s="55" t="s">
        <v>242</v>
      </c>
      <c r="S221" s="26" t="s">
        <v>38</v>
      </c>
      <c r="T221" s="26" t="s">
        <v>39</v>
      </c>
      <c r="U221" s="27">
        <v>0.84745762711864414</v>
      </c>
      <c r="V221" s="33">
        <v>1</v>
      </c>
      <c r="AG221" s="31">
        <v>1</v>
      </c>
      <c r="AH221" t="s">
        <v>73</v>
      </c>
    </row>
    <row r="222" spans="1:34">
      <c r="A222" s="15" t="s">
        <v>272</v>
      </c>
      <c r="B222" s="8" t="s">
        <v>211</v>
      </c>
      <c r="C222" s="41" t="s">
        <v>37</v>
      </c>
      <c r="D222" s="1" t="s">
        <v>38</v>
      </c>
      <c r="E222" s="26" t="s">
        <v>39</v>
      </c>
      <c r="F222" s="27">
        <v>1</v>
      </c>
      <c r="G222" s="33">
        <v>1</v>
      </c>
      <c r="H222" s="41"/>
      <c r="I222" s="1"/>
      <c r="J222" s="26"/>
      <c r="K222" s="27"/>
      <c r="L222" s="27"/>
      <c r="M222" s="70"/>
      <c r="N222" s="1"/>
      <c r="O222" s="26"/>
      <c r="P222" s="27"/>
      <c r="Q222" s="27"/>
      <c r="R222" s="55" t="s">
        <v>242</v>
      </c>
      <c r="S222" s="26" t="s">
        <v>38</v>
      </c>
      <c r="T222" s="26" t="s">
        <v>39</v>
      </c>
      <c r="U222" s="27">
        <v>0.84745762711864414</v>
      </c>
      <c r="V222" s="33">
        <v>1</v>
      </c>
      <c r="AG222" s="31">
        <v>1</v>
      </c>
      <c r="AH222" t="s">
        <v>73</v>
      </c>
    </row>
    <row r="223" spans="1:34">
      <c r="A223" s="15" t="s">
        <v>273</v>
      </c>
      <c r="B223" s="8" t="s">
        <v>211</v>
      </c>
      <c r="C223" s="41" t="s">
        <v>37</v>
      </c>
      <c r="D223" s="1" t="s">
        <v>38</v>
      </c>
      <c r="E223" s="26" t="s">
        <v>39</v>
      </c>
      <c r="F223" s="27">
        <v>1</v>
      </c>
      <c r="G223" s="33">
        <v>1</v>
      </c>
      <c r="H223" s="41"/>
      <c r="I223" s="1"/>
      <c r="J223" s="26"/>
      <c r="K223" s="27"/>
      <c r="L223" s="27"/>
      <c r="M223" s="70"/>
      <c r="N223" s="1"/>
      <c r="O223" s="26"/>
      <c r="P223" s="27"/>
      <c r="Q223" s="27"/>
      <c r="R223" s="55" t="s">
        <v>242</v>
      </c>
      <c r="S223" s="26" t="s">
        <v>38</v>
      </c>
      <c r="T223" s="26" t="s">
        <v>39</v>
      </c>
      <c r="U223" s="27">
        <v>0.84745762711864414</v>
      </c>
      <c r="V223" s="33">
        <v>1</v>
      </c>
      <c r="AG223" s="31">
        <v>1</v>
      </c>
      <c r="AH223" t="s">
        <v>73</v>
      </c>
    </row>
    <row r="224" spans="1:34">
      <c r="A224" s="15" t="s">
        <v>274</v>
      </c>
      <c r="B224" s="8" t="s">
        <v>211</v>
      </c>
      <c r="C224" s="41" t="s">
        <v>37</v>
      </c>
      <c r="D224" s="1" t="s">
        <v>38</v>
      </c>
      <c r="E224" s="26" t="s">
        <v>39</v>
      </c>
      <c r="F224" s="27">
        <v>1</v>
      </c>
      <c r="G224" s="33">
        <v>1</v>
      </c>
      <c r="H224" s="41"/>
      <c r="I224" s="1"/>
      <c r="J224" s="26"/>
      <c r="K224" s="27"/>
      <c r="L224" s="27"/>
      <c r="M224" s="70"/>
      <c r="N224" s="1"/>
      <c r="O224" s="26"/>
      <c r="P224" s="27"/>
      <c r="Q224" s="27"/>
      <c r="R224" s="55" t="s">
        <v>242</v>
      </c>
      <c r="S224" s="26" t="s">
        <v>38</v>
      </c>
      <c r="T224" s="26" t="s">
        <v>39</v>
      </c>
      <c r="U224" s="27">
        <v>0.84745762711864414</v>
      </c>
      <c r="V224" s="33">
        <v>1</v>
      </c>
      <c r="AG224" s="31">
        <v>1</v>
      </c>
      <c r="AH224" t="s">
        <v>73</v>
      </c>
    </row>
    <row r="225" spans="1:34">
      <c r="A225" s="15" t="s">
        <v>275</v>
      </c>
      <c r="B225" s="8" t="s">
        <v>211</v>
      </c>
      <c r="C225" s="41" t="s">
        <v>37</v>
      </c>
      <c r="D225" s="1" t="s">
        <v>38</v>
      </c>
      <c r="E225" s="26" t="s">
        <v>39</v>
      </c>
      <c r="F225" s="27">
        <v>1</v>
      </c>
      <c r="G225" s="33">
        <v>1</v>
      </c>
      <c r="H225" s="41"/>
      <c r="I225" s="1"/>
      <c r="J225" s="26"/>
      <c r="K225" s="27"/>
      <c r="L225" s="27"/>
      <c r="M225" s="70"/>
      <c r="N225" s="1"/>
      <c r="O225" s="26"/>
      <c r="P225" s="27"/>
      <c r="Q225" s="27"/>
      <c r="R225" s="55" t="s">
        <v>242</v>
      </c>
      <c r="S225" s="26" t="s">
        <v>38</v>
      </c>
      <c r="T225" s="26" t="s">
        <v>39</v>
      </c>
      <c r="U225" s="27">
        <v>0.84745762711864414</v>
      </c>
      <c r="V225" s="33">
        <v>1</v>
      </c>
      <c r="AG225" s="31">
        <v>1</v>
      </c>
      <c r="AH225" t="s">
        <v>73</v>
      </c>
    </row>
    <row r="226" spans="1:34">
      <c r="A226" s="15" t="s">
        <v>276</v>
      </c>
      <c r="B226" s="8" t="s">
        <v>211</v>
      </c>
      <c r="C226" s="41" t="s">
        <v>37</v>
      </c>
      <c r="D226" s="1" t="s">
        <v>38</v>
      </c>
      <c r="E226" s="26" t="s">
        <v>39</v>
      </c>
      <c r="F226" s="27">
        <v>1</v>
      </c>
      <c r="G226" s="33">
        <v>1</v>
      </c>
      <c r="H226" s="41"/>
      <c r="I226" s="1"/>
      <c r="J226" s="26"/>
      <c r="K226" s="27"/>
      <c r="L226" s="27"/>
      <c r="M226" s="70"/>
      <c r="N226" s="1"/>
      <c r="O226" s="26"/>
      <c r="P226" s="27"/>
      <c r="Q226" s="27"/>
      <c r="R226" s="55" t="s">
        <v>242</v>
      </c>
      <c r="S226" s="26" t="s">
        <v>38</v>
      </c>
      <c r="T226" s="26" t="s">
        <v>39</v>
      </c>
      <c r="U226" s="27">
        <v>0.84745762711864414</v>
      </c>
      <c r="V226" s="33">
        <v>1</v>
      </c>
      <c r="AG226" s="31">
        <v>1</v>
      </c>
      <c r="AH226" t="s">
        <v>73</v>
      </c>
    </row>
    <row r="227" spans="1:34">
      <c r="A227" s="15" t="s">
        <v>277</v>
      </c>
      <c r="B227" s="8" t="s">
        <v>211</v>
      </c>
      <c r="C227" s="41" t="s">
        <v>37</v>
      </c>
      <c r="D227" s="1" t="s">
        <v>38</v>
      </c>
      <c r="E227" s="26" t="s">
        <v>39</v>
      </c>
      <c r="F227" s="27">
        <v>1</v>
      </c>
      <c r="G227" s="33">
        <v>1</v>
      </c>
      <c r="H227" s="41"/>
      <c r="I227" s="1"/>
      <c r="J227" s="26"/>
      <c r="K227" s="27"/>
      <c r="L227" s="27"/>
      <c r="M227" s="70"/>
      <c r="N227" s="1"/>
      <c r="O227" s="26"/>
      <c r="P227" s="27"/>
      <c r="Q227" s="27"/>
      <c r="R227" s="55" t="s">
        <v>242</v>
      </c>
      <c r="S227" s="26" t="s">
        <v>38</v>
      </c>
      <c r="T227" s="26" t="s">
        <v>39</v>
      </c>
      <c r="U227" s="27">
        <v>0.84745762711864414</v>
      </c>
      <c r="V227" s="33">
        <v>1</v>
      </c>
      <c r="AG227" s="31">
        <v>1</v>
      </c>
      <c r="AH227" t="s">
        <v>73</v>
      </c>
    </row>
    <row r="228" spans="1:34">
      <c r="A228" s="15" t="s">
        <v>278</v>
      </c>
      <c r="B228" s="8" t="s">
        <v>211</v>
      </c>
      <c r="C228" s="41" t="s">
        <v>37</v>
      </c>
      <c r="D228" s="1" t="s">
        <v>38</v>
      </c>
      <c r="E228" s="26" t="s">
        <v>39</v>
      </c>
      <c r="F228" s="27">
        <v>1</v>
      </c>
      <c r="G228" s="33">
        <v>1</v>
      </c>
      <c r="H228" s="41"/>
      <c r="I228" s="1"/>
      <c r="J228" s="26"/>
      <c r="K228" s="27"/>
      <c r="L228" s="27"/>
      <c r="M228" s="70"/>
      <c r="N228" s="1"/>
      <c r="O228" s="26"/>
      <c r="P228" s="27"/>
      <c r="Q228" s="27"/>
      <c r="R228" s="55" t="s">
        <v>242</v>
      </c>
      <c r="S228" s="26" t="s">
        <v>38</v>
      </c>
      <c r="T228" s="26" t="s">
        <v>39</v>
      </c>
      <c r="U228" s="27">
        <v>0.84745762711864414</v>
      </c>
      <c r="V228" s="33">
        <v>1</v>
      </c>
      <c r="AG228" s="31">
        <v>1</v>
      </c>
      <c r="AH228" t="s">
        <v>73</v>
      </c>
    </row>
    <row r="229" spans="1:34">
      <c r="A229" s="15" t="s">
        <v>279</v>
      </c>
      <c r="B229" s="8" t="s">
        <v>211</v>
      </c>
      <c r="C229" s="41" t="s">
        <v>37</v>
      </c>
      <c r="D229" s="1" t="s">
        <v>38</v>
      </c>
      <c r="E229" s="26" t="s">
        <v>39</v>
      </c>
      <c r="F229" s="27">
        <v>1</v>
      </c>
      <c r="G229" s="33">
        <v>1</v>
      </c>
      <c r="H229" s="41"/>
      <c r="I229" s="1"/>
      <c r="J229" s="26"/>
      <c r="K229" s="27"/>
      <c r="L229" s="27"/>
      <c r="M229" s="70"/>
      <c r="N229" s="1"/>
      <c r="O229" s="26"/>
      <c r="P229" s="27"/>
      <c r="Q229" s="27"/>
      <c r="R229" s="55" t="s">
        <v>242</v>
      </c>
      <c r="S229" s="26" t="s">
        <v>38</v>
      </c>
      <c r="T229" s="26" t="s">
        <v>39</v>
      </c>
      <c r="U229" s="27">
        <v>0.84745762711864414</v>
      </c>
      <c r="V229" s="33">
        <v>1</v>
      </c>
      <c r="AG229" s="31">
        <v>1</v>
      </c>
      <c r="AH229" t="s">
        <v>73</v>
      </c>
    </row>
    <row r="230" spans="1:34">
      <c r="A230" s="15" t="s">
        <v>280</v>
      </c>
      <c r="B230" s="8" t="s">
        <v>211</v>
      </c>
      <c r="C230" s="41" t="s">
        <v>37</v>
      </c>
      <c r="D230" s="1" t="s">
        <v>38</v>
      </c>
      <c r="E230" s="26" t="s">
        <v>39</v>
      </c>
      <c r="F230" s="27">
        <v>1</v>
      </c>
      <c r="G230" s="33">
        <v>1</v>
      </c>
      <c r="H230" s="41"/>
      <c r="I230" s="1"/>
      <c r="J230" s="26"/>
      <c r="K230" s="27"/>
      <c r="L230" s="27"/>
      <c r="M230" s="70"/>
      <c r="N230" s="1"/>
      <c r="O230" s="26"/>
      <c r="P230" s="27"/>
      <c r="Q230" s="27"/>
      <c r="R230" s="55" t="s">
        <v>242</v>
      </c>
      <c r="S230" s="26" t="s">
        <v>38</v>
      </c>
      <c r="T230" s="26" t="s">
        <v>39</v>
      </c>
      <c r="U230" s="27">
        <v>0.84745762711864414</v>
      </c>
      <c r="V230" s="33">
        <v>1</v>
      </c>
      <c r="AG230" s="31">
        <v>1</v>
      </c>
      <c r="AH230" t="s">
        <v>73</v>
      </c>
    </row>
    <row r="231" spans="1:34">
      <c r="A231" s="15" t="s">
        <v>281</v>
      </c>
      <c r="B231" s="8" t="s">
        <v>211</v>
      </c>
      <c r="C231" s="41" t="s">
        <v>37</v>
      </c>
      <c r="D231" s="1" t="s">
        <v>38</v>
      </c>
      <c r="E231" s="26" t="s">
        <v>39</v>
      </c>
      <c r="F231" s="27">
        <v>1</v>
      </c>
      <c r="G231" s="33">
        <v>1</v>
      </c>
      <c r="H231" s="41"/>
      <c r="I231" s="1"/>
      <c r="J231" s="26"/>
      <c r="K231" s="27"/>
      <c r="L231" s="27"/>
      <c r="M231" s="70"/>
      <c r="N231" s="1"/>
      <c r="O231" s="26"/>
      <c r="P231" s="27"/>
      <c r="Q231" s="27"/>
      <c r="R231" s="55" t="s">
        <v>242</v>
      </c>
      <c r="S231" s="26" t="s">
        <v>38</v>
      </c>
      <c r="T231" s="26" t="s">
        <v>39</v>
      </c>
      <c r="U231" s="27">
        <v>0.84745762711864414</v>
      </c>
      <c r="V231" s="33">
        <v>1</v>
      </c>
      <c r="AG231" s="31">
        <v>1</v>
      </c>
      <c r="AH231" t="s">
        <v>73</v>
      </c>
    </row>
    <row r="232" spans="1:34">
      <c r="A232" s="15" t="s">
        <v>282</v>
      </c>
      <c r="B232" s="8" t="s">
        <v>211</v>
      </c>
      <c r="C232" s="41" t="s">
        <v>37</v>
      </c>
      <c r="D232" s="1" t="s">
        <v>38</v>
      </c>
      <c r="E232" s="26" t="s">
        <v>39</v>
      </c>
      <c r="F232" s="27">
        <v>1</v>
      </c>
      <c r="G232" s="33">
        <v>1</v>
      </c>
      <c r="H232" s="41"/>
      <c r="I232" s="1"/>
      <c r="J232" s="26"/>
      <c r="K232" s="27"/>
      <c r="L232" s="27"/>
      <c r="M232" s="70"/>
      <c r="N232" s="1"/>
      <c r="O232" s="26"/>
      <c r="P232" s="27"/>
      <c r="Q232" s="27"/>
      <c r="R232" s="55" t="s">
        <v>242</v>
      </c>
      <c r="S232" s="26" t="s">
        <v>38</v>
      </c>
      <c r="T232" s="26" t="s">
        <v>39</v>
      </c>
      <c r="U232" s="27">
        <v>0.84745762711864414</v>
      </c>
      <c r="V232" s="33">
        <v>1</v>
      </c>
      <c r="AG232" s="31">
        <v>1</v>
      </c>
      <c r="AH232" t="s">
        <v>73</v>
      </c>
    </row>
    <row r="233" spans="1:34">
      <c r="A233" s="15" t="s">
        <v>283</v>
      </c>
      <c r="B233" s="8" t="s">
        <v>211</v>
      </c>
      <c r="C233" s="41" t="s">
        <v>37</v>
      </c>
      <c r="D233" s="1" t="s">
        <v>38</v>
      </c>
      <c r="E233" s="26" t="s">
        <v>39</v>
      </c>
      <c r="F233" s="27">
        <v>1</v>
      </c>
      <c r="G233" s="33">
        <v>1</v>
      </c>
      <c r="H233" s="41"/>
      <c r="I233" s="1"/>
      <c r="J233" s="26"/>
      <c r="K233" s="27"/>
      <c r="L233" s="27"/>
      <c r="M233" s="70"/>
      <c r="N233" s="1"/>
      <c r="O233" s="26"/>
      <c r="P233" s="27"/>
      <c r="Q233" s="27"/>
      <c r="R233" s="55" t="s">
        <v>242</v>
      </c>
      <c r="S233" s="26" t="s">
        <v>38</v>
      </c>
      <c r="T233" s="26" t="s">
        <v>39</v>
      </c>
      <c r="U233" s="27">
        <v>0.84745762711864414</v>
      </c>
      <c r="V233" s="33">
        <v>1</v>
      </c>
      <c r="AG233" s="31">
        <v>1</v>
      </c>
      <c r="AH233" t="s">
        <v>73</v>
      </c>
    </row>
    <row r="234" spans="1:34">
      <c r="A234" s="15" t="s">
        <v>284</v>
      </c>
      <c r="B234" s="8" t="s">
        <v>211</v>
      </c>
      <c r="C234" s="41" t="s">
        <v>37</v>
      </c>
      <c r="D234" s="1" t="s">
        <v>38</v>
      </c>
      <c r="E234" s="26" t="s">
        <v>39</v>
      </c>
      <c r="F234" s="27">
        <v>1</v>
      </c>
      <c r="G234" s="33">
        <v>1</v>
      </c>
      <c r="H234" s="41"/>
      <c r="I234" s="1"/>
      <c r="J234" s="26"/>
      <c r="K234" s="27"/>
      <c r="L234" s="27"/>
      <c r="M234" s="70"/>
      <c r="N234" s="1"/>
      <c r="O234" s="26"/>
      <c r="P234" s="27"/>
      <c r="Q234" s="27"/>
      <c r="R234" s="55" t="s">
        <v>242</v>
      </c>
      <c r="S234" s="26" t="s">
        <v>38</v>
      </c>
      <c r="T234" s="26" t="s">
        <v>39</v>
      </c>
      <c r="U234" s="27">
        <v>0.84745762711864414</v>
      </c>
      <c r="V234" s="33">
        <v>1</v>
      </c>
      <c r="AG234" s="31">
        <v>0.5</v>
      </c>
      <c r="AH234" t="s">
        <v>285</v>
      </c>
    </row>
    <row r="235" spans="1:34">
      <c r="A235" s="15" t="s">
        <v>286</v>
      </c>
      <c r="B235" s="8" t="s">
        <v>211</v>
      </c>
      <c r="C235" s="41" t="s">
        <v>37</v>
      </c>
      <c r="D235" s="1" t="s">
        <v>38</v>
      </c>
      <c r="E235" s="26" t="s">
        <v>39</v>
      </c>
      <c r="F235" s="27">
        <v>1</v>
      </c>
      <c r="G235" s="33">
        <v>1</v>
      </c>
      <c r="H235" s="41"/>
      <c r="I235" s="1"/>
      <c r="J235" s="26"/>
      <c r="K235" s="27"/>
      <c r="L235" s="27"/>
      <c r="M235" s="70"/>
      <c r="N235" s="1"/>
      <c r="O235" s="26"/>
      <c r="P235" s="27"/>
      <c r="Q235" s="27"/>
      <c r="R235" s="55" t="s">
        <v>242</v>
      </c>
      <c r="S235" s="26" t="s">
        <v>38</v>
      </c>
      <c r="T235" s="26" t="s">
        <v>39</v>
      </c>
      <c r="U235" s="27">
        <v>0.84745762711864414</v>
      </c>
      <c r="V235" s="33">
        <v>1</v>
      </c>
      <c r="AG235" s="31">
        <v>0.5</v>
      </c>
      <c r="AH235" t="s">
        <v>285</v>
      </c>
    </row>
    <row r="236" spans="1:34">
      <c r="A236" s="15" t="s">
        <v>287</v>
      </c>
      <c r="B236" s="8" t="s">
        <v>211</v>
      </c>
      <c r="C236" s="41" t="s">
        <v>37</v>
      </c>
      <c r="D236" s="1" t="s">
        <v>38</v>
      </c>
      <c r="E236" s="26" t="s">
        <v>39</v>
      </c>
      <c r="F236" s="27">
        <v>1</v>
      </c>
      <c r="G236" s="33">
        <v>1</v>
      </c>
      <c r="H236" s="41"/>
      <c r="I236" s="1"/>
      <c r="J236" s="26"/>
      <c r="K236" s="27"/>
      <c r="L236" s="27"/>
      <c r="M236" s="70"/>
      <c r="N236" s="1"/>
      <c r="O236" s="26"/>
      <c r="P236" s="27"/>
      <c r="Q236" s="27"/>
      <c r="R236" s="55" t="s">
        <v>242</v>
      </c>
      <c r="S236" s="26" t="s">
        <v>38</v>
      </c>
      <c r="T236" s="26" t="s">
        <v>39</v>
      </c>
      <c r="U236" s="27">
        <v>0.84745762711864414</v>
      </c>
      <c r="V236" s="33">
        <v>1</v>
      </c>
      <c r="AG236" s="31">
        <v>0.5</v>
      </c>
      <c r="AH236" t="s">
        <v>285</v>
      </c>
    </row>
    <row r="237" spans="1:34">
      <c r="A237" s="15" t="s">
        <v>288</v>
      </c>
      <c r="B237" s="8" t="s">
        <v>211</v>
      </c>
      <c r="C237" s="41" t="s">
        <v>37</v>
      </c>
      <c r="D237" s="1" t="s">
        <v>38</v>
      </c>
      <c r="E237" s="26" t="s">
        <v>39</v>
      </c>
      <c r="F237" s="27">
        <v>1</v>
      </c>
      <c r="G237" s="33">
        <v>1</v>
      </c>
      <c r="H237" s="41"/>
      <c r="I237" s="1"/>
      <c r="J237" s="26"/>
      <c r="K237" s="27"/>
      <c r="L237" s="27"/>
      <c r="M237" s="70"/>
      <c r="N237" s="1"/>
      <c r="O237" s="26"/>
      <c r="P237" s="27"/>
      <c r="Q237" s="27"/>
      <c r="R237" s="55" t="s">
        <v>242</v>
      </c>
      <c r="S237" s="26" t="s">
        <v>38</v>
      </c>
      <c r="T237" s="26" t="s">
        <v>39</v>
      </c>
      <c r="U237" s="27">
        <v>0.84745762711864414</v>
      </c>
      <c r="V237" s="33">
        <v>1</v>
      </c>
      <c r="AG237" s="31">
        <v>0.5</v>
      </c>
      <c r="AH237" t="s">
        <v>285</v>
      </c>
    </row>
    <row r="238" spans="1:34">
      <c r="A238" s="15" t="s">
        <v>289</v>
      </c>
      <c r="B238" s="8" t="s">
        <v>211</v>
      </c>
      <c r="C238" s="41" t="s">
        <v>37</v>
      </c>
      <c r="D238" s="1" t="s">
        <v>38</v>
      </c>
      <c r="E238" s="26" t="s">
        <v>39</v>
      </c>
      <c r="F238" s="27">
        <v>1</v>
      </c>
      <c r="G238" s="33">
        <v>1</v>
      </c>
      <c r="H238" s="41"/>
      <c r="I238" s="1"/>
      <c r="J238" s="26"/>
      <c r="K238" s="27"/>
      <c r="L238" s="27"/>
      <c r="M238" s="70"/>
      <c r="N238" s="1"/>
      <c r="O238" s="26"/>
      <c r="P238" s="27"/>
      <c r="Q238" s="27"/>
      <c r="R238" s="55" t="s">
        <v>242</v>
      </c>
      <c r="S238" s="26" t="s">
        <v>38</v>
      </c>
      <c r="T238" s="26" t="s">
        <v>39</v>
      </c>
      <c r="U238" s="27">
        <v>0.84745762711864414</v>
      </c>
      <c r="V238" s="33">
        <v>1</v>
      </c>
      <c r="AG238" s="31">
        <v>0.5</v>
      </c>
      <c r="AH238" t="s">
        <v>285</v>
      </c>
    </row>
    <row r="239" spans="1:34">
      <c r="A239" s="15" t="s">
        <v>290</v>
      </c>
      <c r="B239" s="8" t="s">
        <v>211</v>
      </c>
      <c r="C239" s="41" t="s">
        <v>37</v>
      </c>
      <c r="D239" s="1" t="s">
        <v>38</v>
      </c>
      <c r="E239" s="26" t="s">
        <v>39</v>
      </c>
      <c r="F239" s="27">
        <v>1</v>
      </c>
      <c r="G239" s="33">
        <v>1</v>
      </c>
      <c r="H239" s="41"/>
      <c r="I239" s="1"/>
      <c r="J239" s="26"/>
      <c r="K239" s="27"/>
      <c r="L239" s="27"/>
      <c r="M239" s="70"/>
      <c r="N239" s="1"/>
      <c r="O239" s="26"/>
      <c r="P239" s="27"/>
      <c r="Q239" s="27"/>
      <c r="R239" s="55" t="s">
        <v>242</v>
      </c>
      <c r="S239" s="26" t="s">
        <v>38</v>
      </c>
      <c r="T239" s="26" t="s">
        <v>39</v>
      </c>
      <c r="U239" s="27">
        <v>0.84745762711864414</v>
      </c>
      <c r="V239" s="33">
        <v>1</v>
      </c>
      <c r="AG239" s="31">
        <v>0.5</v>
      </c>
      <c r="AH239" t="s">
        <v>285</v>
      </c>
    </row>
    <row r="240" spans="1:34">
      <c r="A240" s="15" t="s">
        <v>291</v>
      </c>
      <c r="B240" s="8" t="s">
        <v>211</v>
      </c>
      <c r="C240" s="41" t="s">
        <v>37</v>
      </c>
      <c r="D240" s="1" t="s">
        <v>38</v>
      </c>
      <c r="E240" s="26" t="s">
        <v>39</v>
      </c>
      <c r="F240" s="27">
        <v>1</v>
      </c>
      <c r="G240" s="33">
        <v>1</v>
      </c>
      <c r="H240" s="41"/>
      <c r="I240" s="1"/>
      <c r="J240" s="26"/>
      <c r="K240" s="27"/>
      <c r="L240" s="27"/>
      <c r="M240" s="70"/>
      <c r="N240" s="1"/>
      <c r="O240" s="26"/>
      <c r="P240" s="27"/>
      <c r="Q240" s="27"/>
      <c r="R240" s="55" t="s">
        <v>242</v>
      </c>
      <c r="S240" s="26" t="s">
        <v>38</v>
      </c>
      <c r="T240" s="26" t="s">
        <v>39</v>
      </c>
      <c r="U240" s="27">
        <v>0.84745762711864414</v>
      </c>
      <c r="V240" s="33">
        <v>1</v>
      </c>
      <c r="AG240" s="31">
        <v>0.5</v>
      </c>
      <c r="AH240" t="s">
        <v>285</v>
      </c>
    </row>
    <row r="241" spans="1:34">
      <c r="A241" s="15" t="s">
        <v>292</v>
      </c>
      <c r="B241" s="8" t="s">
        <v>211</v>
      </c>
      <c r="C241" s="41" t="s">
        <v>37</v>
      </c>
      <c r="D241" s="1" t="s">
        <v>38</v>
      </c>
      <c r="E241" s="26" t="s">
        <v>39</v>
      </c>
      <c r="F241" s="27">
        <v>1</v>
      </c>
      <c r="G241" s="33">
        <v>1</v>
      </c>
      <c r="H241" s="41"/>
      <c r="I241" s="1"/>
      <c r="J241" s="26"/>
      <c r="K241" s="27"/>
      <c r="L241" s="27"/>
      <c r="M241" s="70"/>
      <c r="N241" s="1"/>
      <c r="O241" s="26"/>
      <c r="P241" s="27"/>
      <c r="Q241" s="27"/>
      <c r="R241" s="55" t="s">
        <v>242</v>
      </c>
      <c r="S241" s="26" t="s">
        <v>38</v>
      </c>
      <c r="T241" s="26" t="s">
        <v>39</v>
      </c>
      <c r="U241" s="27">
        <v>0.84745762711864414</v>
      </c>
      <c r="V241" s="33">
        <v>1</v>
      </c>
      <c r="AG241" s="31">
        <v>0.5</v>
      </c>
      <c r="AH241" t="s">
        <v>285</v>
      </c>
    </row>
    <row r="242" spans="1:34">
      <c r="A242" s="15" t="s">
        <v>293</v>
      </c>
      <c r="B242" s="8" t="s">
        <v>211</v>
      </c>
      <c r="C242" s="41" t="s">
        <v>37</v>
      </c>
      <c r="D242" s="1" t="s">
        <v>38</v>
      </c>
      <c r="E242" s="26" t="s">
        <v>39</v>
      </c>
      <c r="F242" s="27">
        <v>1</v>
      </c>
      <c r="G242" s="33">
        <v>1</v>
      </c>
      <c r="H242" s="41"/>
      <c r="I242" s="1"/>
      <c r="J242" s="26"/>
      <c r="K242" s="27"/>
      <c r="L242" s="27"/>
      <c r="M242" s="70"/>
      <c r="N242" s="1"/>
      <c r="O242" s="26"/>
      <c r="P242" s="27"/>
      <c r="Q242" s="27"/>
      <c r="R242" s="55" t="s">
        <v>242</v>
      </c>
      <c r="S242" s="26" t="s">
        <v>38</v>
      </c>
      <c r="T242" s="26" t="s">
        <v>39</v>
      </c>
      <c r="U242" s="27">
        <v>0.84745762711864414</v>
      </c>
      <c r="V242" s="33">
        <v>1</v>
      </c>
      <c r="AG242" s="31">
        <v>0.5</v>
      </c>
      <c r="AH242" t="s">
        <v>285</v>
      </c>
    </row>
    <row r="243" spans="1:34">
      <c r="A243" s="15" t="s">
        <v>294</v>
      </c>
      <c r="B243" s="8" t="s">
        <v>211</v>
      </c>
      <c r="C243" s="41" t="s">
        <v>37</v>
      </c>
      <c r="D243" s="1" t="s">
        <v>38</v>
      </c>
      <c r="E243" s="26" t="s">
        <v>39</v>
      </c>
      <c r="F243" s="27">
        <v>1</v>
      </c>
      <c r="G243" s="33">
        <v>1</v>
      </c>
      <c r="H243" s="41"/>
      <c r="I243" s="1"/>
      <c r="J243" s="26"/>
      <c r="K243" s="27"/>
      <c r="L243" s="27"/>
      <c r="M243" s="70"/>
      <c r="N243" s="1"/>
      <c r="O243" s="26"/>
      <c r="P243" s="27"/>
      <c r="Q243" s="27"/>
      <c r="R243" s="55" t="s">
        <v>242</v>
      </c>
      <c r="S243" s="26" t="s">
        <v>38</v>
      </c>
      <c r="T243" s="26" t="s">
        <v>39</v>
      </c>
      <c r="U243" s="27">
        <v>0.84745762711864414</v>
      </c>
      <c r="V243" s="33">
        <v>1</v>
      </c>
      <c r="AG243" s="31">
        <v>0.5</v>
      </c>
      <c r="AH243" t="s">
        <v>285</v>
      </c>
    </row>
    <row r="244" spans="1:34">
      <c r="A244" s="15" t="s">
        <v>295</v>
      </c>
      <c r="B244" s="8" t="s">
        <v>211</v>
      </c>
      <c r="C244" s="41" t="s">
        <v>37</v>
      </c>
      <c r="D244" s="1" t="s">
        <v>38</v>
      </c>
      <c r="E244" s="26" t="s">
        <v>39</v>
      </c>
      <c r="F244" s="27">
        <v>1</v>
      </c>
      <c r="G244" s="33">
        <v>1</v>
      </c>
      <c r="H244" s="41"/>
      <c r="I244" s="1"/>
      <c r="J244" s="26"/>
      <c r="K244" s="27"/>
      <c r="L244" s="27"/>
      <c r="M244" s="70"/>
      <c r="N244" s="1"/>
      <c r="O244" s="26"/>
      <c r="P244" s="27"/>
      <c r="Q244" s="27"/>
      <c r="R244" s="55" t="s">
        <v>242</v>
      </c>
      <c r="S244" s="26" t="s">
        <v>38</v>
      </c>
      <c r="T244" s="26" t="s">
        <v>39</v>
      </c>
      <c r="U244" s="27">
        <v>0.84745762711864414</v>
      </c>
      <c r="V244" s="33">
        <v>1</v>
      </c>
      <c r="AG244" s="31">
        <v>0.5</v>
      </c>
      <c r="AH244" t="s">
        <v>285</v>
      </c>
    </row>
    <row r="245" spans="1:34">
      <c r="A245" s="15" t="s">
        <v>296</v>
      </c>
      <c r="B245" s="8" t="s">
        <v>211</v>
      </c>
      <c r="C245" s="41" t="s">
        <v>37</v>
      </c>
      <c r="D245" s="1" t="s">
        <v>38</v>
      </c>
      <c r="E245" s="26" t="s">
        <v>39</v>
      </c>
      <c r="F245" s="27">
        <v>1</v>
      </c>
      <c r="G245" s="33">
        <v>1</v>
      </c>
      <c r="H245" s="41"/>
      <c r="I245" s="1"/>
      <c r="J245" s="26"/>
      <c r="K245" s="27"/>
      <c r="L245" s="27"/>
      <c r="M245" s="70"/>
      <c r="N245" s="1"/>
      <c r="O245" s="26"/>
      <c r="P245" s="27"/>
      <c r="Q245" s="27"/>
      <c r="R245" s="55" t="s">
        <v>242</v>
      </c>
      <c r="S245" s="26" t="s">
        <v>38</v>
      </c>
      <c r="T245" s="26" t="s">
        <v>39</v>
      </c>
      <c r="U245" s="27">
        <v>0.84745762711864414</v>
      </c>
      <c r="V245" s="33">
        <v>1</v>
      </c>
      <c r="AG245" s="31">
        <v>0.5</v>
      </c>
      <c r="AH245" t="s">
        <v>285</v>
      </c>
    </row>
    <row r="246" spans="1:34">
      <c r="A246" s="15" t="s">
        <v>297</v>
      </c>
      <c r="B246" s="8" t="s">
        <v>211</v>
      </c>
      <c r="C246" s="41" t="s">
        <v>37</v>
      </c>
      <c r="D246" s="1" t="s">
        <v>38</v>
      </c>
      <c r="E246" s="26" t="s">
        <v>39</v>
      </c>
      <c r="F246" s="27">
        <v>1</v>
      </c>
      <c r="G246" s="33">
        <v>1</v>
      </c>
      <c r="H246" s="41"/>
      <c r="I246" s="1"/>
      <c r="J246" s="26"/>
      <c r="K246" s="27"/>
      <c r="L246" s="27"/>
      <c r="M246" s="70"/>
      <c r="N246" s="1"/>
      <c r="O246" s="26"/>
      <c r="P246" s="27"/>
      <c r="Q246" s="27"/>
      <c r="R246" s="55" t="s">
        <v>242</v>
      </c>
      <c r="S246" s="26" t="s">
        <v>38</v>
      </c>
      <c r="T246" s="26" t="s">
        <v>39</v>
      </c>
      <c r="U246" s="27">
        <v>0.84745762711864414</v>
      </c>
      <c r="V246" s="33">
        <v>1</v>
      </c>
      <c r="AG246" s="31">
        <v>0.5</v>
      </c>
      <c r="AH246" t="s">
        <v>285</v>
      </c>
    </row>
    <row r="247" spans="1:34">
      <c r="A247" s="16" t="s">
        <v>298</v>
      </c>
      <c r="B247" s="8" t="s">
        <v>211</v>
      </c>
      <c r="C247" s="41" t="s">
        <v>37</v>
      </c>
      <c r="D247" s="1" t="s">
        <v>38</v>
      </c>
      <c r="E247" s="26" t="s">
        <v>39</v>
      </c>
      <c r="F247" s="27">
        <v>1</v>
      </c>
      <c r="G247" s="33">
        <v>1</v>
      </c>
      <c r="H247" s="41"/>
      <c r="I247" s="1"/>
      <c r="J247" s="26"/>
      <c r="K247" s="27"/>
      <c r="L247" s="27"/>
      <c r="M247" s="70"/>
      <c r="N247" s="1"/>
      <c r="O247" s="26"/>
      <c r="P247" s="27"/>
      <c r="Q247" s="27"/>
      <c r="R247" s="55" t="s">
        <v>242</v>
      </c>
      <c r="S247" s="26" t="s">
        <v>38</v>
      </c>
      <c r="T247" s="26" t="s">
        <v>39</v>
      </c>
      <c r="U247" s="27">
        <v>0.84745762711864414</v>
      </c>
      <c r="V247" s="33">
        <v>1</v>
      </c>
      <c r="AG247" s="31">
        <v>0.5</v>
      </c>
      <c r="AH247" t="s">
        <v>285</v>
      </c>
    </row>
    <row r="248" spans="1:34" s="6" customFormat="1">
      <c r="A248" s="15" t="s">
        <v>299</v>
      </c>
      <c r="B248" s="9" t="s">
        <v>300</v>
      </c>
      <c r="C248" s="45" t="s">
        <v>160</v>
      </c>
      <c r="D248" s="46" t="s">
        <v>38</v>
      </c>
      <c r="E248" s="47" t="s">
        <v>39</v>
      </c>
      <c r="F248" s="48">
        <v>0.81300813008130079</v>
      </c>
      <c r="G248" s="49">
        <v>1</v>
      </c>
      <c r="H248" s="47"/>
      <c r="I248" s="47"/>
      <c r="J248" s="47"/>
      <c r="K248" s="48"/>
      <c r="L248" s="48"/>
      <c r="M248" s="72"/>
      <c r="N248" s="47"/>
      <c r="O248" s="47"/>
      <c r="P248" s="48"/>
      <c r="Q248" s="50"/>
      <c r="R248" s="54" t="s">
        <v>161</v>
      </c>
      <c r="S248" s="47" t="s">
        <v>38</v>
      </c>
      <c r="T248" s="47" t="s">
        <v>39</v>
      </c>
      <c r="U248" s="48">
        <v>0.83333333333333337</v>
      </c>
      <c r="V248" s="49">
        <v>1</v>
      </c>
      <c r="W248" s="28"/>
      <c r="X248" s="28"/>
      <c r="Y248" s="28"/>
      <c r="Z248" s="29"/>
      <c r="AA248" s="28"/>
      <c r="AB248" s="74"/>
      <c r="AC248" s="28"/>
      <c r="AD248" s="28"/>
      <c r="AE248" s="28"/>
      <c r="AF248" s="39"/>
      <c r="AG248" s="29">
        <v>0</v>
      </c>
      <c r="AH248" s="6" t="s">
        <v>44</v>
      </c>
    </row>
    <row r="249" spans="1:34">
      <c r="A249" s="15" t="s">
        <v>301</v>
      </c>
      <c r="B249" s="8" t="s">
        <v>300</v>
      </c>
      <c r="C249" s="41" t="s">
        <v>160</v>
      </c>
      <c r="D249" s="1" t="s">
        <v>38</v>
      </c>
      <c r="E249" s="26" t="s">
        <v>39</v>
      </c>
      <c r="F249" s="27">
        <v>0.81300813008130079</v>
      </c>
      <c r="G249" s="33">
        <v>1</v>
      </c>
      <c r="R249" s="55" t="s">
        <v>161</v>
      </c>
      <c r="S249" s="26" t="s">
        <v>38</v>
      </c>
      <c r="T249" s="26" t="s">
        <v>39</v>
      </c>
      <c r="U249" s="27">
        <v>0.83333333333333337</v>
      </c>
      <c r="V249" s="33">
        <v>1</v>
      </c>
      <c r="AG249" s="31">
        <v>0</v>
      </c>
      <c r="AH249" t="s">
        <v>44</v>
      </c>
    </row>
    <row r="250" spans="1:34">
      <c r="A250" s="15" t="s">
        <v>302</v>
      </c>
      <c r="B250" s="8" t="s">
        <v>300</v>
      </c>
      <c r="C250" s="41" t="s">
        <v>160</v>
      </c>
      <c r="D250" s="1" t="s">
        <v>38</v>
      </c>
      <c r="E250" s="26" t="s">
        <v>39</v>
      </c>
      <c r="F250" s="27">
        <v>0.81300813008130079</v>
      </c>
      <c r="G250" s="33">
        <v>1</v>
      </c>
      <c r="R250" s="55" t="s">
        <v>161</v>
      </c>
      <c r="S250" s="26" t="s">
        <v>38</v>
      </c>
      <c r="T250" s="26" t="s">
        <v>39</v>
      </c>
      <c r="U250" s="27">
        <v>0.83333333333333337</v>
      </c>
      <c r="V250" s="33">
        <v>1</v>
      </c>
      <c r="AG250" s="31">
        <v>0</v>
      </c>
      <c r="AH250" t="s">
        <v>44</v>
      </c>
    </row>
    <row r="251" spans="1:34">
      <c r="A251" s="15" t="s">
        <v>303</v>
      </c>
      <c r="B251" s="8" t="s">
        <v>300</v>
      </c>
      <c r="C251" s="41" t="s">
        <v>160</v>
      </c>
      <c r="D251" s="1" t="s">
        <v>38</v>
      </c>
      <c r="E251" s="26" t="s">
        <v>39</v>
      </c>
      <c r="F251" s="27">
        <v>0.81300813008130079</v>
      </c>
      <c r="G251" s="33">
        <v>1</v>
      </c>
      <c r="R251" s="55" t="s">
        <v>161</v>
      </c>
      <c r="S251" s="26" t="s">
        <v>38</v>
      </c>
      <c r="T251" s="26" t="s">
        <v>39</v>
      </c>
      <c r="U251" s="27">
        <v>0.83333333333333337</v>
      </c>
      <c r="V251" s="33">
        <v>1</v>
      </c>
      <c r="AG251" s="31">
        <v>0</v>
      </c>
      <c r="AH251" t="s">
        <v>44</v>
      </c>
    </row>
    <row r="252" spans="1:34">
      <c r="A252" s="15" t="s">
        <v>304</v>
      </c>
      <c r="B252" s="8" t="s">
        <v>300</v>
      </c>
      <c r="C252" s="41" t="s">
        <v>160</v>
      </c>
      <c r="D252" s="1" t="s">
        <v>38</v>
      </c>
      <c r="E252" s="26" t="s">
        <v>39</v>
      </c>
      <c r="F252" s="27">
        <v>0.81300813008130079</v>
      </c>
      <c r="G252" s="33">
        <v>1</v>
      </c>
      <c r="R252" s="55" t="s">
        <v>161</v>
      </c>
      <c r="S252" s="26" t="s">
        <v>38</v>
      </c>
      <c r="T252" s="26" t="s">
        <v>39</v>
      </c>
      <c r="U252" s="27">
        <v>0.83333333333333337</v>
      </c>
      <c r="V252" s="33">
        <v>1</v>
      </c>
      <c r="AG252" s="31">
        <v>0</v>
      </c>
      <c r="AH252" t="s">
        <v>44</v>
      </c>
    </row>
    <row r="253" spans="1:34">
      <c r="A253" s="15" t="s">
        <v>305</v>
      </c>
      <c r="B253" s="8" t="s">
        <v>300</v>
      </c>
      <c r="C253" s="41" t="s">
        <v>160</v>
      </c>
      <c r="D253" s="1" t="s">
        <v>38</v>
      </c>
      <c r="E253" s="26" t="s">
        <v>39</v>
      </c>
      <c r="F253" s="27">
        <v>0.81300813008130079</v>
      </c>
      <c r="G253" s="33">
        <v>1</v>
      </c>
      <c r="R253" s="55" t="s">
        <v>161</v>
      </c>
      <c r="S253" s="26" t="s">
        <v>38</v>
      </c>
      <c r="T253" s="26" t="s">
        <v>39</v>
      </c>
      <c r="U253" s="27">
        <v>0.83333333333333337</v>
      </c>
      <c r="V253" s="33">
        <v>1</v>
      </c>
      <c r="AG253" s="31">
        <v>0</v>
      </c>
      <c r="AH253" t="s">
        <v>44</v>
      </c>
    </row>
    <row r="254" spans="1:34">
      <c r="A254" s="15" t="s">
        <v>306</v>
      </c>
      <c r="B254" s="8" t="s">
        <v>300</v>
      </c>
      <c r="C254" s="41" t="s">
        <v>160</v>
      </c>
      <c r="D254" s="1" t="s">
        <v>38</v>
      </c>
      <c r="E254" s="26" t="s">
        <v>39</v>
      </c>
      <c r="F254" s="27">
        <v>0.81300813008130079</v>
      </c>
      <c r="G254" s="33">
        <v>1</v>
      </c>
      <c r="R254" s="55" t="s">
        <v>161</v>
      </c>
      <c r="S254" s="26" t="s">
        <v>38</v>
      </c>
      <c r="T254" s="26" t="s">
        <v>39</v>
      </c>
      <c r="U254" s="27">
        <v>0.83333333333333337</v>
      </c>
      <c r="V254" s="33">
        <v>1</v>
      </c>
      <c r="AG254" s="31">
        <v>0</v>
      </c>
      <c r="AH254" t="s">
        <v>44</v>
      </c>
    </row>
    <row r="255" spans="1:34">
      <c r="A255" s="15" t="s">
        <v>307</v>
      </c>
      <c r="B255" s="8" t="s">
        <v>300</v>
      </c>
      <c r="C255" s="41" t="s">
        <v>160</v>
      </c>
      <c r="D255" s="1" t="s">
        <v>38</v>
      </c>
      <c r="E255" s="26" t="s">
        <v>39</v>
      </c>
      <c r="F255" s="27">
        <v>0.81300813008130079</v>
      </c>
      <c r="G255" s="33">
        <v>1</v>
      </c>
      <c r="R255" s="55" t="s">
        <v>161</v>
      </c>
      <c r="S255" s="26" t="s">
        <v>38</v>
      </c>
      <c r="T255" s="26" t="s">
        <v>39</v>
      </c>
      <c r="U255" s="27">
        <v>0.83333333333333337</v>
      </c>
      <c r="V255" s="33">
        <v>1</v>
      </c>
      <c r="AG255" s="31">
        <v>0</v>
      </c>
      <c r="AH255" t="s">
        <v>44</v>
      </c>
    </row>
    <row r="256" spans="1:34">
      <c r="A256" s="15" t="s">
        <v>308</v>
      </c>
      <c r="B256" s="8" t="s">
        <v>300</v>
      </c>
      <c r="C256" s="41" t="s">
        <v>160</v>
      </c>
      <c r="D256" s="1" t="s">
        <v>38</v>
      </c>
      <c r="E256" s="26" t="s">
        <v>39</v>
      </c>
      <c r="F256" s="27">
        <v>0.81300813008130079</v>
      </c>
      <c r="G256" s="33">
        <v>1</v>
      </c>
      <c r="R256" s="55" t="s">
        <v>161</v>
      </c>
      <c r="S256" s="26" t="s">
        <v>38</v>
      </c>
      <c r="T256" s="26" t="s">
        <v>39</v>
      </c>
      <c r="U256" s="27">
        <v>0.83333333333333337</v>
      </c>
      <c r="V256" s="33">
        <v>1</v>
      </c>
      <c r="AG256" s="31">
        <v>0</v>
      </c>
      <c r="AH256" t="s">
        <v>44</v>
      </c>
    </row>
    <row r="257" spans="1:34">
      <c r="A257" s="15" t="s">
        <v>309</v>
      </c>
      <c r="B257" s="8" t="s">
        <v>300</v>
      </c>
      <c r="C257" s="41" t="s">
        <v>160</v>
      </c>
      <c r="D257" s="1" t="s">
        <v>38</v>
      </c>
      <c r="E257" s="26" t="s">
        <v>39</v>
      </c>
      <c r="F257" s="27">
        <v>0.81300813008130079</v>
      </c>
      <c r="G257" s="33">
        <v>1</v>
      </c>
      <c r="R257" s="55" t="s">
        <v>161</v>
      </c>
      <c r="S257" s="26" t="s">
        <v>38</v>
      </c>
      <c r="T257" s="26" t="s">
        <v>39</v>
      </c>
      <c r="U257" s="27">
        <v>0.83333333333333337</v>
      </c>
      <c r="V257" s="33">
        <v>1</v>
      </c>
      <c r="AG257" s="31">
        <v>0</v>
      </c>
      <c r="AH257" t="s">
        <v>44</v>
      </c>
    </row>
    <row r="258" spans="1:34">
      <c r="A258" s="15" t="s">
        <v>310</v>
      </c>
      <c r="B258" s="8" t="s">
        <v>300</v>
      </c>
      <c r="C258" s="41" t="s">
        <v>160</v>
      </c>
      <c r="D258" s="1" t="s">
        <v>38</v>
      </c>
      <c r="E258" s="26" t="s">
        <v>39</v>
      </c>
      <c r="F258" s="27">
        <v>0.81300813008130079</v>
      </c>
      <c r="G258" s="33">
        <v>1</v>
      </c>
      <c r="R258" s="55" t="s">
        <v>161</v>
      </c>
      <c r="S258" s="26" t="s">
        <v>38</v>
      </c>
      <c r="T258" s="26" t="s">
        <v>39</v>
      </c>
      <c r="U258" s="27">
        <v>0.83333333333333337</v>
      </c>
      <c r="V258" s="33">
        <v>1</v>
      </c>
      <c r="AG258" s="31">
        <v>0</v>
      </c>
      <c r="AH258" t="s">
        <v>44</v>
      </c>
    </row>
    <row r="259" spans="1:34">
      <c r="A259" s="15" t="s">
        <v>311</v>
      </c>
      <c r="B259" s="8" t="s">
        <v>300</v>
      </c>
      <c r="C259" s="41" t="s">
        <v>160</v>
      </c>
      <c r="D259" s="1" t="s">
        <v>38</v>
      </c>
      <c r="E259" s="26" t="s">
        <v>39</v>
      </c>
      <c r="F259" s="27">
        <v>0.81300813008130079</v>
      </c>
      <c r="G259" s="33">
        <v>1</v>
      </c>
      <c r="R259" s="55" t="s">
        <v>161</v>
      </c>
      <c r="S259" s="26" t="s">
        <v>38</v>
      </c>
      <c r="T259" s="26" t="s">
        <v>39</v>
      </c>
      <c r="U259" s="27">
        <v>0.83333333333333337</v>
      </c>
      <c r="V259" s="33">
        <v>1</v>
      </c>
      <c r="AG259" s="31">
        <v>0</v>
      </c>
      <c r="AH259" t="s">
        <v>44</v>
      </c>
    </row>
    <row r="260" spans="1:34">
      <c r="A260" s="15" t="s">
        <v>312</v>
      </c>
      <c r="B260" s="8" t="s">
        <v>300</v>
      </c>
      <c r="C260" s="41" t="s">
        <v>160</v>
      </c>
      <c r="D260" s="1" t="s">
        <v>38</v>
      </c>
      <c r="E260" s="26" t="s">
        <v>39</v>
      </c>
      <c r="F260" s="27">
        <v>0.81300813008130079</v>
      </c>
      <c r="G260" s="33">
        <v>1</v>
      </c>
      <c r="R260" s="55" t="s">
        <v>161</v>
      </c>
      <c r="S260" s="26" t="s">
        <v>38</v>
      </c>
      <c r="T260" s="26" t="s">
        <v>39</v>
      </c>
      <c r="U260" s="27">
        <v>0.83333333333333337</v>
      </c>
      <c r="V260" s="33">
        <v>1</v>
      </c>
      <c r="AG260" s="31">
        <v>0</v>
      </c>
      <c r="AH260" t="s">
        <v>44</v>
      </c>
    </row>
    <row r="261" spans="1:34">
      <c r="A261" s="15" t="s">
        <v>313</v>
      </c>
      <c r="B261" s="8" t="s">
        <v>300</v>
      </c>
      <c r="C261" s="41" t="s">
        <v>160</v>
      </c>
      <c r="D261" s="1" t="s">
        <v>38</v>
      </c>
      <c r="E261" s="26" t="s">
        <v>39</v>
      </c>
      <c r="F261" s="27">
        <v>0.81300813008130079</v>
      </c>
      <c r="G261" s="33">
        <v>1</v>
      </c>
      <c r="R261" s="55" t="s">
        <v>161</v>
      </c>
      <c r="S261" s="26" t="s">
        <v>38</v>
      </c>
      <c r="T261" s="26" t="s">
        <v>39</v>
      </c>
      <c r="U261" s="27">
        <v>0.83333333333333337</v>
      </c>
      <c r="V261" s="33">
        <v>1</v>
      </c>
      <c r="AG261" s="31">
        <v>0</v>
      </c>
      <c r="AH261" t="s">
        <v>44</v>
      </c>
    </row>
    <row r="262" spans="1:34">
      <c r="A262" s="15" t="s">
        <v>314</v>
      </c>
      <c r="B262" s="8" t="s">
        <v>300</v>
      </c>
      <c r="C262" s="41" t="s">
        <v>160</v>
      </c>
      <c r="D262" s="1" t="s">
        <v>38</v>
      </c>
      <c r="E262" s="26" t="s">
        <v>39</v>
      </c>
      <c r="F262" s="27">
        <v>0.81300813008130079</v>
      </c>
      <c r="G262" s="33">
        <v>1</v>
      </c>
      <c r="R262" s="55" t="s">
        <v>161</v>
      </c>
      <c r="S262" s="26" t="s">
        <v>38</v>
      </c>
      <c r="T262" s="26" t="s">
        <v>39</v>
      </c>
      <c r="U262" s="27">
        <v>0.83333333333333337</v>
      </c>
      <c r="V262" s="33">
        <v>1</v>
      </c>
      <c r="AG262" s="31">
        <v>0</v>
      </c>
      <c r="AH262" t="s">
        <v>44</v>
      </c>
    </row>
    <row r="263" spans="1:34">
      <c r="A263" s="15" t="s">
        <v>315</v>
      </c>
      <c r="B263" s="8" t="s">
        <v>300</v>
      </c>
      <c r="C263" s="41" t="s">
        <v>160</v>
      </c>
      <c r="D263" s="1" t="s">
        <v>38</v>
      </c>
      <c r="E263" s="26" t="s">
        <v>39</v>
      </c>
      <c r="F263" s="27">
        <v>0.81300813008130079</v>
      </c>
      <c r="G263" s="33">
        <v>1</v>
      </c>
      <c r="R263" s="55" t="s">
        <v>161</v>
      </c>
      <c r="S263" s="26" t="s">
        <v>38</v>
      </c>
      <c r="T263" s="26" t="s">
        <v>39</v>
      </c>
      <c r="U263" s="27">
        <v>0.83333333333333337</v>
      </c>
      <c r="V263" s="33">
        <v>1</v>
      </c>
      <c r="AG263" s="31">
        <v>0</v>
      </c>
      <c r="AH263" t="s">
        <v>44</v>
      </c>
    </row>
    <row r="264" spans="1:34">
      <c r="A264" s="15" t="s">
        <v>316</v>
      </c>
      <c r="B264" s="8" t="s">
        <v>300</v>
      </c>
      <c r="C264" s="41" t="s">
        <v>160</v>
      </c>
      <c r="D264" s="1" t="s">
        <v>38</v>
      </c>
      <c r="E264" s="26" t="s">
        <v>39</v>
      </c>
      <c r="F264" s="27">
        <v>0.81300813008130079</v>
      </c>
      <c r="G264" s="33">
        <v>1</v>
      </c>
      <c r="R264" s="55" t="s">
        <v>161</v>
      </c>
      <c r="S264" s="26" t="s">
        <v>38</v>
      </c>
      <c r="T264" s="26" t="s">
        <v>39</v>
      </c>
      <c r="U264" s="27">
        <v>0.83333333333333337</v>
      </c>
      <c r="V264" s="33">
        <v>1</v>
      </c>
      <c r="AG264" s="31">
        <v>0</v>
      </c>
      <c r="AH264" t="s">
        <v>44</v>
      </c>
    </row>
    <row r="265" spans="1:34">
      <c r="A265" s="15" t="s">
        <v>317</v>
      </c>
      <c r="B265" s="8" t="s">
        <v>300</v>
      </c>
      <c r="C265" s="41" t="s">
        <v>160</v>
      </c>
      <c r="D265" s="1" t="s">
        <v>38</v>
      </c>
      <c r="E265" s="26" t="s">
        <v>39</v>
      </c>
      <c r="F265" s="27">
        <v>0.81300813008130079</v>
      </c>
      <c r="G265" s="33">
        <v>1</v>
      </c>
      <c r="R265" s="55" t="s">
        <v>161</v>
      </c>
      <c r="S265" s="26" t="s">
        <v>38</v>
      </c>
      <c r="T265" s="26" t="s">
        <v>39</v>
      </c>
      <c r="U265" s="27">
        <v>0.83333333333333337</v>
      </c>
      <c r="V265" s="33">
        <v>1</v>
      </c>
      <c r="AG265" s="31">
        <v>0</v>
      </c>
      <c r="AH265" t="s">
        <v>44</v>
      </c>
    </row>
    <row r="266" spans="1:34">
      <c r="A266" s="15" t="s">
        <v>318</v>
      </c>
      <c r="B266" s="8" t="s">
        <v>300</v>
      </c>
      <c r="C266" s="41" t="s">
        <v>160</v>
      </c>
      <c r="D266" s="1" t="s">
        <v>38</v>
      </c>
      <c r="E266" s="26" t="s">
        <v>39</v>
      </c>
      <c r="F266" s="27">
        <v>0.81300813008130079</v>
      </c>
      <c r="G266" s="33">
        <v>1</v>
      </c>
      <c r="R266" s="55" t="s">
        <v>161</v>
      </c>
      <c r="S266" s="26" t="s">
        <v>38</v>
      </c>
      <c r="T266" s="26" t="s">
        <v>39</v>
      </c>
      <c r="U266" s="27">
        <v>0.83333333333333337</v>
      </c>
      <c r="V266" s="33">
        <v>1</v>
      </c>
      <c r="AG266" s="31">
        <v>0</v>
      </c>
      <c r="AH266" t="s">
        <v>44</v>
      </c>
    </row>
    <row r="267" spans="1:34">
      <c r="A267" s="15" t="s">
        <v>319</v>
      </c>
      <c r="B267" s="8" t="s">
        <v>300</v>
      </c>
      <c r="C267" s="41" t="s">
        <v>160</v>
      </c>
      <c r="D267" s="1" t="s">
        <v>38</v>
      </c>
      <c r="E267" s="26" t="s">
        <v>39</v>
      </c>
      <c r="F267" s="27">
        <v>0.81300813008130079</v>
      </c>
      <c r="G267" s="33">
        <v>1</v>
      </c>
      <c r="R267" s="55" t="s">
        <v>161</v>
      </c>
      <c r="S267" s="26" t="s">
        <v>38</v>
      </c>
      <c r="T267" s="26" t="s">
        <v>39</v>
      </c>
      <c r="U267" s="27">
        <v>0.83333333333333337</v>
      </c>
      <c r="V267" s="33">
        <v>1</v>
      </c>
      <c r="AG267" s="31">
        <v>0</v>
      </c>
      <c r="AH267" t="s">
        <v>44</v>
      </c>
    </row>
    <row r="268" spans="1:34">
      <c r="A268" s="15" t="s">
        <v>320</v>
      </c>
      <c r="B268" s="8" t="s">
        <v>300</v>
      </c>
      <c r="C268" s="41" t="s">
        <v>160</v>
      </c>
      <c r="D268" s="1" t="s">
        <v>38</v>
      </c>
      <c r="E268" s="26" t="s">
        <v>39</v>
      </c>
      <c r="F268" s="27">
        <v>0.81300813008130079</v>
      </c>
      <c r="G268" s="33">
        <v>1</v>
      </c>
      <c r="R268" s="55" t="s">
        <v>161</v>
      </c>
      <c r="S268" s="26" t="s">
        <v>38</v>
      </c>
      <c r="T268" s="26" t="s">
        <v>39</v>
      </c>
      <c r="U268" s="27">
        <v>0.83333333333333337</v>
      </c>
      <c r="V268" s="33">
        <v>1</v>
      </c>
      <c r="AG268" s="31">
        <v>0</v>
      </c>
      <c r="AH268" t="s">
        <v>44</v>
      </c>
    </row>
    <row r="269" spans="1:34">
      <c r="A269" s="15" t="s">
        <v>321</v>
      </c>
      <c r="B269" s="8" t="s">
        <v>300</v>
      </c>
      <c r="C269" s="41" t="s">
        <v>160</v>
      </c>
      <c r="D269" s="1" t="s">
        <v>38</v>
      </c>
      <c r="E269" s="26" t="s">
        <v>39</v>
      </c>
      <c r="F269" s="27">
        <v>0.81300813008130079</v>
      </c>
      <c r="G269" s="33">
        <v>1</v>
      </c>
      <c r="R269" s="55" t="s">
        <v>161</v>
      </c>
      <c r="S269" s="26" t="s">
        <v>38</v>
      </c>
      <c r="T269" s="26" t="s">
        <v>39</v>
      </c>
      <c r="U269" s="27">
        <v>0.83333333333333337</v>
      </c>
      <c r="V269" s="33">
        <v>1</v>
      </c>
      <c r="AG269" s="31">
        <v>1</v>
      </c>
      <c r="AH269" t="s">
        <v>73</v>
      </c>
    </row>
    <row r="270" spans="1:34">
      <c r="A270" s="15" t="s">
        <v>322</v>
      </c>
      <c r="B270" s="8" t="s">
        <v>300</v>
      </c>
      <c r="C270" s="41" t="s">
        <v>160</v>
      </c>
      <c r="D270" s="1" t="s">
        <v>38</v>
      </c>
      <c r="E270" s="26" t="s">
        <v>39</v>
      </c>
      <c r="F270" s="27">
        <v>0.81300813008130079</v>
      </c>
      <c r="G270" s="33">
        <v>1</v>
      </c>
      <c r="R270" s="55" t="s">
        <v>161</v>
      </c>
      <c r="S270" s="26" t="s">
        <v>38</v>
      </c>
      <c r="T270" s="26" t="s">
        <v>39</v>
      </c>
      <c r="U270" s="27">
        <v>0.83333333333333337</v>
      </c>
      <c r="V270" s="33">
        <v>1</v>
      </c>
      <c r="AG270" s="31">
        <v>1</v>
      </c>
      <c r="AH270" t="s">
        <v>73</v>
      </c>
    </row>
    <row r="271" spans="1:34">
      <c r="A271" s="15" t="s">
        <v>323</v>
      </c>
      <c r="B271" s="8" t="s">
        <v>300</v>
      </c>
      <c r="C271" s="41" t="s">
        <v>160</v>
      </c>
      <c r="D271" s="1" t="s">
        <v>38</v>
      </c>
      <c r="E271" s="26" t="s">
        <v>39</v>
      </c>
      <c r="F271" s="27">
        <v>0.81300813008130079</v>
      </c>
      <c r="G271" s="33">
        <v>1</v>
      </c>
      <c r="R271" s="55" t="s">
        <v>161</v>
      </c>
      <c r="S271" s="26" t="s">
        <v>38</v>
      </c>
      <c r="T271" s="26" t="s">
        <v>39</v>
      </c>
      <c r="U271" s="27">
        <v>0.83333333333333337</v>
      </c>
      <c r="V271" s="33">
        <v>1</v>
      </c>
      <c r="AG271" s="31">
        <v>1</v>
      </c>
      <c r="AH271" t="s">
        <v>73</v>
      </c>
    </row>
    <row r="272" spans="1:34">
      <c r="A272" s="15" t="s">
        <v>324</v>
      </c>
      <c r="B272" s="8" t="s">
        <v>300</v>
      </c>
      <c r="C272" s="41" t="s">
        <v>160</v>
      </c>
      <c r="D272" s="1" t="s">
        <v>38</v>
      </c>
      <c r="E272" s="26" t="s">
        <v>39</v>
      </c>
      <c r="F272" s="27">
        <v>0.81300813008130079</v>
      </c>
      <c r="G272" s="33">
        <v>1</v>
      </c>
      <c r="R272" s="55" t="s">
        <v>161</v>
      </c>
      <c r="S272" s="26" t="s">
        <v>38</v>
      </c>
      <c r="T272" s="26" t="s">
        <v>39</v>
      </c>
      <c r="U272" s="27">
        <v>0.83333333333333337</v>
      </c>
      <c r="V272" s="33">
        <v>1</v>
      </c>
      <c r="AG272" s="31">
        <v>1</v>
      </c>
      <c r="AH272" t="s">
        <v>73</v>
      </c>
    </row>
    <row r="273" spans="1:34">
      <c r="A273" s="15" t="s">
        <v>325</v>
      </c>
      <c r="B273" s="8" t="s">
        <v>300</v>
      </c>
      <c r="C273" s="41" t="s">
        <v>160</v>
      </c>
      <c r="D273" s="1" t="s">
        <v>38</v>
      </c>
      <c r="E273" s="26" t="s">
        <v>39</v>
      </c>
      <c r="F273" s="27">
        <v>0.81300813008130079</v>
      </c>
      <c r="G273" s="33">
        <v>1</v>
      </c>
      <c r="R273" s="55" t="s">
        <v>161</v>
      </c>
      <c r="S273" s="26" t="s">
        <v>38</v>
      </c>
      <c r="T273" s="26" t="s">
        <v>39</v>
      </c>
      <c r="U273" s="27">
        <v>0.83333333333333337</v>
      </c>
      <c r="V273" s="33">
        <v>1</v>
      </c>
      <c r="AG273" s="31">
        <v>1</v>
      </c>
      <c r="AH273" t="s">
        <v>73</v>
      </c>
    </row>
    <row r="274" spans="1:34">
      <c r="A274" s="15" t="s">
        <v>326</v>
      </c>
      <c r="B274" s="8" t="s">
        <v>300</v>
      </c>
      <c r="C274" s="41" t="s">
        <v>160</v>
      </c>
      <c r="D274" s="1" t="s">
        <v>38</v>
      </c>
      <c r="E274" s="26" t="s">
        <v>39</v>
      </c>
      <c r="F274" s="27">
        <v>0.81300813008130079</v>
      </c>
      <c r="G274" s="33">
        <v>1</v>
      </c>
      <c r="R274" s="55" t="s">
        <v>161</v>
      </c>
      <c r="S274" s="26" t="s">
        <v>38</v>
      </c>
      <c r="T274" s="26" t="s">
        <v>39</v>
      </c>
      <c r="U274" s="27">
        <v>0.83333333333333337</v>
      </c>
      <c r="V274" s="33">
        <v>1</v>
      </c>
      <c r="AG274" s="31">
        <v>1</v>
      </c>
      <c r="AH274" t="s">
        <v>73</v>
      </c>
    </row>
    <row r="275" spans="1:34">
      <c r="A275" s="15" t="s">
        <v>327</v>
      </c>
      <c r="B275" s="8" t="s">
        <v>300</v>
      </c>
      <c r="C275" s="41" t="s">
        <v>160</v>
      </c>
      <c r="D275" s="1" t="s">
        <v>38</v>
      </c>
      <c r="E275" s="26" t="s">
        <v>39</v>
      </c>
      <c r="F275" s="27">
        <v>0.81300813008130079</v>
      </c>
      <c r="G275" s="33">
        <v>1</v>
      </c>
      <c r="R275" s="55" t="s">
        <v>161</v>
      </c>
      <c r="S275" s="26" t="s">
        <v>38</v>
      </c>
      <c r="T275" s="26" t="s">
        <v>39</v>
      </c>
      <c r="U275" s="27">
        <v>0.83333333333333337</v>
      </c>
      <c r="V275" s="33">
        <v>1</v>
      </c>
      <c r="AG275" s="31">
        <v>1</v>
      </c>
      <c r="AH275" t="s">
        <v>73</v>
      </c>
    </row>
    <row r="276" spans="1:34">
      <c r="A276" s="15" t="s">
        <v>328</v>
      </c>
      <c r="B276" s="8" t="s">
        <v>300</v>
      </c>
      <c r="C276" s="41" t="s">
        <v>160</v>
      </c>
      <c r="D276" s="1" t="s">
        <v>38</v>
      </c>
      <c r="E276" s="26" t="s">
        <v>39</v>
      </c>
      <c r="F276" s="27">
        <v>0.81300813008130079</v>
      </c>
      <c r="G276" s="33">
        <v>1</v>
      </c>
      <c r="R276" s="55" t="s">
        <v>161</v>
      </c>
      <c r="S276" s="26" t="s">
        <v>38</v>
      </c>
      <c r="T276" s="26" t="s">
        <v>39</v>
      </c>
      <c r="U276" s="27">
        <v>0.83333333333333337</v>
      </c>
      <c r="V276" s="33">
        <v>1</v>
      </c>
      <c r="AG276" s="31">
        <v>0</v>
      </c>
      <c r="AH276" t="s">
        <v>44</v>
      </c>
    </row>
    <row r="277" spans="1:34">
      <c r="A277" s="15" t="s">
        <v>329</v>
      </c>
      <c r="B277" s="8" t="s">
        <v>300</v>
      </c>
      <c r="C277" s="41" t="s">
        <v>160</v>
      </c>
      <c r="D277" s="1" t="s">
        <v>38</v>
      </c>
      <c r="E277" s="26" t="s">
        <v>39</v>
      </c>
      <c r="F277" s="27">
        <v>0.81300813008130079</v>
      </c>
      <c r="G277" s="33">
        <v>1</v>
      </c>
      <c r="R277" s="55" t="s">
        <v>161</v>
      </c>
      <c r="S277" s="26" t="s">
        <v>38</v>
      </c>
      <c r="T277" s="26" t="s">
        <v>39</v>
      </c>
      <c r="U277" s="27">
        <v>0.83333333333333337</v>
      </c>
      <c r="V277" s="33">
        <v>1</v>
      </c>
      <c r="AG277" s="31">
        <v>0</v>
      </c>
      <c r="AH277" t="s">
        <v>44</v>
      </c>
    </row>
    <row r="278" spans="1:34">
      <c r="A278" s="15" t="s">
        <v>330</v>
      </c>
      <c r="B278" s="8" t="s">
        <v>300</v>
      </c>
      <c r="C278" s="41" t="s">
        <v>160</v>
      </c>
      <c r="D278" s="1" t="s">
        <v>38</v>
      </c>
      <c r="E278" s="26" t="s">
        <v>39</v>
      </c>
      <c r="F278" s="27">
        <v>0.81300813008130079</v>
      </c>
      <c r="G278" s="33">
        <v>1</v>
      </c>
      <c r="R278" s="55" t="s">
        <v>161</v>
      </c>
      <c r="S278" s="26" t="s">
        <v>38</v>
      </c>
      <c r="T278" s="26" t="s">
        <v>39</v>
      </c>
      <c r="U278" s="27">
        <v>0.83333333333333337</v>
      </c>
      <c r="V278" s="33">
        <v>1</v>
      </c>
      <c r="AG278" s="31">
        <v>0</v>
      </c>
      <c r="AH278" t="s">
        <v>44</v>
      </c>
    </row>
    <row r="279" spans="1:34">
      <c r="A279" s="15" t="s">
        <v>331</v>
      </c>
      <c r="B279" s="8" t="s">
        <v>300</v>
      </c>
      <c r="C279" s="41" t="s">
        <v>160</v>
      </c>
      <c r="D279" s="1" t="s">
        <v>38</v>
      </c>
      <c r="E279" s="26" t="s">
        <v>39</v>
      </c>
      <c r="F279" s="27">
        <v>0.81300813008130079</v>
      </c>
      <c r="G279" s="33">
        <v>1</v>
      </c>
      <c r="R279" s="55" t="s">
        <v>161</v>
      </c>
      <c r="S279" s="26" t="s">
        <v>38</v>
      </c>
      <c r="T279" s="26" t="s">
        <v>39</v>
      </c>
      <c r="U279" s="27">
        <v>0.83333333333333337</v>
      </c>
      <c r="V279" s="33">
        <v>1</v>
      </c>
      <c r="AG279" s="31">
        <v>0</v>
      </c>
      <c r="AH279" t="s">
        <v>44</v>
      </c>
    </row>
    <row r="280" spans="1:34">
      <c r="A280" s="15" t="s">
        <v>332</v>
      </c>
      <c r="B280" s="8" t="s">
        <v>300</v>
      </c>
      <c r="C280" s="41" t="s">
        <v>160</v>
      </c>
      <c r="D280" s="1" t="s">
        <v>38</v>
      </c>
      <c r="E280" s="26" t="s">
        <v>39</v>
      </c>
      <c r="F280" s="27">
        <v>0.81300813008130079</v>
      </c>
      <c r="G280" s="33">
        <v>1</v>
      </c>
      <c r="R280" s="55" t="s">
        <v>161</v>
      </c>
      <c r="S280" s="26" t="s">
        <v>38</v>
      </c>
      <c r="T280" s="26" t="s">
        <v>39</v>
      </c>
      <c r="U280" s="27">
        <v>0.83333333333333337</v>
      </c>
      <c r="V280" s="33">
        <v>1</v>
      </c>
      <c r="AG280" s="31">
        <v>0</v>
      </c>
      <c r="AH280" t="s">
        <v>44</v>
      </c>
    </row>
    <row r="281" spans="1:34">
      <c r="A281" s="15" t="s">
        <v>333</v>
      </c>
      <c r="B281" s="8" t="s">
        <v>300</v>
      </c>
      <c r="C281" s="41" t="s">
        <v>160</v>
      </c>
      <c r="D281" s="1" t="s">
        <v>38</v>
      </c>
      <c r="E281" s="26" t="s">
        <v>39</v>
      </c>
      <c r="F281" s="27">
        <v>0.81300813008130079</v>
      </c>
      <c r="G281" s="33">
        <v>1</v>
      </c>
      <c r="R281" s="55" t="s">
        <v>161</v>
      </c>
      <c r="S281" s="26" t="s">
        <v>38</v>
      </c>
      <c r="T281" s="26" t="s">
        <v>39</v>
      </c>
      <c r="U281" s="27">
        <v>0.83333333333333337</v>
      </c>
      <c r="V281" s="33">
        <v>1</v>
      </c>
      <c r="AG281" s="31">
        <v>0</v>
      </c>
      <c r="AH281" t="s">
        <v>44</v>
      </c>
    </row>
    <row r="282" spans="1:34">
      <c r="A282" s="15" t="s">
        <v>334</v>
      </c>
      <c r="B282" s="8" t="s">
        <v>300</v>
      </c>
      <c r="C282" s="41" t="s">
        <v>160</v>
      </c>
      <c r="D282" s="1" t="s">
        <v>38</v>
      </c>
      <c r="E282" s="26" t="s">
        <v>39</v>
      </c>
      <c r="F282" s="27">
        <v>0.81300813008130079</v>
      </c>
      <c r="G282" s="33">
        <v>1</v>
      </c>
      <c r="R282" s="55" t="s">
        <v>161</v>
      </c>
      <c r="S282" s="26" t="s">
        <v>38</v>
      </c>
      <c r="T282" s="26" t="s">
        <v>39</v>
      </c>
      <c r="U282" s="27">
        <v>0.83333333333333337</v>
      </c>
      <c r="V282" s="33">
        <v>1</v>
      </c>
      <c r="AG282" s="31">
        <v>0</v>
      </c>
      <c r="AH282" t="s">
        <v>44</v>
      </c>
    </row>
    <row r="283" spans="1:34">
      <c r="A283" s="15" t="s">
        <v>335</v>
      </c>
      <c r="B283" s="8" t="s">
        <v>300</v>
      </c>
      <c r="C283" s="41" t="s">
        <v>160</v>
      </c>
      <c r="D283" s="1" t="s">
        <v>38</v>
      </c>
      <c r="E283" s="26" t="s">
        <v>39</v>
      </c>
      <c r="F283" s="27">
        <v>0.81300813008130079</v>
      </c>
      <c r="G283" s="33">
        <v>1</v>
      </c>
      <c r="R283" s="55" t="s">
        <v>161</v>
      </c>
      <c r="S283" s="26" t="s">
        <v>38</v>
      </c>
      <c r="T283" s="26" t="s">
        <v>39</v>
      </c>
      <c r="U283" s="27">
        <v>0.83333333333333337</v>
      </c>
      <c r="V283" s="33">
        <v>1</v>
      </c>
      <c r="AG283" s="31">
        <v>0</v>
      </c>
      <c r="AH283" t="s">
        <v>44</v>
      </c>
    </row>
    <row r="284" spans="1:34">
      <c r="A284" s="15" t="s">
        <v>336</v>
      </c>
      <c r="B284" s="8" t="s">
        <v>300</v>
      </c>
      <c r="C284" s="41" t="s">
        <v>160</v>
      </c>
      <c r="D284" s="1" t="s">
        <v>38</v>
      </c>
      <c r="E284" s="26" t="s">
        <v>39</v>
      </c>
      <c r="F284" s="27">
        <v>0.81300813008130079</v>
      </c>
      <c r="G284" s="33">
        <v>1</v>
      </c>
      <c r="R284" s="55" t="s">
        <v>161</v>
      </c>
      <c r="S284" s="26" t="s">
        <v>38</v>
      </c>
      <c r="T284" s="26" t="s">
        <v>39</v>
      </c>
      <c r="U284" s="27">
        <v>0.83333333333333337</v>
      </c>
      <c r="V284" s="33">
        <v>1</v>
      </c>
      <c r="AG284" s="31">
        <v>0</v>
      </c>
      <c r="AH284" t="s">
        <v>44</v>
      </c>
    </row>
    <row r="285" spans="1:34">
      <c r="A285" s="15" t="s">
        <v>337</v>
      </c>
      <c r="B285" s="8" t="s">
        <v>300</v>
      </c>
      <c r="C285" s="41" t="s">
        <v>160</v>
      </c>
      <c r="D285" s="1" t="s">
        <v>38</v>
      </c>
      <c r="E285" s="26" t="s">
        <v>39</v>
      </c>
      <c r="F285" s="27">
        <v>0.81300813008130079</v>
      </c>
      <c r="G285" s="33">
        <v>1</v>
      </c>
      <c r="R285" s="55" t="s">
        <v>161</v>
      </c>
      <c r="S285" s="26" t="s">
        <v>38</v>
      </c>
      <c r="T285" s="26" t="s">
        <v>39</v>
      </c>
      <c r="U285" s="27">
        <v>0.83333333333333337</v>
      </c>
      <c r="V285" s="33">
        <v>1</v>
      </c>
      <c r="AG285" s="31">
        <v>0</v>
      </c>
      <c r="AH285" t="s">
        <v>44</v>
      </c>
    </row>
    <row r="286" spans="1:34">
      <c r="A286" s="15" t="s">
        <v>338</v>
      </c>
      <c r="B286" s="8" t="s">
        <v>300</v>
      </c>
      <c r="C286" s="41" t="s">
        <v>160</v>
      </c>
      <c r="D286" s="1" t="s">
        <v>38</v>
      </c>
      <c r="E286" s="26" t="s">
        <v>39</v>
      </c>
      <c r="F286" s="27">
        <v>0.81300813008130079</v>
      </c>
      <c r="G286" s="33">
        <v>1</v>
      </c>
      <c r="R286" s="55" t="s">
        <v>161</v>
      </c>
      <c r="S286" s="26" t="s">
        <v>38</v>
      </c>
      <c r="T286" s="26" t="s">
        <v>39</v>
      </c>
      <c r="U286" s="27">
        <v>0.83333333333333337</v>
      </c>
      <c r="V286" s="33">
        <v>1</v>
      </c>
      <c r="AG286" s="31">
        <v>0</v>
      </c>
      <c r="AH286" t="s">
        <v>44</v>
      </c>
    </row>
    <row r="287" spans="1:34">
      <c r="A287" s="15" t="s">
        <v>339</v>
      </c>
      <c r="B287" s="8" t="s">
        <v>300</v>
      </c>
      <c r="C287" s="41" t="s">
        <v>160</v>
      </c>
      <c r="D287" s="1" t="s">
        <v>38</v>
      </c>
      <c r="E287" s="26" t="s">
        <v>39</v>
      </c>
      <c r="F287" s="27">
        <v>0.81300813008130079</v>
      </c>
      <c r="G287" s="33">
        <v>1</v>
      </c>
      <c r="R287" s="55" t="s">
        <v>161</v>
      </c>
      <c r="S287" s="26" t="s">
        <v>38</v>
      </c>
      <c r="T287" s="26" t="s">
        <v>39</v>
      </c>
      <c r="U287" s="27">
        <v>0.83333333333333337</v>
      </c>
      <c r="V287" s="33">
        <v>1</v>
      </c>
      <c r="AG287" s="31">
        <v>0</v>
      </c>
      <c r="AH287" t="s">
        <v>44</v>
      </c>
    </row>
    <row r="288" spans="1:34">
      <c r="A288" s="15" t="s">
        <v>340</v>
      </c>
      <c r="B288" s="8" t="s">
        <v>300</v>
      </c>
      <c r="C288" s="41" t="s">
        <v>160</v>
      </c>
      <c r="D288" s="1" t="s">
        <v>38</v>
      </c>
      <c r="E288" s="26" t="s">
        <v>39</v>
      </c>
      <c r="F288" s="27">
        <v>0.81300813008130079</v>
      </c>
      <c r="G288" s="33">
        <v>1</v>
      </c>
      <c r="R288" s="55" t="s">
        <v>161</v>
      </c>
      <c r="S288" s="26" t="s">
        <v>38</v>
      </c>
      <c r="T288" s="26" t="s">
        <v>39</v>
      </c>
      <c r="U288" s="27">
        <v>0.83333333333333337</v>
      </c>
      <c r="V288" s="33">
        <v>1</v>
      </c>
      <c r="AG288" s="31">
        <v>0</v>
      </c>
      <c r="AH288" t="s">
        <v>44</v>
      </c>
    </row>
    <row r="289" spans="1:34">
      <c r="A289" s="15" t="s">
        <v>341</v>
      </c>
      <c r="B289" s="8" t="s">
        <v>300</v>
      </c>
      <c r="C289" s="41" t="s">
        <v>160</v>
      </c>
      <c r="D289" s="1" t="s">
        <v>38</v>
      </c>
      <c r="E289" s="26" t="s">
        <v>39</v>
      </c>
      <c r="F289" s="27">
        <v>0.81300813008130079</v>
      </c>
      <c r="G289" s="33">
        <v>1</v>
      </c>
      <c r="R289" s="55" t="s">
        <v>161</v>
      </c>
      <c r="S289" s="26" t="s">
        <v>38</v>
      </c>
      <c r="T289" s="26" t="s">
        <v>39</v>
      </c>
      <c r="U289" s="27">
        <v>0.83333333333333337</v>
      </c>
      <c r="V289" s="33">
        <v>1</v>
      </c>
      <c r="AG289" s="31">
        <v>0</v>
      </c>
      <c r="AH289" t="s">
        <v>44</v>
      </c>
    </row>
    <row r="290" spans="1:34">
      <c r="A290" s="15" t="s">
        <v>342</v>
      </c>
      <c r="B290" s="8" t="s">
        <v>300</v>
      </c>
      <c r="C290" s="41" t="s">
        <v>160</v>
      </c>
      <c r="D290" s="1" t="s">
        <v>38</v>
      </c>
      <c r="E290" s="26" t="s">
        <v>39</v>
      </c>
      <c r="F290" s="27">
        <v>0.81300813008130079</v>
      </c>
      <c r="G290" s="33">
        <v>1</v>
      </c>
      <c r="R290" s="55" t="s">
        <v>161</v>
      </c>
      <c r="S290" s="26" t="s">
        <v>38</v>
      </c>
      <c r="T290" s="26" t="s">
        <v>39</v>
      </c>
      <c r="U290" s="27">
        <v>0.83333333333333337</v>
      </c>
      <c r="V290" s="33">
        <v>1</v>
      </c>
      <c r="AG290" s="31">
        <v>0</v>
      </c>
      <c r="AH290" t="s">
        <v>44</v>
      </c>
    </row>
    <row r="291" spans="1:34">
      <c r="A291" s="15" t="s">
        <v>343</v>
      </c>
      <c r="B291" s="8" t="s">
        <v>300</v>
      </c>
      <c r="C291" s="41" t="s">
        <v>160</v>
      </c>
      <c r="D291" s="1" t="s">
        <v>38</v>
      </c>
      <c r="E291" s="26" t="s">
        <v>39</v>
      </c>
      <c r="F291" s="27">
        <v>0.81300813008130079</v>
      </c>
      <c r="G291" s="33">
        <v>1</v>
      </c>
      <c r="R291" s="55" t="s">
        <v>161</v>
      </c>
      <c r="S291" s="26" t="s">
        <v>38</v>
      </c>
      <c r="T291" s="26" t="s">
        <v>39</v>
      </c>
      <c r="U291" s="27">
        <v>0.83333333333333337</v>
      </c>
      <c r="V291" s="33">
        <v>1</v>
      </c>
      <c r="AG291" s="31">
        <v>0</v>
      </c>
      <c r="AH291" t="s">
        <v>44</v>
      </c>
    </row>
    <row r="292" spans="1:34">
      <c r="A292" s="15" t="s">
        <v>344</v>
      </c>
      <c r="B292" s="8" t="s">
        <v>300</v>
      </c>
      <c r="C292" s="41" t="s">
        <v>160</v>
      </c>
      <c r="D292" s="1" t="s">
        <v>38</v>
      </c>
      <c r="E292" s="26" t="s">
        <v>39</v>
      </c>
      <c r="F292" s="27">
        <v>0.81300813008130079</v>
      </c>
      <c r="G292" s="33">
        <v>1</v>
      </c>
      <c r="R292" s="55" t="s">
        <v>161</v>
      </c>
      <c r="S292" s="26" t="s">
        <v>38</v>
      </c>
      <c r="T292" s="26" t="s">
        <v>39</v>
      </c>
      <c r="U292" s="27">
        <v>0.83333333333333337</v>
      </c>
      <c r="V292" s="33">
        <v>1</v>
      </c>
      <c r="AG292" s="31">
        <v>0</v>
      </c>
      <c r="AH292" t="s">
        <v>44</v>
      </c>
    </row>
    <row r="293" spans="1:34">
      <c r="A293" s="15" t="s">
        <v>345</v>
      </c>
      <c r="B293" s="8" t="s">
        <v>300</v>
      </c>
      <c r="C293" s="41" t="s">
        <v>160</v>
      </c>
      <c r="D293" s="1" t="s">
        <v>38</v>
      </c>
      <c r="E293" s="26" t="s">
        <v>39</v>
      </c>
      <c r="F293" s="27">
        <v>0.81300813008130079</v>
      </c>
      <c r="G293" s="33">
        <v>1</v>
      </c>
      <c r="R293" s="55" t="s">
        <v>161</v>
      </c>
      <c r="S293" s="26" t="s">
        <v>38</v>
      </c>
      <c r="T293" s="26" t="s">
        <v>39</v>
      </c>
      <c r="U293" s="27">
        <v>0.83333333333333337</v>
      </c>
      <c r="V293" s="33">
        <v>1</v>
      </c>
      <c r="AG293" s="31">
        <v>0</v>
      </c>
      <c r="AH293" t="s">
        <v>44</v>
      </c>
    </row>
    <row r="294" spans="1:34">
      <c r="A294" s="15" t="s">
        <v>346</v>
      </c>
      <c r="B294" s="8" t="s">
        <v>300</v>
      </c>
      <c r="C294" s="41" t="s">
        <v>160</v>
      </c>
      <c r="D294" s="1" t="s">
        <v>38</v>
      </c>
      <c r="E294" s="26" t="s">
        <v>39</v>
      </c>
      <c r="F294" s="27">
        <v>0.81300813008130079</v>
      </c>
      <c r="G294" s="33">
        <v>1</v>
      </c>
      <c r="R294" s="55" t="s">
        <v>161</v>
      </c>
      <c r="S294" s="26" t="s">
        <v>38</v>
      </c>
      <c r="T294" s="26" t="s">
        <v>39</v>
      </c>
      <c r="U294" s="27">
        <v>0.83333333333333337</v>
      </c>
      <c r="V294" s="33">
        <v>1</v>
      </c>
      <c r="AG294" s="31">
        <v>0</v>
      </c>
      <c r="AH294" t="s">
        <v>44</v>
      </c>
    </row>
    <row r="295" spans="1:34">
      <c r="A295" s="15" t="s">
        <v>347</v>
      </c>
      <c r="B295" s="8" t="s">
        <v>300</v>
      </c>
      <c r="C295" s="41" t="s">
        <v>160</v>
      </c>
      <c r="D295" s="1" t="s">
        <v>38</v>
      </c>
      <c r="E295" s="26" t="s">
        <v>39</v>
      </c>
      <c r="F295" s="27">
        <v>0.81300813008130079</v>
      </c>
      <c r="G295" s="33">
        <v>1</v>
      </c>
      <c r="R295" s="55" t="s">
        <v>161</v>
      </c>
      <c r="S295" s="26" t="s">
        <v>38</v>
      </c>
      <c r="T295" s="26" t="s">
        <v>39</v>
      </c>
      <c r="U295" s="27">
        <v>0.83333333333333337</v>
      </c>
      <c r="V295" s="33">
        <v>1</v>
      </c>
      <c r="AG295" s="31">
        <v>0</v>
      </c>
      <c r="AH295" t="s">
        <v>44</v>
      </c>
    </row>
    <row r="296" spans="1:34">
      <c r="A296" s="16" t="s">
        <v>348</v>
      </c>
      <c r="B296" s="8" t="s">
        <v>300</v>
      </c>
      <c r="C296" s="41" t="s">
        <v>160</v>
      </c>
      <c r="D296" s="1" t="s">
        <v>38</v>
      </c>
      <c r="E296" s="26" t="s">
        <v>39</v>
      </c>
      <c r="F296" s="27">
        <v>0.81300813008130079</v>
      </c>
      <c r="G296" s="33">
        <v>1</v>
      </c>
      <c r="R296" s="55" t="s">
        <v>161</v>
      </c>
      <c r="S296" s="26" t="s">
        <v>38</v>
      </c>
      <c r="T296" s="26" t="s">
        <v>39</v>
      </c>
      <c r="U296" s="27">
        <v>0.83333333333333337</v>
      </c>
      <c r="V296" s="33">
        <v>1</v>
      </c>
      <c r="AG296" s="31">
        <v>0</v>
      </c>
      <c r="AH296" t="s">
        <v>44</v>
      </c>
    </row>
    <row r="297" spans="1:34" s="6" customFormat="1">
      <c r="A297" s="15" t="s">
        <v>349</v>
      </c>
      <c r="B297" s="9" t="s">
        <v>350</v>
      </c>
      <c r="C297" s="45" t="s">
        <v>37</v>
      </c>
      <c r="D297" s="46" t="s">
        <v>38</v>
      </c>
      <c r="E297" s="47" t="s">
        <v>39</v>
      </c>
      <c r="F297" s="48">
        <v>0.94339622641509424</v>
      </c>
      <c r="G297" s="49">
        <v>0.5</v>
      </c>
      <c r="H297" s="47" t="s">
        <v>40</v>
      </c>
      <c r="I297" s="47" t="s">
        <v>41</v>
      </c>
      <c r="J297" s="47" t="s">
        <v>42</v>
      </c>
      <c r="K297" s="48">
        <v>2.3255813953488373</v>
      </c>
      <c r="L297" s="48">
        <v>0.5</v>
      </c>
      <c r="M297" s="72"/>
      <c r="N297" s="47"/>
      <c r="O297" s="47"/>
      <c r="P297" s="48"/>
      <c r="Q297" s="50"/>
      <c r="R297" s="54" t="s">
        <v>43</v>
      </c>
      <c r="S297" s="47" t="s">
        <v>38</v>
      </c>
      <c r="T297" s="47" t="s">
        <v>39</v>
      </c>
      <c r="U297" s="48">
        <v>0.84745762711864414</v>
      </c>
      <c r="V297" s="49">
        <v>1</v>
      </c>
      <c r="W297" s="28"/>
      <c r="X297" s="28"/>
      <c r="Y297" s="28"/>
      <c r="Z297" s="29"/>
      <c r="AA297" s="28"/>
      <c r="AB297" s="74"/>
      <c r="AC297" s="28"/>
      <c r="AD297" s="28"/>
      <c r="AE297" s="28"/>
      <c r="AF297" s="39"/>
      <c r="AG297" s="29">
        <v>0</v>
      </c>
      <c r="AH297" s="46" t="s">
        <v>44</v>
      </c>
    </row>
    <row r="298" spans="1:34">
      <c r="A298" s="15" t="s">
        <v>351</v>
      </c>
      <c r="B298" s="8" t="s">
        <v>350</v>
      </c>
      <c r="C298" s="41" t="s">
        <v>37</v>
      </c>
      <c r="D298" s="1" t="s">
        <v>38</v>
      </c>
      <c r="E298" s="26" t="s">
        <v>39</v>
      </c>
      <c r="F298" s="27">
        <v>0.94339622641509424</v>
      </c>
      <c r="G298" s="33">
        <v>0.5</v>
      </c>
      <c r="H298" s="26" t="s">
        <v>40</v>
      </c>
      <c r="I298" s="26" t="s">
        <v>41</v>
      </c>
      <c r="J298" s="26" t="s">
        <v>42</v>
      </c>
      <c r="K298" s="27">
        <v>2.3255813953488373</v>
      </c>
      <c r="L298" s="27">
        <v>0.5</v>
      </c>
      <c r="M298" s="70"/>
      <c r="N298" s="26"/>
      <c r="O298" s="26"/>
      <c r="P298" s="27"/>
      <c r="Q298" s="36"/>
      <c r="R298" s="26" t="s">
        <v>43</v>
      </c>
      <c r="S298" s="26" t="s">
        <v>38</v>
      </c>
      <c r="T298" s="26" t="s">
        <v>39</v>
      </c>
      <c r="U298" s="27">
        <v>0.84745762711864414</v>
      </c>
      <c r="V298" s="33">
        <v>1</v>
      </c>
      <c r="AG298" s="31">
        <v>0</v>
      </c>
      <c r="AH298" s="1" t="s">
        <v>44</v>
      </c>
    </row>
    <row r="299" spans="1:34">
      <c r="A299" s="15" t="s">
        <v>352</v>
      </c>
      <c r="B299" s="8" t="s">
        <v>350</v>
      </c>
      <c r="C299" s="41" t="s">
        <v>37</v>
      </c>
      <c r="D299" s="1" t="s">
        <v>38</v>
      </c>
      <c r="E299" s="26" t="s">
        <v>39</v>
      </c>
      <c r="F299" s="27">
        <v>0.94339622641509424</v>
      </c>
      <c r="G299" s="33">
        <v>0.5</v>
      </c>
      <c r="H299" s="26" t="s">
        <v>40</v>
      </c>
      <c r="I299" s="26" t="s">
        <v>41</v>
      </c>
      <c r="J299" s="26" t="s">
        <v>42</v>
      </c>
      <c r="K299" s="27">
        <v>2.3255813953488373</v>
      </c>
      <c r="L299" s="27">
        <v>0.5</v>
      </c>
      <c r="M299" s="70"/>
      <c r="N299" s="26"/>
      <c r="O299" s="26"/>
      <c r="P299" s="27"/>
      <c r="Q299" s="36"/>
      <c r="R299" s="26" t="s">
        <v>43</v>
      </c>
      <c r="S299" s="26" t="s">
        <v>38</v>
      </c>
      <c r="T299" s="26" t="s">
        <v>39</v>
      </c>
      <c r="U299" s="27">
        <v>0.84745762711864414</v>
      </c>
      <c r="V299" s="33">
        <v>1</v>
      </c>
      <c r="AG299" s="31">
        <v>0</v>
      </c>
      <c r="AH299" s="1" t="s">
        <v>44</v>
      </c>
    </row>
    <row r="300" spans="1:34">
      <c r="A300" s="15" t="s">
        <v>353</v>
      </c>
      <c r="B300" s="8" t="s">
        <v>350</v>
      </c>
      <c r="C300" s="41" t="s">
        <v>37</v>
      </c>
      <c r="D300" s="1" t="s">
        <v>38</v>
      </c>
      <c r="E300" s="26" t="s">
        <v>39</v>
      </c>
      <c r="F300" s="27">
        <v>0.94339622641509424</v>
      </c>
      <c r="G300" s="33">
        <v>0.5</v>
      </c>
      <c r="H300" s="26" t="s">
        <v>40</v>
      </c>
      <c r="I300" s="26" t="s">
        <v>41</v>
      </c>
      <c r="J300" s="26" t="s">
        <v>42</v>
      </c>
      <c r="K300" s="27">
        <v>2.3255813953488373</v>
      </c>
      <c r="L300" s="27">
        <v>0.5</v>
      </c>
      <c r="M300" s="70"/>
      <c r="N300" s="26"/>
      <c r="O300" s="26"/>
      <c r="P300" s="27"/>
      <c r="Q300" s="36"/>
      <c r="R300" s="26" t="s">
        <v>43</v>
      </c>
      <c r="S300" s="26" t="s">
        <v>38</v>
      </c>
      <c r="T300" s="26" t="s">
        <v>39</v>
      </c>
      <c r="U300" s="27">
        <v>0.84745762711864414</v>
      </c>
      <c r="V300" s="33">
        <v>1</v>
      </c>
      <c r="AG300" s="31">
        <v>0</v>
      </c>
      <c r="AH300" s="1" t="s">
        <v>44</v>
      </c>
    </row>
    <row r="301" spans="1:34">
      <c r="A301" s="15" t="s">
        <v>354</v>
      </c>
      <c r="B301" s="8" t="s">
        <v>350</v>
      </c>
      <c r="C301" s="41" t="s">
        <v>37</v>
      </c>
      <c r="D301" s="1" t="s">
        <v>38</v>
      </c>
      <c r="E301" s="26" t="s">
        <v>39</v>
      </c>
      <c r="F301" s="27">
        <v>0.94339622641509424</v>
      </c>
      <c r="G301" s="33">
        <v>0.5</v>
      </c>
      <c r="H301" s="26" t="s">
        <v>40</v>
      </c>
      <c r="I301" s="26" t="s">
        <v>41</v>
      </c>
      <c r="J301" s="26" t="s">
        <v>42</v>
      </c>
      <c r="K301" s="27">
        <v>2.3255813953488373</v>
      </c>
      <c r="L301" s="27">
        <v>0.5</v>
      </c>
      <c r="M301" s="70"/>
      <c r="N301" s="26"/>
      <c r="O301" s="26"/>
      <c r="P301" s="27"/>
      <c r="Q301" s="36"/>
      <c r="R301" s="26" t="s">
        <v>43</v>
      </c>
      <c r="S301" s="26" t="s">
        <v>38</v>
      </c>
      <c r="T301" s="26" t="s">
        <v>39</v>
      </c>
      <c r="U301" s="27">
        <v>0.84745762711864414</v>
      </c>
      <c r="V301" s="33">
        <v>1</v>
      </c>
      <c r="AG301" s="31">
        <v>0</v>
      </c>
      <c r="AH301" s="1" t="s">
        <v>44</v>
      </c>
    </row>
    <row r="302" spans="1:34">
      <c r="A302" s="15" t="s">
        <v>355</v>
      </c>
      <c r="B302" s="8" t="s">
        <v>350</v>
      </c>
      <c r="C302" s="41" t="s">
        <v>37</v>
      </c>
      <c r="D302" s="1" t="s">
        <v>38</v>
      </c>
      <c r="E302" s="26" t="s">
        <v>39</v>
      </c>
      <c r="F302" s="27">
        <v>0.94339622641509424</v>
      </c>
      <c r="G302" s="33">
        <v>0.5</v>
      </c>
      <c r="H302" s="26" t="s">
        <v>40</v>
      </c>
      <c r="I302" s="26" t="s">
        <v>41</v>
      </c>
      <c r="J302" s="26" t="s">
        <v>42</v>
      </c>
      <c r="K302" s="27">
        <v>2.3255813953488373</v>
      </c>
      <c r="L302" s="27">
        <v>0.5</v>
      </c>
      <c r="M302" s="70"/>
      <c r="N302" s="26"/>
      <c r="O302" s="26"/>
      <c r="P302" s="27"/>
      <c r="Q302" s="36"/>
      <c r="R302" s="26" t="s">
        <v>43</v>
      </c>
      <c r="S302" s="26" t="s">
        <v>38</v>
      </c>
      <c r="T302" s="26" t="s">
        <v>39</v>
      </c>
      <c r="U302" s="27">
        <v>0.84745762711864414</v>
      </c>
      <c r="V302" s="33">
        <v>1</v>
      </c>
      <c r="AG302" s="31">
        <v>0</v>
      </c>
      <c r="AH302" s="1" t="s">
        <v>44</v>
      </c>
    </row>
    <row r="303" spans="1:34">
      <c r="A303" s="15" t="s">
        <v>356</v>
      </c>
      <c r="B303" s="8" t="s">
        <v>350</v>
      </c>
      <c r="C303" s="41" t="s">
        <v>37</v>
      </c>
      <c r="D303" s="1" t="s">
        <v>38</v>
      </c>
      <c r="E303" s="26" t="s">
        <v>39</v>
      </c>
      <c r="F303" s="27">
        <v>0.94339622641509424</v>
      </c>
      <c r="G303" s="33">
        <v>0.5</v>
      </c>
      <c r="H303" s="26" t="s">
        <v>40</v>
      </c>
      <c r="I303" s="26" t="s">
        <v>41</v>
      </c>
      <c r="J303" s="26" t="s">
        <v>42</v>
      </c>
      <c r="K303" s="27">
        <v>2.3255813953488373</v>
      </c>
      <c r="L303" s="27">
        <v>0.5</v>
      </c>
      <c r="M303" s="70"/>
      <c r="N303" s="26"/>
      <c r="O303" s="26"/>
      <c r="P303" s="27"/>
      <c r="Q303" s="36"/>
      <c r="R303" s="26" t="s">
        <v>43</v>
      </c>
      <c r="S303" s="26" t="s">
        <v>38</v>
      </c>
      <c r="T303" s="26" t="s">
        <v>39</v>
      </c>
      <c r="U303" s="27">
        <v>0.84745762711864414</v>
      </c>
      <c r="V303" s="33">
        <v>1</v>
      </c>
      <c r="AG303" s="31">
        <v>0</v>
      </c>
      <c r="AH303" s="1" t="s">
        <v>44</v>
      </c>
    </row>
    <row r="304" spans="1:34">
      <c r="A304" s="15" t="s">
        <v>357</v>
      </c>
      <c r="B304" s="8" t="s">
        <v>350</v>
      </c>
      <c r="C304" s="41" t="s">
        <v>37</v>
      </c>
      <c r="D304" s="1" t="s">
        <v>38</v>
      </c>
      <c r="E304" s="26" t="s">
        <v>39</v>
      </c>
      <c r="F304" s="27">
        <v>0.94339622641509424</v>
      </c>
      <c r="G304" s="33">
        <v>0.5</v>
      </c>
      <c r="H304" s="26" t="s">
        <v>40</v>
      </c>
      <c r="I304" s="26" t="s">
        <v>41</v>
      </c>
      <c r="J304" s="26" t="s">
        <v>42</v>
      </c>
      <c r="K304" s="27">
        <v>2.3255813953488373</v>
      </c>
      <c r="L304" s="27">
        <v>0.5</v>
      </c>
      <c r="M304" s="70"/>
      <c r="N304" s="26"/>
      <c r="O304" s="26"/>
      <c r="P304" s="27"/>
      <c r="Q304" s="36"/>
      <c r="R304" s="26" t="s">
        <v>43</v>
      </c>
      <c r="S304" s="26" t="s">
        <v>38</v>
      </c>
      <c r="T304" s="26" t="s">
        <v>39</v>
      </c>
      <c r="U304" s="27">
        <v>0.84745762711864414</v>
      </c>
      <c r="V304" s="33">
        <v>1</v>
      </c>
      <c r="AG304" s="31">
        <v>0</v>
      </c>
      <c r="AH304" s="1" t="s">
        <v>44</v>
      </c>
    </row>
    <row r="305" spans="1:34">
      <c r="A305" s="15" t="s">
        <v>358</v>
      </c>
      <c r="B305" s="8" t="s">
        <v>350</v>
      </c>
      <c r="C305" s="41" t="s">
        <v>37</v>
      </c>
      <c r="D305" s="1" t="s">
        <v>38</v>
      </c>
      <c r="E305" s="26" t="s">
        <v>39</v>
      </c>
      <c r="F305" s="27">
        <v>0.94339622641509424</v>
      </c>
      <c r="G305" s="33">
        <v>0.5</v>
      </c>
      <c r="H305" s="26" t="s">
        <v>40</v>
      </c>
      <c r="I305" s="26" t="s">
        <v>41</v>
      </c>
      <c r="J305" s="26" t="s">
        <v>42</v>
      </c>
      <c r="K305" s="27">
        <v>2.3255813953488373</v>
      </c>
      <c r="L305" s="27">
        <v>0.5</v>
      </c>
      <c r="M305" s="70"/>
      <c r="N305" s="26"/>
      <c r="O305" s="26"/>
      <c r="P305" s="27"/>
      <c r="Q305" s="36"/>
      <c r="R305" s="26" t="s">
        <v>43</v>
      </c>
      <c r="S305" s="26" t="s">
        <v>38</v>
      </c>
      <c r="T305" s="26" t="s">
        <v>39</v>
      </c>
      <c r="U305" s="27">
        <v>0.84745762711864414</v>
      </c>
      <c r="V305" s="33">
        <v>1</v>
      </c>
      <c r="AG305" s="31">
        <v>0</v>
      </c>
      <c r="AH305" s="1" t="s">
        <v>44</v>
      </c>
    </row>
    <row r="306" spans="1:34">
      <c r="A306" s="15" t="s">
        <v>359</v>
      </c>
      <c r="B306" s="8" t="s">
        <v>350</v>
      </c>
      <c r="C306" s="41" t="s">
        <v>37</v>
      </c>
      <c r="D306" s="1" t="s">
        <v>38</v>
      </c>
      <c r="E306" s="26" t="s">
        <v>39</v>
      </c>
      <c r="F306" s="27">
        <v>0.94339622641509424</v>
      </c>
      <c r="G306" s="33">
        <v>0.5</v>
      </c>
      <c r="H306" s="26" t="s">
        <v>40</v>
      </c>
      <c r="I306" s="26" t="s">
        <v>41</v>
      </c>
      <c r="J306" s="26" t="s">
        <v>42</v>
      </c>
      <c r="K306" s="27">
        <v>2.3255813953488373</v>
      </c>
      <c r="L306" s="27">
        <v>0.5</v>
      </c>
      <c r="M306" s="70"/>
      <c r="N306" s="26"/>
      <c r="O306" s="26"/>
      <c r="P306" s="27"/>
      <c r="Q306" s="36"/>
      <c r="R306" s="26" t="s">
        <v>43</v>
      </c>
      <c r="S306" s="26" t="s">
        <v>38</v>
      </c>
      <c r="T306" s="26" t="s">
        <v>39</v>
      </c>
      <c r="U306" s="27">
        <v>0.84745762711864414</v>
      </c>
      <c r="V306" s="33">
        <v>1</v>
      </c>
      <c r="AG306" s="31">
        <v>0</v>
      </c>
      <c r="AH306" s="1" t="s">
        <v>44</v>
      </c>
    </row>
    <row r="307" spans="1:34">
      <c r="A307" s="15" t="s">
        <v>360</v>
      </c>
      <c r="B307" s="8" t="s">
        <v>350</v>
      </c>
      <c r="C307" s="41" t="s">
        <v>37</v>
      </c>
      <c r="D307" s="1" t="s">
        <v>38</v>
      </c>
      <c r="E307" s="26" t="s">
        <v>39</v>
      </c>
      <c r="F307" s="27">
        <v>0.94339622641509424</v>
      </c>
      <c r="G307" s="33">
        <v>0.5</v>
      </c>
      <c r="H307" s="26" t="s">
        <v>40</v>
      </c>
      <c r="I307" s="26" t="s">
        <v>41</v>
      </c>
      <c r="J307" s="26" t="s">
        <v>42</v>
      </c>
      <c r="K307" s="27">
        <v>2.3255813953488373</v>
      </c>
      <c r="L307" s="27">
        <v>0.5</v>
      </c>
      <c r="M307" s="70"/>
      <c r="N307" s="26"/>
      <c r="O307" s="26"/>
      <c r="P307" s="27"/>
      <c r="Q307" s="36"/>
      <c r="R307" s="26" t="s">
        <v>43</v>
      </c>
      <c r="S307" s="26" t="s">
        <v>38</v>
      </c>
      <c r="T307" s="26" t="s">
        <v>39</v>
      </c>
      <c r="U307" s="27">
        <v>0.84745762711864414</v>
      </c>
      <c r="V307" s="33">
        <v>1</v>
      </c>
      <c r="AG307" s="31">
        <v>0</v>
      </c>
      <c r="AH307" s="1" t="s">
        <v>44</v>
      </c>
    </row>
    <row r="308" spans="1:34">
      <c r="A308" s="15" t="s">
        <v>361</v>
      </c>
      <c r="B308" s="8" t="s">
        <v>350</v>
      </c>
      <c r="C308" s="41" t="s">
        <v>37</v>
      </c>
      <c r="D308" s="1" t="s">
        <v>38</v>
      </c>
      <c r="E308" s="26" t="s">
        <v>39</v>
      </c>
      <c r="F308" s="27">
        <v>0.94339622641509424</v>
      </c>
      <c r="G308" s="33">
        <v>0.5</v>
      </c>
      <c r="H308" s="26" t="s">
        <v>40</v>
      </c>
      <c r="I308" s="26" t="s">
        <v>41</v>
      </c>
      <c r="J308" s="26" t="s">
        <v>42</v>
      </c>
      <c r="K308" s="27">
        <v>2.3255813953488373</v>
      </c>
      <c r="L308" s="27">
        <v>0.5</v>
      </c>
      <c r="M308" s="70"/>
      <c r="N308" s="26"/>
      <c r="O308" s="26"/>
      <c r="P308" s="27"/>
      <c r="Q308" s="36"/>
      <c r="R308" s="26" t="s">
        <v>43</v>
      </c>
      <c r="S308" s="26" t="s">
        <v>38</v>
      </c>
      <c r="T308" s="26" t="s">
        <v>39</v>
      </c>
      <c r="U308" s="27">
        <v>0.84745762711864414</v>
      </c>
      <c r="V308" s="33">
        <v>1</v>
      </c>
      <c r="AG308" s="31">
        <v>0</v>
      </c>
      <c r="AH308" s="1" t="s">
        <v>44</v>
      </c>
    </row>
    <row r="309" spans="1:34">
      <c r="A309" s="15" t="s">
        <v>362</v>
      </c>
      <c r="B309" s="8" t="s">
        <v>350</v>
      </c>
      <c r="C309" s="41" t="s">
        <v>37</v>
      </c>
      <c r="D309" s="1" t="s">
        <v>38</v>
      </c>
      <c r="E309" s="26" t="s">
        <v>39</v>
      </c>
      <c r="F309" s="27">
        <v>0.94339622641509424</v>
      </c>
      <c r="G309" s="33">
        <v>0.5</v>
      </c>
      <c r="H309" s="26" t="s">
        <v>40</v>
      </c>
      <c r="I309" s="26" t="s">
        <v>41</v>
      </c>
      <c r="J309" s="26" t="s">
        <v>42</v>
      </c>
      <c r="K309" s="27">
        <v>2.3255813953488373</v>
      </c>
      <c r="L309" s="27">
        <v>0.5</v>
      </c>
      <c r="M309" s="70"/>
      <c r="N309" s="26"/>
      <c r="O309" s="26"/>
      <c r="P309" s="27"/>
      <c r="Q309" s="36"/>
      <c r="R309" s="26" t="s">
        <v>43</v>
      </c>
      <c r="S309" s="26" t="s">
        <v>38</v>
      </c>
      <c r="T309" s="26" t="s">
        <v>39</v>
      </c>
      <c r="U309" s="27">
        <v>0.84745762711864414</v>
      </c>
      <c r="V309" s="33">
        <v>1</v>
      </c>
      <c r="AG309" s="31">
        <v>0</v>
      </c>
      <c r="AH309" s="1" t="s">
        <v>44</v>
      </c>
    </row>
    <row r="310" spans="1:34">
      <c r="A310" s="15" t="s">
        <v>363</v>
      </c>
      <c r="B310" s="8" t="s">
        <v>350</v>
      </c>
      <c r="C310" s="41" t="s">
        <v>37</v>
      </c>
      <c r="D310" s="1" t="s">
        <v>38</v>
      </c>
      <c r="E310" s="26" t="s">
        <v>39</v>
      </c>
      <c r="F310" s="27">
        <v>0.94339622641509424</v>
      </c>
      <c r="G310" s="33">
        <v>0.5</v>
      </c>
      <c r="H310" s="26" t="s">
        <v>40</v>
      </c>
      <c r="I310" s="26" t="s">
        <v>41</v>
      </c>
      <c r="J310" s="26" t="s">
        <v>42</v>
      </c>
      <c r="K310" s="27">
        <v>2.3255813953488373</v>
      </c>
      <c r="L310" s="27">
        <v>0.5</v>
      </c>
      <c r="M310" s="70"/>
      <c r="N310" s="26"/>
      <c r="O310" s="26"/>
      <c r="P310" s="27"/>
      <c r="Q310" s="36"/>
      <c r="R310" s="26" t="s">
        <v>43</v>
      </c>
      <c r="S310" s="26" t="s">
        <v>38</v>
      </c>
      <c r="T310" s="26" t="s">
        <v>39</v>
      </c>
      <c r="U310" s="27">
        <v>0.84745762711864414</v>
      </c>
      <c r="V310" s="33">
        <v>1</v>
      </c>
      <c r="AG310" s="31">
        <v>0</v>
      </c>
      <c r="AH310" s="1" t="s">
        <v>44</v>
      </c>
    </row>
    <row r="311" spans="1:34">
      <c r="A311" s="15" t="s">
        <v>364</v>
      </c>
      <c r="B311" s="8" t="s">
        <v>350</v>
      </c>
      <c r="C311" s="41" t="s">
        <v>37</v>
      </c>
      <c r="D311" s="1" t="s">
        <v>38</v>
      </c>
      <c r="E311" s="26" t="s">
        <v>39</v>
      </c>
      <c r="F311" s="27">
        <v>0.94339622641509424</v>
      </c>
      <c r="G311" s="33">
        <v>0.5</v>
      </c>
      <c r="H311" s="26" t="s">
        <v>40</v>
      </c>
      <c r="I311" s="26" t="s">
        <v>41</v>
      </c>
      <c r="J311" s="26" t="s">
        <v>42</v>
      </c>
      <c r="K311" s="27">
        <v>2.3255813953488373</v>
      </c>
      <c r="L311" s="27">
        <v>0.5</v>
      </c>
      <c r="M311" s="70"/>
      <c r="N311" s="26"/>
      <c r="O311" s="26"/>
      <c r="P311" s="27"/>
      <c r="Q311" s="36"/>
      <c r="R311" s="26" t="s">
        <v>43</v>
      </c>
      <c r="S311" s="26" t="s">
        <v>38</v>
      </c>
      <c r="T311" s="26" t="s">
        <v>39</v>
      </c>
      <c r="U311" s="27">
        <v>0.84745762711864414</v>
      </c>
      <c r="V311" s="33">
        <v>1</v>
      </c>
      <c r="AG311" s="31">
        <v>0</v>
      </c>
      <c r="AH311" s="1" t="s">
        <v>44</v>
      </c>
    </row>
    <row r="312" spans="1:34">
      <c r="A312" s="15" t="s">
        <v>365</v>
      </c>
      <c r="B312" s="8" t="s">
        <v>350</v>
      </c>
      <c r="C312" s="41" t="s">
        <v>37</v>
      </c>
      <c r="D312" s="1" t="s">
        <v>38</v>
      </c>
      <c r="E312" s="26" t="s">
        <v>39</v>
      </c>
      <c r="F312" s="27">
        <v>0.94339622641509424</v>
      </c>
      <c r="G312" s="33">
        <v>0.5</v>
      </c>
      <c r="H312" s="26" t="s">
        <v>40</v>
      </c>
      <c r="I312" s="26" t="s">
        <v>41</v>
      </c>
      <c r="J312" s="26" t="s">
        <v>42</v>
      </c>
      <c r="K312" s="27">
        <v>2.3255813953488373</v>
      </c>
      <c r="L312" s="27">
        <v>0.5</v>
      </c>
      <c r="M312" s="70"/>
      <c r="N312" s="26"/>
      <c r="O312" s="26"/>
      <c r="P312" s="27"/>
      <c r="Q312" s="36"/>
      <c r="R312" s="26" t="s">
        <v>43</v>
      </c>
      <c r="S312" s="26" t="s">
        <v>38</v>
      </c>
      <c r="T312" s="26" t="s">
        <v>39</v>
      </c>
      <c r="U312" s="27">
        <v>0.84745762711864414</v>
      </c>
      <c r="V312" s="33">
        <v>1</v>
      </c>
      <c r="AG312" s="31">
        <v>0</v>
      </c>
      <c r="AH312" s="1" t="s">
        <v>44</v>
      </c>
    </row>
    <row r="313" spans="1:34">
      <c r="A313" s="15" t="s">
        <v>366</v>
      </c>
      <c r="B313" s="8" t="s">
        <v>350</v>
      </c>
      <c r="C313" s="41" t="s">
        <v>37</v>
      </c>
      <c r="D313" s="1" t="s">
        <v>38</v>
      </c>
      <c r="E313" s="26" t="s">
        <v>39</v>
      </c>
      <c r="F313" s="27">
        <v>0.94339622641509424</v>
      </c>
      <c r="G313" s="33">
        <v>0.5</v>
      </c>
      <c r="H313" s="26" t="s">
        <v>40</v>
      </c>
      <c r="I313" s="26" t="s">
        <v>41</v>
      </c>
      <c r="J313" s="26" t="s">
        <v>42</v>
      </c>
      <c r="K313" s="27">
        <v>2.3255813953488373</v>
      </c>
      <c r="L313" s="27">
        <v>0.5</v>
      </c>
      <c r="M313" s="70"/>
      <c r="N313" s="26"/>
      <c r="O313" s="26"/>
      <c r="P313" s="27"/>
      <c r="Q313" s="36"/>
      <c r="R313" s="26" t="s">
        <v>43</v>
      </c>
      <c r="S313" s="26" t="s">
        <v>38</v>
      </c>
      <c r="T313" s="26" t="s">
        <v>39</v>
      </c>
      <c r="U313" s="27">
        <v>0.84745762711864414</v>
      </c>
      <c r="V313" s="33">
        <v>1</v>
      </c>
      <c r="AG313" s="31">
        <v>0</v>
      </c>
      <c r="AH313" s="1" t="s">
        <v>44</v>
      </c>
    </row>
    <row r="314" spans="1:34">
      <c r="A314" s="15" t="s">
        <v>367</v>
      </c>
      <c r="B314" s="8" t="s">
        <v>350</v>
      </c>
      <c r="C314" s="41" t="s">
        <v>37</v>
      </c>
      <c r="D314" s="1" t="s">
        <v>38</v>
      </c>
      <c r="E314" s="26" t="s">
        <v>39</v>
      </c>
      <c r="F314" s="27">
        <v>0.94339622641509424</v>
      </c>
      <c r="G314" s="33">
        <v>0.5</v>
      </c>
      <c r="H314" s="26" t="s">
        <v>40</v>
      </c>
      <c r="I314" s="26" t="s">
        <v>41</v>
      </c>
      <c r="J314" s="26" t="s">
        <v>42</v>
      </c>
      <c r="K314" s="27">
        <v>2.3255813953488373</v>
      </c>
      <c r="L314" s="27">
        <v>0.5</v>
      </c>
      <c r="M314" s="70"/>
      <c r="N314" s="26"/>
      <c r="O314" s="26"/>
      <c r="P314" s="27"/>
      <c r="Q314" s="36"/>
      <c r="R314" s="26" t="s">
        <v>43</v>
      </c>
      <c r="S314" s="26" t="s">
        <v>38</v>
      </c>
      <c r="T314" s="26" t="s">
        <v>39</v>
      </c>
      <c r="U314" s="27">
        <v>0.84745762711864414</v>
      </c>
      <c r="V314" s="33">
        <v>1</v>
      </c>
      <c r="AG314" s="31">
        <v>0</v>
      </c>
      <c r="AH314" s="1" t="s">
        <v>44</v>
      </c>
    </row>
    <row r="315" spans="1:34">
      <c r="A315" s="15" t="s">
        <v>368</v>
      </c>
      <c r="B315" s="8" t="s">
        <v>350</v>
      </c>
      <c r="C315" s="41" t="s">
        <v>37</v>
      </c>
      <c r="D315" s="1" t="s">
        <v>38</v>
      </c>
      <c r="E315" s="26" t="s">
        <v>39</v>
      </c>
      <c r="F315" s="27">
        <v>0.94339622641509424</v>
      </c>
      <c r="G315" s="33">
        <v>0.5</v>
      </c>
      <c r="H315" s="26" t="s">
        <v>40</v>
      </c>
      <c r="I315" s="26" t="s">
        <v>41</v>
      </c>
      <c r="J315" s="26" t="s">
        <v>42</v>
      </c>
      <c r="K315" s="27">
        <v>2.3255813953488373</v>
      </c>
      <c r="L315" s="27">
        <v>0.5</v>
      </c>
      <c r="M315" s="70"/>
      <c r="N315" s="26"/>
      <c r="O315" s="26"/>
      <c r="P315" s="27"/>
      <c r="Q315" s="36"/>
      <c r="R315" s="26" t="s">
        <v>43</v>
      </c>
      <c r="S315" s="26" t="s">
        <v>38</v>
      </c>
      <c r="T315" s="26" t="s">
        <v>39</v>
      </c>
      <c r="U315" s="27">
        <v>0.84745762711864414</v>
      </c>
      <c r="V315" s="33">
        <v>1</v>
      </c>
      <c r="AG315" s="31">
        <v>0</v>
      </c>
      <c r="AH315" s="1" t="s">
        <v>44</v>
      </c>
    </row>
    <row r="316" spans="1:34">
      <c r="A316" s="15" t="s">
        <v>369</v>
      </c>
      <c r="B316" s="8" t="s">
        <v>350</v>
      </c>
      <c r="C316" s="41" t="s">
        <v>37</v>
      </c>
      <c r="D316" s="1" t="s">
        <v>38</v>
      </c>
      <c r="E316" s="26" t="s">
        <v>39</v>
      </c>
      <c r="F316" s="27">
        <v>0.94339622641509424</v>
      </c>
      <c r="G316" s="33">
        <v>0.5</v>
      </c>
      <c r="H316" s="26" t="s">
        <v>40</v>
      </c>
      <c r="I316" s="26" t="s">
        <v>41</v>
      </c>
      <c r="J316" s="26" t="s">
        <v>42</v>
      </c>
      <c r="K316" s="27">
        <v>2.3255813953488373</v>
      </c>
      <c r="L316" s="27">
        <v>0.5</v>
      </c>
      <c r="M316" s="70"/>
      <c r="N316" s="26"/>
      <c r="O316" s="26"/>
      <c r="P316" s="27"/>
      <c r="Q316" s="36"/>
      <c r="R316" s="26" t="s">
        <v>43</v>
      </c>
      <c r="S316" s="26" t="s">
        <v>38</v>
      </c>
      <c r="T316" s="26" t="s">
        <v>39</v>
      </c>
      <c r="U316" s="27">
        <v>0.84745762711864414</v>
      </c>
      <c r="V316" s="33">
        <v>1</v>
      </c>
      <c r="AG316" s="31">
        <v>0</v>
      </c>
      <c r="AH316" s="1" t="s">
        <v>44</v>
      </c>
    </row>
    <row r="317" spans="1:34">
      <c r="A317" s="15" t="s">
        <v>370</v>
      </c>
      <c r="B317" s="8" t="s">
        <v>350</v>
      </c>
      <c r="C317" s="41" t="s">
        <v>37</v>
      </c>
      <c r="D317" s="1" t="s">
        <v>38</v>
      </c>
      <c r="E317" s="26" t="s">
        <v>39</v>
      </c>
      <c r="F317" s="27">
        <v>0.94339622641509424</v>
      </c>
      <c r="G317" s="33">
        <v>0.5</v>
      </c>
      <c r="H317" s="26" t="s">
        <v>40</v>
      </c>
      <c r="I317" s="26" t="s">
        <v>41</v>
      </c>
      <c r="J317" s="26" t="s">
        <v>42</v>
      </c>
      <c r="K317" s="27">
        <v>2.3255813953488373</v>
      </c>
      <c r="L317" s="27">
        <v>0.5</v>
      </c>
      <c r="M317" s="70"/>
      <c r="N317" s="26"/>
      <c r="O317" s="26"/>
      <c r="P317" s="27"/>
      <c r="Q317" s="36"/>
      <c r="R317" s="26" t="s">
        <v>43</v>
      </c>
      <c r="S317" s="26" t="s">
        <v>38</v>
      </c>
      <c r="T317" s="26" t="s">
        <v>39</v>
      </c>
      <c r="U317" s="27">
        <v>0.84745762711864414</v>
      </c>
      <c r="V317" s="33">
        <v>1</v>
      </c>
      <c r="AG317" s="31">
        <v>0</v>
      </c>
      <c r="AH317" s="1" t="s">
        <v>44</v>
      </c>
    </row>
    <row r="318" spans="1:34">
      <c r="A318" s="15" t="s">
        <v>371</v>
      </c>
      <c r="B318" s="8" t="s">
        <v>350</v>
      </c>
      <c r="C318" s="41" t="s">
        <v>37</v>
      </c>
      <c r="D318" s="1" t="s">
        <v>38</v>
      </c>
      <c r="E318" s="26" t="s">
        <v>39</v>
      </c>
      <c r="F318" s="27">
        <v>0.94339622641509424</v>
      </c>
      <c r="G318" s="33">
        <v>0.5</v>
      </c>
      <c r="H318" s="26" t="s">
        <v>40</v>
      </c>
      <c r="I318" s="26" t="s">
        <v>41</v>
      </c>
      <c r="J318" s="26" t="s">
        <v>42</v>
      </c>
      <c r="K318" s="27">
        <v>2.3255813953488373</v>
      </c>
      <c r="L318" s="27">
        <v>0.5</v>
      </c>
      <c r="M318" s="70"/>
      <c r="N318" s="26"/>
      <c r="O318" s="26"/>
      <c r="P318" s="27"/>
      <c r="Q318" s="36"/>
      <c r="R318" s="26" t="s">
        <v>43</v>
      </c>
      <c r="S318" s="26" t="s">
        <v>38</v>
      </c>
      <c r="T318" s="26" t="s">
        <v>39</v>
      </c>
      <c r="U318" s="27">
        <v>0.84745762711864414</v>
      </c>
      <c r="V318" s="33">
        <v>1</v>
      </c>
      <c r="AG318" s="31">
        <v>0</v>
      </c>
      <c r="AH318" s="1" t="s">
        <v>44</v>
      </c>
    </row>
    <row r="319" spans="1:34">
      <c r="A319" s="15" t="s">
        <v>372</v>
      </c>
      <c r="B319" s="8" t="s">
        <v>350</v>
      </c>
      <c r="C319" s="41" t="s">
        <v>37</v>
      </c>
      <c r="D319" s="1" t="s">
        <v>38</v>
      </c>
      <c r="E319" s="26" t="s">
        <v>39</v>
      </c>
      <c r="F319" s="27">
        <v>0.94339622641509424</v>
      </c>
      <c r="G319" s="33">
        <v>0.5</v>
      </c>
      <c r="H319" s="26" t="s">
        <v>40</v>
      </c>
      <c r="I319" s="26" t="s">
        <v>41</v>
      </c>
      <c r="J319" s="26" t="s">
        <v>42</v>
      </c>
      <c r="K319" s="27">
        <v>2.3255813953488373</v>
      </c>
      <c r="L319" s="27">
        <v>0.5</v>
      </c>
      <c r="M319" s="70"/>
      <c r="N319" s="26"/>
      <c r="O319" s="26"/>
      <c r="P319" s="27"/>
      <c r="Q319" s="36"/>
      <c r="R319" s="26" t="s">
        <v>43</v>
      </c>
      <c r="S319" s="26" t="s">
        <v>38</v>
      </c>
      <c r="T319" s="26" t="s">
        <v>39</v>
      </c>
      <c r="U319" s="27">
        <v>0.84745762711864414</v>
      </c>
      <c r="V319" s="33">
        <v>1</v>
      </c>
      <c r="AG319" s="31">
        <v>0</v>
      </c>
      <c r="AH319" s="1" t="s">
        <v>44</v>
      </c>
    </row>
    <row r="320" spans="1:34">
      <c r="A320" s="15" t="s">
        <v>373</v>
      </c>
      <c r="B320" s="8" t="s">
        <v>350</v>
      </c>
      <c r="C320" s="41" t="s">
        <v>37</v>
      </c>
      <c r="D320" s="1" t="s">
        <v>38</v>
      </c>
      <c r="E320" s="26" t="s">
        <v>39</v>
      </c>
      <c r="F320" s="27">
        <v>0.94339622641509424</v>
      </c>
      <c r="G320" s="33">
        <v>0.5</v>
      </c>
      <c r="H320" s="26" t="s">
        <v>40</v>
      </c>
      <c r="I320" s="26" t="s">
        <v>41</v>
      </c>
      <c r="J320" s="26" t="s">
        <v>42</v>
      </c>
      <c r="K320" s="27">
        <v>2.3255813953488373</v>
      </c>
      <c r="L320" s="27">
        <v>0.5</v>
      </c>
      <c r="M320" s="70"/>
      <c r="N320" s="26"/>
      <c r="O320" s="26"/>
      <c r="P320" s="27"/>
      <c r="Q320" s="36"/>
      <c r="R320" s="26" t="s">
        <v>43</v>
      </c>
      <c r="S320" s="26" t="s">
        <v>38</v>
      </c>
      <c r="T320" s="26" t="s">
        <v>39</v>
      </c>
      <c r="U320" s="27">
        <v>0.84745762711864414</v>
      </c>
      <c r="V320" s="33">
        <v>1</v>
      </c>
      <c r="AG320" s="31">
        <v>0</v>
      </c>
      <c r="AH320" s="1" t="s">
        <v>44</v>
      </c>
    </row>
    <row r="321" spans="1:34">
      <c r="A321" s="15" t="s">
        <v>374</v>
      </c>
      <c r="B321" s="8" t="s">
        <v>350</v>
      </c>
      <c r="C321" s="41" t="s">
        <v>37</v>
      </c>
      <c r="D321" s="1" t="s">
        <v>38</v>
      </c>
      <c r="E321" s="26" t="s">
        <v>39</v>
      </c>
      <c r="F321" s="27">
        <v>0.94339622641509424</v>
      </c>
      <c r="G321" s="33">
        <v>0.5</v>
      </c>
      <c r="H321" s="26" t="s">
        <v>40</v>
      </c>
      <c r="I321" s="26" t="s">
        <v>41</v>
      </c>
      <c r="J321" s="26" t="s">
        <v>42</v>
      </c>
      <c r="K321" s="27">
        <v>2.3255813953488373</v>
      </c>
      <c r="L321" s="27">
        <v>0.5</v>
      </c>
      <c r="M321" s="70"/>
      <c r="N321" s="26"/>
      <c r="O321" s="26"/>
      <c r="P321" s="27"/>
      <c r="Q321" s="36"/>
      <c r="R321" s="26" t="s">
        <v>43</v>
      </c>
      <c r="S321" s="26" t="s">
        <v>38</v>
      </c>
      <c r="T321" s="26" t="s">
        <v>39</v>
      </c>
      <c r="U321" s="27">
        <v>0.84745762711864414</v>
      </c>
      <c r="V321" s="33">
        <v>1</v>
      </c>
      <c r="AG321" s="31">
        <v>0</v>
      </c>
      <c r="AH321" s="1" t="s">
        <v>44</v>
      </c>
    </row>
    <row r="322" spans="1:34">
      <c r="A322" s="15" t="s">
        <v>375</v>
      </c>
      <c r="B322" s="8" t="s">
        <v>350</v>
      </c>
      <c r="C322" s="41" t="s">
        <v>37</v>
      </c>
      <c r="D322" s="1" t="s">
        <v>38</v>
      </c>
      <c r="E322" s="26" t="s">
        <v>39</v>
      </c>
      <c r="F322" s="27">
        <v>0.94339622641509424</v>
      </c>
      <c r="G322" s="33">
        <v>0.5</v>
      </c>
      <c r="H322" s="26" t="s">
        <v>40</v>
      </c>
      <c r="I322" s="26" t="s">
        <v>41</v>
      </c>
      <c r="J322" s="26" t="s">
        <v>42</v>
      </c>
      <c r="K322" s="27">
        <v>2.3255813953488373</v>
      </c>
      <c r="L322" s="27">
        <v>0.5</v>
      </c>
      <c r="M322" s="70"/>
      <c r="N322" s="26"/>
      <c r="O322" s="26"/>
      <c r="P322" s="27"/>
      <c r="Q322" s="36"/>
      <c r="R322" s="26" t="s">
        <v>43</v>
      </c>
      <c r="S322" s="26" t="s">
        <v>38</v>
      </c>
      <c r="T322" s="26" t="s">
        <v>39</v>
      </c>
      <c r="U322" s="27">
        <v>0.84745762711864414</v>
      </c>
      <c r="V322" s="33">
        <v>1</v>
      </c>
      <c r="AG322" s="31">
        <v>0</v>
      </c>
      <c r="AH322" s="1" t="s">
        <v>44</v>
      </c>
    </row>
    <row r="323" spans="1:34">
      <c r="A323" s="15" t="s">
        <v>376</v>
      </c>
      <c r="B323" s="8" t="s">
        <v>350</v>
      </c>
      <c r="C323" s="41" t="s">
        <v>37</v>
      </c>
      <c r="D323" s="1" t="s">
        <v>38</v>
      </c>
      <c r="E323" s="26" t="s">
        <v>39</v>
      </c>
      <c r="F323" s="27">
        <v>0.94339622641509424</v>
      </c>
      <c r="G323" s="33">
        <v>0.5</v>
      </c>
      <c r="H323" s="26" t="s">
        <v>40</v>
      </c>
      <c r="I323" s="26" t="s">
        <v>41</v>
      </c>
      <c r="J323" s="26" t="s">
        <v>42</v>
      </c>
      <c r="K323" s="27">
        <v>2.3255813953488373</v>
      </c>
      <c r="L323" s="27">
        <v>0.5</v>
      </c>
      <c r="M323" s="70"/>
      <c r="N323" s="26"/>
      <c r="O323" s="26"/>
      <c r="P323" s="27"/>
      <c r="Q323" s="36"/>
      <c r="R323" s="26" t="s">
        <v>43</v>
      </c>
      <c r="S323" s="26" t="s">
        <v>38</v>
      </c>
      <c r="T323" s="26" t="s">
        <v>39</v>
      </c>
      <c r="U323" s="27">
        <v>0.84745762711864414</v>
      </c>
      <c r="V323" s="33">
        <v>1</v>
      </c>
      <c r="AG323" s="31">
        <v>0</v>
      </c>
      <c r="AH323" s="1" t="s">
        <v>44</v>
      </c>
    </row>
    <row r="324" spans="1:34">
      <c r="A324" s="15" t="s">
        <v>377</v>
      </c>
      <c r="B324" s="8" t="s">
        <v>350</v>
      </c>
      <c r="C324" s="41" t="s">
        <v>37</v>
      </c>
      <c r="D324" s="1" t="s">
        <v>38</v>
      </c>
      <c r="E324" s="26" t="s">
        <v>39</v>
      </c>
      <c r="F324" s="27">
        <v>0.94339622641509424</v>
      </c>
      <c r="G324" s="33">
        <v>0.5</v>
      </c>
      <c r="H324" s="26" t="s">
        <v>40</v>
      </c>
      <c r="I324" s="26" t="s">
        <v>41</v>
      </c>
      <c r="J324" s="26" t="s">
        <v>42</v>
      </c>
      <c r="K324" s="27">
        <v>2.3255813953488373</v>
      </c>
      <c r="L324" s="27">
        <v>0.5</v>
      </c>
      <c r="M324" s="70"/>
      <c r="N324" s="26"/>
      <c r="O324" s="26"/>
      <c r="P324" s="27"/>
      <c r="Q324" s="36"/>
      <c r="R324" s="26" t="s">
        <v>43</v>
      </c>
      <c r="S324" s="26" t="s">
        <v>38</v>
      </c>
      <c r="T324" s="26" t="s">
        <v>39</v>
      </c>
      <c r="U324" s="27">
        <v>0.84745762711864414</v>
      </c>
      <c r="V324" s="33">
        <v>1</v>
      </c>
      <c r="AG324" s="31">
        <v>0</v>
      </c>
      <c r="AH324" s="1" t="s">
        <v>44</v>
      </c>
    </row>
    <row r="325" spans="1:34">
      <c r="A325" s="15" t="s">
        <v>378</v>
      </c>
      <c r="B325" s="8" t="s">
        <v>350</v>
      </c>
      <c r="C325" s="41" t="s">
        <v>37</v>
      </c>
      <c r="D325" s="1" t="s">
        <v>38</v>
      </c>
      <c r="E325" s="26" t="s">
        <v>39</v>
      </c>
      <c r="F325" s="27">
        <v>0.94339622641509424</v>
      </c>
      <c r="G325" s="33">
        <v>0.5</v>
      </c>
      <c r="H325" s="26" t="s">
        <v>40</v>
      </c>
      <c r="I325" s="26" t="s">
        <v>41</v>
      </c>
      <c r="J325" s="26" t="s">
        <v>42</v>
      </c>
      <c r="K325" s="27">
        <v>2.3255813953488373</v>
      </c>
      <c r="L325" s="27">
        <v>0.5</v>
      </c>
      <c r="M325" s="70"/>
      <c r="N325" s="26"/>
      <c r="O325" s="26"/>
      <c r="P325" s="27"/>
      <c r="Q325" s="36"/>
      <c r="R325" s="26" t="s">
        <v>43</v>
      </c>
      <c r="S325" s="26" t="s">
        <v>38</v>
      </c>
      <c r="T325" s="26" t="s">
        <v>39</v>
      </c>
      <c r="U325" s="27">
        <v>0.84745762711864414</v>
      </c>
      <c r="V325" s="33">
        <v>1</v>
      </c>
      <c r="AG325" s="31">
        <v>1</v>
      </c>
      <c r="AH325" s="1" t="s">
        <v>73</v>
      </c>
    </row>
    <row r="326" spans="1:34">
      <c r="A326" s="15" t="s">
        <v>379</v>
      </c>
      <c r="B326" s="8" t="s">
        <v>350</v>
      </c>
      <c r="C326" s="41" t="s">
        <v>37</v>
      </c>
      <c r="D326" s="1" t="s">
        <v>38</v>
      </c>
      <c r="E326" s="26" t="s">
        <v>39</v>
      </c>
      <c r="F326" s="27">
        <v>0.94339622641509424</v>
      </c>
      <c r="G326" s="33">
        <v>0.5</v>
      </c>
      <c r="H326" s="26" t="s">
        <v>40</v>
      </c>
      <c r="I326" s="26" t="s">
        <v>41</v>
      </c>
      <c r="J326" s="26" t="s">
        <v>42</v>
      </c>
      <c r="K326" s="27">
        <v>2.3255813953488373</v>
      </c>
      <c r="L326" s="27">
        <v>0.5</v>
      </c>
      <c r="M326" s="70"/>
      <c r="N326" s="26"/>
      <c r="O326" s="26"/>
      <c r="P326" s="27"/>
      <c r="Q326" s="36"/>
      <c r="R326" s="26" t="s">
        <v>43</v>
      </c>
      <c r="S326" s="26" t="s">
        <v>38</v>
      </c>
      <c r="T326" s="26" t="s">
        <v>39</v>
      </c>
      <c r="U326" s="27">
        <v>0.84745762711864414</v>
      </c>
      <c r="V326" s="33">
        <v>1</v>
      </c>
      <c r="AG326" s="31">
        <v>1</v>
      </c>
      <c r="AH326" s="1" t="s">
        <v>73</v>
      </c>
    </row>
    <row r="327" spans="1:34">
      <c r="A327" s="15" t="s">
        <v>380</v>
      </c>
      <c r="B327" s="8" t="s">
        <v>350</v>
      </c>
      <c r="C327" s="41" t="s">
        <v>37</v>
      </c>
      <c r="D327" s="1" t="s">
        <v>38</v>
      </c>
      <c r="E327" s="26" t="s">
        <v>39</v>
      </c>
      <c r="F327" s="27">
        <v>0.94339622641509424</v>
      </c>
      <c r="G327" s="33">
        <v>0.5</v>
      </c>
      <c r="H327" s="26" t="s">
        <v>40</v>
      </c>
      <c r="I327" s="26" t="s">
        <v>41</v>
      </c>
      <c r="J327" s="26" t="s">
        <v>42</v>
      </c>
      <c r="K327" s="27">
        <v>2.3255813953488373</v>
      </c>
      <c r="L327" s="27">
        <v>0.5</v>
      </c>
      <c r="M327" s="70"/>
      <c r="N327" s="26"/>
      <c r="O327" s="26"/>
      <c r="P327" s="27"/>
      <c r="Q327" s="36"/>
      <c r="R327" s="26" t="s">
        <v>43</v>
      </c>
      <c r="S327" s="26" t="s">
        <v>38</v>
      </c>
      <c r="T327" s="26" t="s">
        <v>39</v>
      </c>
      <c r="U327" s="27">
        <v>0.84745762711864414</v>
      </c>
      <c r="V327" s="33">
        <v>1</v>
      </c>
      <c r="AG327" s="31">
        <v>1</v>
      </c>
      <c r="AH327" s="1" t="s">
        <v>73</v>
      </c>
    </row>
    <row r="328" spans="1:34">
      <c r="A328" s="15" t="s">
        <v>381</v>
      </c>
      <c r="B328" s="8" t="s">
        <v>350</v>
      </c>
      <c r="C328" s="41" t="s">
        <v>37</v>
      </c>
      <c r="D328" s="1" t="s">
        <v>38</v>
      </c>
      <c r="E328" s="26" t="s">
        <v>39</v>
      </c>
      <c r="F328" s="27">
        <v>0.94339622641509424</v>
      </c>
      <c r="G328" s="33">
        <v>0.5</v>
      </c>
      <c r="H328" s="26" t="s">
        <v>40</v>
      </c>
      <c r="I328" s="26" t="s">
        <v>41</v>
      </c>
      <c r="J328" s="26" t="s">
        <v>42</v>
      </c>
      <c r="K328" s="27">
        <v>2.3255813953488373</v>
      </c>
      <c r="L328" s="27">
        <v>0.5</v>
      </c>
      <c r="M328" s="70"/>
      <c r="N328" s="26"/>
      <c r="O328" s="26"/>
      <c r="P328" s="27"/>
      <c r="Q328" s="36"/>
      <c r="R328" s="26" t="s">
        <v>43</v>
      </c>
      <c r="S328" s="26" t="s">
        <v>38</v>
      </c>
      <c r="T328" s="26" t="s">
        <v>39</v>
      </c>
      <c r="U328" s="27">
        <v>0.84745762711864414</v>
      </c>
      <c r="V328" s="33">
        <v>1</v>
      </c>
      <c r="AG328" s="31">
        <v>1</v>
      </c>
      <c r="AH328" s="1" t="s">
        <v>73</v>
      </c>
    </row>
    <row r="329" spans="1:34">
      <c r="A329" s="15" t="s">
        <v>382</v>
      </c>
      <c r="B329" s="8" t="s">
        <v>350</v>
      </c>
      <c r="C329" s="41" t="s">
        <v>37</v>
      </c>
      <c r="D329" s="1" t="s">
        <v>38</v>
      </c>
      <c r="E329" s="26" t="s">
        <v>39</v>
      </c>
      <c r="F329" s="27">
        <v>0.94339622641509424</v>
      </c>
      <c r="G329" s="33">
        <v>0.5</v>
      </c>
      <c r="H329" s="26" t="s">
        <v>40</v>
      </c>
      <c r="I329" s="26" t="s">
        <v>41</v>
      </c>
      <c r="J329" s="26" t="s">
        <v>42</v>
      </c>
      <c r="K329" s="27">
        <v>2.3255813953488373</v>
      </c>
      <c r="L329" s="27">
        <v>0.5</v>
      </c>
      <c r="M329" s="70"/>
      <c r="N329" s="26"/>
      <c r="O329" s="26"/>
      <c r="P329" s="27"/>
      <c r="Q329" s="36"/>
      <c r="R329" s="26" t="s">
        <v>43</v>
      </c>
      <c r="S329" s="26" t="s">
        <v>38</v>
      </c>
      <c r="T329" s="26" t="s">
        <v>39</v>
      </c>
      <c r="U329" s="27">
        <v>0.84745762711864414</v>
      </c>
      <c r="V329" s="33">
        <v>1</v>
      </c>
      <c r="AG329" s="31">
        <v>1</v>
      </c>
      <c r="AH329" s="1" t="s">
        <v>73</v>
      </c>
    </row>
    <row r="330" spans="1:34">
      <c r="A330" s="15" t="s">
        <v>383</v>
      </c>
      <c r="B330" s="8" t="s">
        <v>350</v>
      </c>
      <c r="C330" s="41" t="s">
        <v>37</v>
      </c>
      <c r="D330" s="1" t="s">
        <v>38</v>
      </c>
      <c r="E330" s="26" t="s">
        <v>39</v>
      </c>
      <c r="F330" s="27">
        <v>0.94339622641509424</v>
      </c>
      <c r="G330" s="33">
        <v>0.5</v>
      </c>
      <c r="H330" s="26" t="s">
        <v>40</v>
      </c>
      <c r="I330" s="26" t="s">
        <v>41</v>
      </c>
      <c r="J330" s="26" t="s">
        <v>42</v>
      </c>
      <c r="K330" s="27">
        <v>2.3255813953488373</v>
      </c>
      <c r="L330" s="27">
        <v>0.5</v>
      </c>
      <c r="M330" s="70"/>
      <c r="N330" s="26"/>
      <c r="O330" s="26"/>
      <c r="P330" s="27"/>
      <c r="Q330" s="36"/>
      <c r="R330" s="26" t="s">
        <v>43</v>
      </c>
      <c r="S330" s="26" t="s">
        <v>38</v>
      </c>
      <c r="T330" s="26" t="s">
        <v>39</v>
      </c>
      <c r="U330" s="27">
        <v>0.84745762711864414</v>
      </c>
      <c r="V330" s="33">
        <v>1</v>
      </c>
      <c r="AG330" s="31">
        <v>1</v>
      </c>
      <c r="AH330" s="1" t="s">
        <v>73</v>
      </c>
    </row>
    <row r="331" spans="1:34">
      <c r="A331" s="15" t="s">
        <v>384</v>
      </c>
      <c r="B331" s="8" t="s">
        <v>350</v>
      </c>
      <c r="C331" s="41" t="s">
        <v>37</v>
      </c>
      <c r="D331" s="1" t="s">
        <v>38</v>
      </c>
      <c r="E331" s="26" t="s">
        <v>39</v>
      </c>
      <c r="F331" s="27">
        <v>0.94339622641509424</v>
      </c>
      <c r="G331" s="33">
        <v>0.5</v>
      </c>
      <c r="H331" s="26" t="s">
        <v>40</v>
      </c>
      <c r="I331" s="26" t="s">
        <v>41</v>
      </c>
      <c r="J331" s="26" t="s">
        <v>42</v>
      </c>
      <c r="K331" s="27">
        <v>2.3255813953488373</v>
      </c>
      <c r="L331" s="27">
        <v>0.5</v>
      </c>
      <c r="M331" s="70"/>
      <c r="N331" s="26"/>
      <c r="O331" s="26"/>
      <c r="P331" s="27"/>
      <c r="Q331" s="36"/>
      <c r="R331" s="26" t="s">
        <v>43</v>
      </c>
      <c r="S331" s="26" t="s">
        <v>38</v>
      </c>
      <c r="T331" s="26" t="s">
        <v>39</v>
      </c>
      <c r="U331" s="27">
        <v>0.84745762711864414</v>
      </c>
      <c r="V331" s="33">
        <v>1</v>
      </c>
      <c r="AG331" s="31">
        <v>1</v>
      </c>
      <c r="AH331" s="1" t="s">
        <v>73</v>
      </c>
    </row>
    <row r="332" spans="1:34">
      <c r="A332" s="15" t="s">
        <v>385</v>
      </c>
      <c r="B332" s="8" t="s">
        <v>350</v>
      </c>
      <c r="C332" s="41" t="s">
        <v>37</v>
      </c>
      <c r="D332" s="1" t="s">
        <v>38</v>
      </c>
      <c r="E332" s="26" t="s">
        <v>39</v>
      </c>
      <c r="F332" s="27">
        <v>0.94339622641509424</v>
      </c>
      <c r="G332" s="33">
        <v>0.5</v>
      </c>
      <c r="H332" s="26" t="s">
        <v>40</v>
      </c>
      <c r="I332" s="26" t="s">
        <v>41</v>
      </c>
      <c r="J332" s="26" t="s">
        <v>42</v>
      </c>
      <c r="K332" s="27">
        <v>2.3255813953488373</v>
      </c>
      <c r="L332" s="27">
        <v>0.5</v>
      </c>
      <c r="M332" s="70"/>
      <c r="N332" s="26"/>
      <c r="O332" s="26"/>
      <c r="P332" s="27"/>
      <c r="Q332" s="36"/>
      <c r="R332" s="26" t="s">
        <v>43</v>
      </c>
      <c r="S332" s="26" t="s">
        <v>38</v>
      </c>
      <c r="T332" s="26" t="s">
        <v>39</v>
      </c>
      <c r="U332" s="27">
        <v>0.84745762711864414</v>
      </c>
      <c r="V332" s="33">
        <v>1</v>
      </c>
      <c r="AG332" s="31">
        <v>0</v>
      </c>
      <c r="AH332" s="1" t="s">
        <v>44</v>
      </c>
    </row>
    <row r="333" spans="1:34">
      <c r="A333" s="15" t="s">
        <v>386</v>
      </c>
      <c r="B333" s="8" t="s">
        <v>350</v>
      </c>
      <c r="C333" s="41" t="s">
        <v>37</v>
      </c>
      <c r="D333" s="1" t="s">
        <v>38</v>
      </c>
      <c r="E333" s="26" t="s">
        <v>39</v>
      </c>
      <c r="F333" s="27">
        <v>0.94339622641509424</v>
      </c>
      <c r="G333" s="33">
        <v>0.5</v>
      </c>
      <c r="H333" s="26" t="s">
        <v>40</v>
      </c>
      <c r="I333" s="26" t="s">
        <v>41</v>
      </c>
      <c r="J333" s="26" t="s">
        <v>42</v>
      </c>
      <c r="K333" s="27">
        <v>2.3255813953488373</v>
      </c>
      <c r="L333" s="27">
        <v>0.5</v>
      </c>
      <c r="M333" s="70"/>
      <c r="N333" s="26"/>
      <c r="O333" s="26"/>
      <c r="P333" s="27"/>
      <c r="Q333" s="36"/>
      <c r="R333" s="26" t="s">
        <v>43</v>
      </c>
      <c r="S333" s="26" t="s">
        <v>38</v>
      </c>
      <c r="T333" s="26" t="s">
        <v>39</v>
      </c>
      <c r="U333" s="27">
        <v>0.84745762711864414</v>
      </c>
      <c r="V333" s="33">
        <v>1</v>
      </c>
      <c r="AG333" s="31">
        <v>0</v>
      </c>
      <c r="AH333" s="1" t="s">
        <v>44</v>
      </c>
    </row>
    <row r="334" spans="1:34">
      <c r="A334" s="15" t="s">
        <v>387</v>
      </c>
      <c r="B334" s="8" t="s">
        <v>350</v>
      </c>
      <c r="C334" s="41" t="s">
        <v>37</v>
      </c>
      <c r="D334" s="1" t="s">
        <v>38</v>
      </c>
      <c r="E334" s="26" t="s">
        <v>39</v>
      </c>
      <c r="F334" s="27">
        <v>0.94339622641509424</v>
      </c>
      <c r="G334" s="33">
        <v>0.5</v>
      </c>
      <c r="H334" s="26" t="s">
        <v>40</v>
      </c>
      <c r="I334" s="26" t="s">
        <v>41</v>
      </c>
      <c r="J334" s="26" t="s">
        <v>42</v>
      </c>
      <c r="K334" s="27">
        <v>2.3255813953488373</v>
      </c>
      <c r="L334" s="27">
        <v>0.5</v>
      </c>
      <c r="M334" s="70"/>
      <c r="N334" s="26"/>
      <c r="O334" s="26"/>
      <c r="P334" s="27"/>
      <c r="Q334" s="36"/>
      <c r="R334" s="26" t="s">
        <v>43</v>
      </c>
      <c r="S334" s="26" t="s">
        <v>38</v>
      </c>
      <c r="T334" s="26" t="s">
        <v>39</v>
      </c>
      <c r="U334" s="27">
        <v>0.84745762711864414</v>
      </c>
      <c r="V334" s="33">
        <v>1</v>
      </c>
      <c r="AG334" s="31">
        <v>0</v>
      </c>
      <c r="AH334" s="1" t="s">
        <v>44</v>
      </c>
    </row>
    <row r="335" spans="1:34">
      <c r="A335" s="15" t="s">
        <v>388</v>
      </c>
      <c r="B335" s="8" t="s">
        <v>350</v>
      </c>
      <c r="C335" s="41" t="s">
        <v>37</v>
      </c>
      <c r="D335" s="1" t="s">
        <v>38</v>
      </c>
      <c r="E335" s="26" t="s">
        <v>39</v>
      </c>
      <c r="F335" s="27">
        <v>0.94339622641509424</v>
      </c>
      <c r="G335" s="33">
        <v>0.5</v>
      </c>
      <c r="H335" s="26" t="s">
        <v>40</v>
      </c>
      <c r="I335" s="26" t="s">
        <v>41</v>
      </c>
      <c r="J335" s="26" t="s">
        <v>42</v>
      </c>
      <c r="K335" s="27">
        <v>2.3255813953488373</v>
      </c>
      <c r="L335" s="27">
        <v>0.5</v>
      </c>
      <c r="M335" s="70"/>
      <c r="N335" s="26"/>
      <c r="O335" s="26"/>
      <c r="P335" s="27"/>
      <c r="Q335" s="36"/>
      <c r="R335" s="26" t="s">
        <v>43</v>
      </c>
      <c r="S335" s="26" t="s">
        <v>38</v>
      </c>
      <c r="T335" s="26" t="s">
        <v>39</v>
      </c>
      <c r="U335" s="27">
        <v>0.84745762711864414</v>
      </c>
      <c r="V335" s="33">
        <v>1</v>
      </c>
      <c r="AG335" s="31">
        <v>0</v>
      </c>
      <c r="AH335" s="1" t="s">
        <v>44</v>
      </c>
    </row>
    <row r="336" spans="1:34">
      <c r="A336" s="15" t="s">
        <v>389</v>
      </c>
      <c r="B336" s="8" t="s">
        <v>350</v>
      </c>
      <c r="C336" s="41" t="s">
        <v>37</v>
      </c>
      <c r="D336" s="1" t="s">
        <v>38</v>
      </c>
      <c r="E336" s="26" t="s">
        <v>39</v>
      </c>
      <c r="F336" s="27">
        <v>0.94339622641509424</v>
      </c>
      <c r="G336" s="33">
        <v>0.5</v>
      </c>
      <c r="H336" s="26" t="s">
        <v>40</v>
      </c>
      <c r="I336" s="26" t="s">
        <v>41</v>
      </c>
      <c r="J336" s="26" t="s">
        <v>42</v>
      </c>
      <c r="K336" s="27">
        <v>2.3255813953488373</v>
      </c>
      <c r="L336" s="27">
        <v>0.5</v>
      </c>
      <c r="M336" s="70"/>
      <c r="N336" s="26"/>
      <c r="O336" s="26"/>
      <c r="P336" s="27"/>
      <c r="Q336" s="36"/>
      <c r="R336" s="26" t="s">
        <v>43</v>
      </c>
      <c r="S336" s="26" t="s">
        <v>38</v>
      </c>
      <c r="T336" s="26" t="s">
        <v>39</v>
      </c>
      <c r="U336" s="27">
        <v>0.84745762711864414</v>
      </c>
      <c r="V336" s="33">
        <v>1</v>
      </c>
      <c r="AG336" s="31">
        <v>0</v>
      </c>
      <c r="AH336" s="1" t="s">
        <v>44</v>
      </c>
    </row>
    <row r="337" spans="1:34">
      <c r="A337" s="15" t="s">
        <v>390</v>
      </c>
      <c r="B337" s="8" t="s">
        <v>350</v>
      </c>
      <c r="C337" s="41" t="s">
        <v>37</v>
      </c>
      <c r="D337" s="1" t="s">
        <v>38</v>
      </c>
      <c r="E337" s="26" t="s">
        <v>39</v>
      </c>
      <c r="F337" s="27">
        <v>0.94339622641509424</v>
      </c>
      <c r="G337" s="33">
        <v>0.5</v>
      </c>
      <c r="H337" s="26" t="s">
        <v>40</v>
      </c>
      <c r="I337" s="26" t="s">
        <v>41</v>
      </c>
      <c r="J337" s="26" t="s">
        <v>42</v>
      </c>
      <c r="K337" s="27">
        <v>2.3255813953488373</v>
      </c>
      <c r="L337" s="27">
        <v>0.5</v>
      </c>
      <c r="M337" s="70"/>
      <c r="N337" s="26"/>
      <c r="O337" s="26"/>
      <c r="P337" s="27"/>
      <c r="Q337" s="36"/>
      <c r="R337" s="26" t="s">
        <v>43</v>
      </c>
      <c r="S337" s="26" t="s">
        <v>38</v>
      </c>
      <c r="T337" s="26" t="s">
        <v>39</v>
      </c>
      <c r="U337" s="27">
        <v>0.84745762711864414</v>
      </c>
      <c r="V337" s="33">
        <v>1</v>
      </c>
      <c r="AG337" s="31">
        <v>0</v>
      </c>
      <c r="AH337" s="1" t="s">
        <v>44</v>
      </c>
    </row>
    <row r="338" spans="1:34">
      <c r="A338" s="15" t="s">
        <v>391</v>
      </c>
      <c r="B338" s="8" t="s">
        <v>350</v>
      </c>
      <c r="C338" s="41" t="s">
        <v>37</v>
      </c>
      <c r="D338" s="1" t="s">
        <v>38</v>
      </c>
      <c r="E338" s="26" t="s">
        <v>39</v>
      </c>
      <c r="F338" s="27">
        <v>0.94339622641509424</v>
      </c>
      <c r="G338" s="33">
        <v>0.5</v>
      </c>
      <c r="H338" s="26" t="s">
        <v>40</v>
      </c>
      <c r="I338" s="26" t="s">
        <v>41</v>
      </c>
      <c r="J338" s="26" t="s">
        <v>42</v>
      </c>
      <c r="K338" s="27">
        <v>2.3255813953488373</v>
      </c>
      <c r="L338" s="27">
        <v>0.5</v>
      </c>
      <c r="M338" s="70"/>
      <c r="N338" s="26"/>
      <c r="O338" s="26"/>
      <c r="P338" s="27"/>
      <c r="Q338" s="36"/>
      <c r="R338" s="26" t="s">
        <v>43</v>
      </c>
      <c r="S338" s="26" t="s">
        <v>38</v>
      </c>
      <c r="T338" s="26" t="s">
        <v>39</v>
      </c>
      <c r="U338" s="27">
        <v>0.84745762711864414</v>
      </c>
      <c r="V338" s="33">
        <v>1</v>
      </c>
      <c r="AG338" s="31">
        <v>0</v>
      </c>
      <c r="AH338" s="1" t="s">
        <v>44</v>
      </c>
    </row>
    <row r="339" spans="1:34">
      <c r="A339" s="15" t="s">
        <v>392</v>
      </c>
      <c r="B339" s="8" t="s">
        <v>350</v>
      </c>
      <c r="C339" s="41" t="s">
        <v>37</v>
      </c>
      <c r="D339" s="1" t="s">
        <v>38</v>
      </c>
      <c r="E339" s="26" t="s">
        <v>39</v>
      </c>
      <c r="F339" s="27">
        <v>0.94339622641509424</v>
      </c>
      <c r="G339" s="33">
        <v>0.5</v>
      </c>
      <c r="H339" s="26" t="s">
        <v>40</v>
      </c>
      <c r="I339" s="26" t="s">
        <v>41</v>
      </c>
      <c r="J339" s="26" t="s">
        <v>42</v>
      </c>
      <c r="K339" s="27">
        <v>2.3255813953488373</v>
      </c>
      <c r="L339" s="27">
        <v>0.5</v>
      </c>
      <c r="M339" s="70"/>
      <c r="N339" s="26"/>
      <c r="O339" s="26"/>
      <c r="P339" s="27"/>
      <c r="Q339" s="36"/>
      <c r="R339" s="26" t="s">
        <v>43</v>
      </c>
      <c r="S339" s="26" t="s">
        <v>38</v>
      </c>
      <c r="T339" s="26" t="s">
        <v>39</v>
      </c>
      <c r="U339" s="27">
        <v>0.84745762711864414</v>
      </c>
      <c r="V339" s="33">
        <v>1</v>
      </c>
      <c r="AG339" s="31">
        <v>0</v>
      </c>
      <c r="AH339" s="1" t="s">
        <v>44</v>
      </c>
    </row>
    <row r="340" spans="1:34">
      <c r="A340" s="15" t="s">
        <v>393</v>
      </c>
      <c r="B340" s="8" t="s">
        <v>350</v>
      </c>
      <c r="C340" s="41" t="s">
        <v>37</v>
      </c>
      <c r="D340" s="1" t="s">
        <v>38</v>
      </c>
      <c r="E340" s="26" t="s">
        <v>39</v>
      </c>
      <c r="F340" s="27">
        <v>0.94339622641509424</v>
      </c>
      <c r="G340" s="33">
        <v>0.5</v>
      </c>
      <c r="H340" s="26" t="s">
        <v>40</v>
      </c>
      <c r="I340" s="26" t="s">
        <v>41</v>
      </c>
      <c r="J340" s="26" t="s">
        <v>42</v>
      </c>
      <c r="K340" s="27">
        <v>2.3255813953488373</v>
      </c>
      <c r="L340" s="27">
        <v>0.5</v>
      </c>
      <c r="M340" s="70"/>
      <c r="N340" s="26"/>
      <c r="O340" s="26"/>
      <c r="P340" s="27"/>
      <c r="Q340" s="36"/>
      <c r="R340" s="26" t="s">
        <v>43</v>
      </c>
      <c r="S340" s="26" t="s">
        <v>38</v>
      </c>
      <c r="T340" s="26" t="s">
        <v>39</v>
      </c>
      <c r="U340" s="27">
        <v>0.84745762711864414</v>
      </c>
      <c r="V340" s="33">
        <v>1</v>
      </c>
      <c r="AG340" s="31">
        <v>0</v>
      </c>
      <c r="AH340" s="1" t="s">
        <v>44</v>
      </c>
    </row>
    <row r="341" spans="1:34">
      <c r="A341" s="15" t="s">
        <v>394</v>
      </c>
      <c r="B341" s="8" t="s">
        <v>350</v>
      </c>
      <c r="C341" s="41" t="s">
        <v>37</v>
      </c>
      <c r="D341" s="1" t="s">
        <v>38</v>
      </c>
      <c r="E341" s="26" t="s">
        <v>39</v>
      </c>
      <c r="F341" s="27">
        <v>0.94339622641509424</v>
      </c>
      <c r="G341" s="33">
        <v>0.5</v>
      </c>
      <c r="H341" s="26" t="s">
        <v>40</v>
      </c>
      <c r="I341" s="26" t="s">
        <v>41</v>
      </c>
      <c r="J341" s="26" t="s">
        <v>42</v>
      </c>
      <c r="K341" s="27">
        <v>2.3255813953488373</v>
      </c>
      <c r="L341" s="27">
        <v>0.5</v>
      </c>
      <c r="M341" s="70"/>
      <c r="N341" s="26"/>
      <c r="O341" s="26"/>
      <c r="P341" s="27"/>
      <c r="Q341" s="36"/>
      <c r="R341" s="26" t="s">
        <v>43</v>
      </c>
      <c r="S341" s="26" t="s">
        <v>38</v>
      </c>
      <c r="T341" s="26" t="s">
        <v>39</v>
      </c>
      <c r="U341" s="27">
        <v>0.84745762711864414</v>
      </c>
      <c r="V341" s="33">
        <v>1</v>
      </c>
      <c r="AG341" s="31">
        <v>0</v>
      </c>
      <c r="AH341" s="1" t="s">
        <v>44</v>
      </c>
    </row>
    <row r="342" spans="1:34">
      <c r="A342" s="15" t="s">
        <v>395</v>
      </c>
      <c r="B342" s="8" t="s">
        <v>350</v>
      </c>
      <c r="C342" s="41" t="s">
        <v>37</v>
      </c>
      <c r="D342" s="1" t="s">
        <v>38</v>
      </c>
      <c r="E342" s="26" t="s">
        <v>39</v>
      </c>
      <c r="F342" s="27">
        <v>0.94339622641509424</v>
      </c>
      <c r="G342" s="33">
        <v>0.5</v>
      </c>
      <c r="H342" s="26" t="s">
        <v>40</v>
      </c>
      <c r="I342" s="26" t="s">
        <v>41</v>
      </c>
      <c r="J342" s="26" t="s">
        <v>42</v>
      </c>
      <c r="K342" s="27">
        <v>2.3255813953488373</v>
      </c>
      <c r="L342" s="27">
        <v>0.5</v>
      </c>
      <c r="M342" s="70"/>
      <c r="N342" s="26"/>
      <c r="O342" s="26"/>
      <c r="P342" s="27"/>
      <c r="Q342" s="36"/>
      <c r="R342" s="26" t="s">
        <v>43</v>
      </c>
      <c r="S342" s="26" t="s">
        <v>38</v>
      </c>
      <c r="T342" s="26" t="s">
        <v>39</v>
      </c>
      <c r="U342" s="27">
        <v>0.84745762711864414</v>
      </c>
      <c r="V342" s="33">
        <v>1</v>
      </c>
      <c r="AG342" s="31">
        <v>0</v>
      </c>
      <c r="AH342" s="1" t="s">
        <v>44</v>
      </c>
    </row>
    <row r="343" spans="1:34">
      <c r="A343" s="15" t="s">
        <v>396</v>
      </c>
      <c r="B343" s="8" t="s">
        <v>350</v>
      </c>
      <c r="C343" s="41" t="s">
        <v>37</v>
      </c>
      <c r="D343" s="1" t="s">
        <v>38</v>
      </c>
      <c r="E343" s="26" t="s">
        <v>39</v>
      </c>
      <c r="F343" s="27">
        <v>0.94339622641509424</v>
      </c>
      <c r="G343" s="33">
        <v>0.5</v>
      </c>
      <c r="H343" s="26" t="s">
        <v>40</v>
      </c>
      <c r="I343" s="26" t="s">
        <v>41</v>
      </c>
      <c r="J343" s="26" t="s">
        <v>42</v>
      </c>
      <c r="K343" s="27">
        <v>2.3255813953488373</v>
      </c>
      <c r="L343" s="27">
        <v>0.5</v>
      </c>
      <c r="M343" s="70"/>
      <c r="N343" s="26"/>
      <c r="O343" s="26"/>
      <c r="P343" s="27"/>
      <c r="Q343" s="36"/>
      <c r="R343" s="26" t="s">
        <v>43</v>
      </c>
      <c r="S343" s="26" t="s">
        <v>38</v>
      </c>
      <c r="T343" s="26" t="s">
        <v>39</v>
      </c>
      <c r="U343" s="27">
        <v>0.84745762711864414</v>
      </c>
      <c r="V343" s="33">
        <v>1</v>
      </c>
      <c r="AG343" s="31">
        <v>0</v>
      </c>
      <c r="AH343" s="1" t="s">
        <v>44</v>
      </c>
    </row>
    <row r="344" spans="1:34">
      <c r="A344" s="15" t="s">
        <v>397</v>
      </c>
      <c r="B344" s="8" t="s">
        <v>350</v>
      </c>
      <c r="C344" s="41" t="s">
        <v>37</v>
      </c>
      <c r="D344" s="1" t="s">
        <v>38</v>
      </c>
      <c r="E344" s="26" t="s">
        <v>39</v>
      </c>
      <c r="F344" s="27">
        <v>0.94339622641509424</v>
      </c>
      <c r="G344" s="33">
        <v>0.5</v>
      </c>
      <c r="H344" s="26" t="s">
        <v>40</v>
      </c>
      <c r="I344" s="26" t="s">
        <v>41</v>
      </c>
      <c r="J344" s="26" t="s">
        <v>42</v>
      </c>
      <c r="K344" s="27">
        <v>2.3255813953488373</v>
      </c>
      <c r="L344" s="27">
        <v>0.5</v>
      </c>
      <c r="M344" s="70"/>
      <c r="N344" s="26"/>
      <c r="O344" s="26"/>
      <c r="P344" s="27"/>
      <c r="Q344" s="36"/>
      <c r="R344" s="26" t="s">
        <v>43</v>
      </c>
      <c r="S344" s="26" t="s">
        <v>38</v>
      </c>
      <c r="T344" s="26" t="s">
        <v>39</v>
      </c>
      <c r="U344" s="27">
        <v>0.84745762711864414</v>
      </c>
      <c r="V344" s="33">
        <v>1</v>
      </c>
      <c r="AG344" s="31">
        <v>0</v>
      </c>
      <c r="AH344" s="1" t="s">
        <v>44</v>
      </c>
    </row>
    <row r="345" spans="1:34">
      <c r="A345" s="15" t="s">
        <v>398</v>
      </c>
      <c r="B345" s="8" t="s">
        <v>350</v>
      </c>
      <c r="C345" s="41" t="s">
        <v>37</v>
      </c>
      <c r="D345" s="1" t="s">
        <v>38</v>
      </c>
      <c r="E345" s="26" t="s">
        <v>39</v>
      </c>
      <c r="F345" s="27">
        <v>0.94339622641509424</v>
      </c>
      <c r="G345" s="33">
        <v>0.5</v>
      </c>
      <c r="H345" s="26" t="s">
        <v>40</v>
      </c>
      <c r="I345" s="26" t="s">
        <v>41</v>
      </c>
      <c r="J345" s="26" t="s">
        <v>42</v>
      </c>
      <c r="K345" s="27">
        <v>2.3255813953488373</v>
      </c>
      <c r="L345" s="27">
        <v>0.5</v>
      </c>
      <c r="M345" s="70"/>
      <c r="N345" s="26"/>
      <c r="O345" s="26"/>
      <c r="P345" s="27"/>
      <c r="Q345" s="36"/>
      <c r="R345" s="26" t="s">
        <v>43</v>
      </c>
      <c r="S345" s="26" t="s">
        <v>38</v>
      </c>
      <c r="T345" s="26" t="s">
        <v>39</v>
      </c>
      <c r="U345" s="27">
        <v>0.84745762711864414</v>
      </c>
      <c r="V345" s="33">
        <v>1</v>
      </c>
      <c r="AG345" s="31">
        <v>0</v>
      </c>
      <c r="AH345" s="1" t="s">
        <v>44</v>
      </c>
    </row>
    <row r="346" spans="1:34">
      <c r="A346" s="15" t="s">
        <v>399</v>
      </c>
      <c r="B346" s="8" t="s">
        <v>350</v>
      </c>
      <c r="C346" s="41" t="s">
        <v>37</v>
      </c>
      <c r="D346" s="1" t="s">
        <v>38</v>
      </c>
      <c r="E346" s="26" t="s">
        <v>39</v>
      </c>
      <c r="F346" s="27">
        <v>0.94339622641509424</v>
      </c>
      <c r="G346" s="33">
        <v>0.5</v>
      </c>
      <c r="H346" s="26" t="s">
        <v>40</v>
      </c>
      <c r="I346" s="26" t="s">
        <v>41</v>
      </c>
      <c r="J346" s="26" t="s">
        <v>42</v>
      </c>
      <c r="K346" s="27">
        <v>2.3255813953488373</v>
      </c>
      <c r="L346" s="27">
        <v>0.5</v>
      </c>
      <c r="M346" s="70"/>
      <c r="N346" s="26"/>
      <c r="O346" s="26"/>
      <c r="P346" s="27"/>
      <c r="Q346" s="36"/>
      <c r="R346" s="26" t="s">
        <v>43</v>
      </c>
      <c r="S346" s="26" t="s">
        <v>38</v>
      </c>
      <c r="T346" s="26" t="s">
        <v>39</v>
      </c>
      <c r="U346" s="27">
        <v>0.84745762711864414</v>
      </c>
      <c r="V346" s="33">
        <v>1</v>
      </c>
      <c r="AG346" s="31">
        <v>0</v>
      </c>
      <c r="AH346" s="1" t="s">
        <v>44</v>
      </c>
    </row>
    <row r="347" spans="1:34">
      <c r="A347" s="15" t="s">
        <v>400</v>
      </c>
      <c r="B347" s="8" t="s">
        <v>350</v>
      </c>
      <c r="C347" s="41" t="s">
        <v>37</v>
      </c>
      <c r="D347" s="1" t="s">
        <v>38</v>
      </c>
      <c r="E347" s="26" t="s">
        <v>39</v>
      </c>
      <c r="F347" s="27">
        <v>0.94339622641509424</v>
      </c>
      <c r="G347" s="33">
        <v>0.5</v>
      </c>
      <c r="H347" s="26" t="s">
        <v>40</v>
      </c>
      <c r="I347" s="26" t="s">
        <v>41</v>
      </c>
      <c r="J347" s="26" t="s">
        <v>42</v>
      </c>
      <c r="K347" s="27">
        <v>2.3255813953488373</v>
      </c>
      <c r="L347" s="27">
        <v>0.5</v>
      </c>
      <c r="M347" s="70"/>
      <c r="N347" s="26"/>
      <c r="O347" s="26"/>
      <c r="P347" s="27"/>
      <c r="Q347" s="36"/>
      <c r="R347" s="26" t="s">
        <v>43</v>
      </c>
      <c r="S347" s="26" t="s">
        <v>38</v>
      </c>
      <c r="T347" s="26" t="s">
        <v>39</v>
      </c>
      <c r="U347" s="27">
        <v>0.84745762711864414</v>
      </c>
      <c r="V347" s="33">
        <v>1</v>
      </c>
      <c r="AG347" s="31">
        <v>0</v>
      </c>
      <c r="AH347" s="1" t="s">
        <v>44</v>
      </c>
    </row>
    <row r="348" spans="1:34">
      <c r="A348" s="15" t="s">
        <v>401</v>
      </c>
      <c r="B348" s="8" t="s">
        <v>350</v>
      </c>
      <c r="C348" s="41" t="s">
        <v>37</v>
      </c>
      <c r="D348" s="1" t="s">
        <v>38</v>
      </c>
      <c r="E348" s="26" t="s">
        <v>39</v>
      </c>
      <c r="F348" s="27">
        <v>0.94339622641509424</v>
      </c>
      <c r="G348" s="33">
        <v>0.5</v>
      </c>
      <c r="H348" s="26" t="s">
        <v>40</v>
      </c>
      <c r="I348" s="26" t="s">
        <v>41</v>
      </c>
      <c r="J348" s="26" t="s">
        <v>42</v>
      </c>
      <c r="K348" s="27">
        <v>2.3255813953488373</v>
      </c>
      <c r="L348" s="27">
        <v>0.5</v>
      </c>
      <c r="M348" s="70"/>
      <c r="N348" s="26"/>
      <c r="O348" s="26"/>
      <c r="P348" s="27"/>
      <c r="Q348" s="36"/>
      <c r="R348" s="26" t="s">
        <v>43</v>
      </c>
      <c r="S348" s="26" t="s">
        <v>38</v>
      </c>
      <c r="T348" s="26" t="s">
        <v>39</v>
      </c>
      <c r="U348" s="27">
        <v>0.84745762711864414</v>
      </c>
      <c r="V348" s="33">
        <v>1</v>
      </c>
      <c r="AG348" s="31">
        <v>0</v>
      </c>
      <c r="AH348" s="1" t="s">
        <v>44</v>
      </c>
    </row>
    <row r="349" spans="1:34">
      <c r="A349" s="15" t="s">
        <v>402</v>
      </c>
      <c r="B349" s="8" t="s">
        <v>350</v>
      </c>
      <c r="C349" s="41" t="s">
        <v>37</v>
      </c>
      <c r="D349" s="1" t="s">
        <v>38</v>
      </c>
      <c r="E349" s="26" t="s">
        <v>39</v>
      </c>
      <c r="F349" s="27">
        <v>0.94339622641509424</v>
      </c>
      <c r="G349" s="33">
        <v>0.5</v>
      </c>
      <c r="H349" s="26" t="s">
        <v>40</v>
      </c>
      <c r="I349" s="26" t="s">
        <v>41</v>
      </c>
      <c r="J349" s="26" t="s">
        <v>42</v>
      </c>
      <c r="K349" s="27">
        <v>2.3255813953488373</v>
      </c>
      <c r="L349" s="27">
        <v>0.5</v>
      </c>
      <c r="M349" s="70"/>
      <c r="N349" s="26"/>
      <c r="O349" s="26"/>
      <c r="P349" s="27"/>
      <c r="Q349" s="36"/>
      <c r="R349" s="26" t="s">
        <v>43</v>
      </c>
      <c r="S349" s="26" t="s">
        <v>38</v>
      </c>
      <c r="T349" s="26" t="s">
        <v>39</v>
      </c>
      <c r="U349" s="27">
        <v>0.84745762711864414</v>
      </c>
      <c r="V349" s="33">
        <v>1</v>
      </c>
      <c r="AG349" s="31">
        <v>0</v>
      </c>
      <c r="AH349" s="1" t="s">
        <v>44</v>
      </c>
    </row>
    <row r="350" spans="1:34">
      <c r="A350" s="15" t="s">
        <v>403</v>
      </c>
      <c r="B350" s="8" t="s">
        <v>350</v>
      </c>
      <c r="C350" s="41" t="s">
        <v>37</v>
      </c>
      <c r="D350" s="1" t="s">
        <v>38</v>
      </c>
      <c r="E350" s="26" t="s">
        <v>39</v>
      </c>
      <c r="F350" s="27">
        <v>0.94339622641509424</v>
      </c>
      <c r="G350" s="33">
        <v>0.5</v>
      </c>
      <c r="H350" s="26" t="s">
        <v>40</v>
      </c>
      <c r="I350" s="26" t="s">
        <v>41</v>
      </c>
      <c r="J350" s="26" t="s">
        <v>42</v>
      </c>
      <c r="K350" s="27">
        <v>2.3255813953488373</v>
      </c>
      <c r="L350" s="27">
        <v>0.5</v>
      </c>
      <c r="M350" s="70"/>
      <c r="N350" s="26"/>
      <c r="O350" s="26"/>
      <c r="P350" s="27"/>
      <c r="Q350" s="36"/>
      <c r="R350" s="26" t="s">
        <v>43</v>
      </c>
      <c r="S350" s="26" t="s">
        <v>38</v>
      </c>
      <c r="T350" s="26" t="s">
        <v>39</v>
      </c>
      <c r="U350" s="27">
        <v>0.84745762711864414</v>
      </c>
      <c r="V350" s="33">
        <v>1</v>
      </c>
      <c r="AG350" s="31">
        <v>0</v>
      </c>
      <c r="AH350" s="1" t="s">
        <v>44</v>
      </c>
    </row>
    <row r="351" spans="1:34">
      <c r="A351" s="15" t="s">
        <v>404</v>
      </c>
      <c r="B351" s="8" t="s">
        <v>350</v>
      </c>
      <c r="C351" s="41" t="s">
        <v>37</v>
      </c>
      <c r="D351" s="1" t="s">
        <v>38</v>
      </c>
      <c r="E351" s="26" t="s">
        <v>39</v>
      </c>
      <c r="F351" s="27">
        <v>0.94339622641509424</v>
      </c>
      <c r="G351" s="33">
        <v>0.5</v>
      </c>
      <c r="H351" s="26" t="s">
        <v>40</v>
      </c>
      <c r="I351" s="26" t="s">
        <v>41</v>
      </c>
      <c r="J351" s="26" t="s">
        <v>42</v>
      </c>
      <c r="K351" s="27">
        <v>2.3255813953488373</v>
      </c>
      <c r="L351" s="27">
        <v>0.5</v>
      </c>
      <c r="M351" s="70"/>
      <c r="N351" s="26"/>
      <c r="O351" s="26"/>
      <c r="P351" s="27"/>
      <c r="Q351" s="36"/>
      <c r="R351" s="26" t="s">
        <v>43</v>
      </c>
      <c r="S351" s="26" t="s">
        <v>38</v>
      </c>
      <c r="T351" s="26" t="s">
        <v>39</v>
      </c>
      <c r="U351" s="27">
        <v>0.84745762711864414</v>
      </c>
      <c r="V351" s="33">
        <v>1</v>
      </c>
      <c r="AG351" s="31">
        <v>0</v>
      </c>
      <c r="AH351" s="1" t="s">
        <v>44</v>
      </c>
    </row>
    <row r="352" spans="1:34">
      <c r="A352" s="15" t="s">
        <v>405</v>
      </c>
      <c r="B352" s="8" t="s">
        <v>350</v>
      </c>
      <c r="C352" s="41" t="s">
        <v>37</v>
      </c>
      <c r="D352" s="1" t="s">
        <v>38</v>
      </c>
      <c r="E352" s="26" t="s">
        <v>39</v>
      </c>
      <c r="F352" s="27">
        <v>0.94339622641509424</v>
      </c>
      <c r="G352" s="33">
        <v>0.5</v>
      </c>
      <c r="H352" s="26" t="s">
        <v>40</v>
      </c>
      <c r="I352" s="26" t="s">
        <v>41</v>
      </c>
      <c r="J352" s="26" t="s">
        <v>42</v>
      </c>
      <c r="K352" s="27">
        <v>2.3255813953488373</v>
      </c>
      <c r="L352" s="62">
        <v>0.5</v>
      </c>
      <c r="M352" s="26" t="s">
        <v>40</v>
      </c>
      <c r="N352" s="26" t="s">
        <v>41</v>
      </c>
      <c r="O352" s="26" t="s">
        <v>42</v>
      </c>
      <c r="P352" s="27">
        <v>2.3255813953488373</v>
      </c>
      <c r="Q352" s="66">
        <v>0.5</v>
      </c>
      <c r="R352" s="26" t="s">
        <v>43</v>
      </c>
      <c r="S352" s="26" t="s">
        <v>38</v>
      </c>
      <c r="T352" s="26" t="s">
        <v>39</v>
      </c>
      <c r="U352" s="27">
        <v>0.84745762711864414</v>
      </c>
      <c r="V352" s="33">
        <v>1</v>
      </c>
      <c r="AG352" s="31">
        <v>0</v>
      </c>
      <c r="AH352" s="1" t="s">
        <v>44</v>
      </c>
    </row>
    <row r="353" spans="1:34" s="6" customFormat="1">
      <c r="A353" s="18" t="s">
        <v>406</v>
      </c>
      <c r="B353" s="9" t="s">
        <v>407</v>
      </c>
      <c r="C353" s="45" t="s">
        <v>37</v>
      </c>
      <c r="D353" s="46" t="s">
        <v>38</v>
      </c>
      <c r="E353" s="47" t="s">
        <v>39</v>
      </c>
      <c r="F353" s="48">
        <v>0.95238095238095233</v>
      </c>
      <c r="G353" s="49">
        <v>0.33333333333333331</v>
      </c>
      <c r="H353" s="45" t="s">
        <v>408</v>
      </c>
      <c r="I353" s="46" t="s">
        <v>409</v>
      </c>
      <c r="J353" s="47" t="s">
        <v>39</v>
      </c>
      <c r="K353" s="48">
        <v>0.94339622641509424</v>
      </c>
      <c r="L353" s="49">
        <v>0.33333333333333331</v>
      </c>
      <c r="M353" s="45" t="s">
        <v>410</v>
      </c>
      <c r="N353" s="46" t="s">
        <v>38</v>
      </c>
      <c r="O353" s="47" t="s">
        <v>42</v>
      </c>
      <c r="P353" s="48">
        <v>3.2258064516129035</v>
      </c>
      <c r="Q353" s="49">
        <v>0.33333333333333331</v>
      </c>
      <c r="R353" s="54" t="s">
        <v>37</v>
      </c>
      <c r="S353" s="47" t="s">
        <v>38</v>
      </c>
      <c r="T353" s="47" t="s">
        <v>39</v>
      </c>
      <c r="U353" s="48">
        <v>0.95238095238095233</v>
      </c>
      <c r="V353" s="49">
        <v>0.33333333333333331</v>
      </c>
      <c r="W353" s="47" t="s">
        <v>408</v>
      </c>
      <c r="X353" s="47" t="s">
        <v>409</v>
      </c>
      <c r="Y353" s="47" t="s">
        <v>39</v>
      </c>
      <c r="Z353" s="48">
        <v>0.94339622641509424</v>
      </c>
      <c r="AA353" s="49">
        <v>0.33333333333333331</v>
      </c>
      <c r="AB353" s="47" t="s">
        <v>411</v>
      </c>
      <c r="AC353" s="47" t="s">
        <v>38</v>
      </c>
      <c r="AD353" s="47" t="s">
        <v>42</v>
      </c>
      <c r="AE353" s="48">
        <v>2.5</v>
      </c>
      <c r="AF353" s="50">
        <v>0.33333333333333331</v>
      </c>
      <c r="AG353" s="29">
        <v>0</v>
      </c>
      <c r="AH353" s="6" t="s">
        <v>44</v>
      </c>
    </row>
    <row r="354" spans="1:34">
      <c r="A354" s="15" t="s">
        <v>412</v>
      </c>
      <c r="B354" s="8" t="s">
        <v>407</v>
      </c>
      <c r="C354" s="41" t="s">
        <v>37</v>
      </c>
      <c r="D354" s="1" t="s">
        <v>38</v>
      </c>
      <c r="E354" s="26" t="s">
        <v>39</v>
      </c>
      <c r="F354" s="27">
        <v>0.95238095238095233</v>
      </c>
      <c r="G354" s="33">
        <v>0.33333333333333331</v>
      </c>
      <c r="H354" s="41" t="s">
        <v>408</v>
      </c>
      <c r="I354" s="1" t="s">
        <v>409</v>
      </c>
      <c r="J354" s="26" t="s">
        <v>39</v>
      </c>
      <c r="K354" s="27">
        <v>0.94339622641509424</v>
      </c>
      <c r="L354" s="33">
        <v>0.33333333333333331</v>
      </c>
      <c r="M354" s="41" t="s">
        <v>410</v>
      </c>
      <c r="N354" s="1" t="s">
        <v>38</v>
      </c>
      <c r="O354" s="26" t="s">
        <v>42</v>
      </c>
      <c r="P354" s="27">
        <v>3.2258064516129035</v>
      </c>
      <c r="Q354" s="33">
        <v>0.33333333333333331</v>
      </c>
      <c r="R354" s="55" t="s">
        <v>37</v>
      </c>
      <c r="S354" s="26" t="s">
        <v>38</v>
      </c>
      <c r="T354" s="26" t="s">
        <v>39</v>
      </c>
      <c r="U354" s="27">
        <v>0.95238095238095233</v>
      </c>
      <c r="V354" s="33">
        <v>0.33333333333333331</v>
      </c>
      <c r="W354" s="26" t="s">
        <v>408</v>
      </c>
      <c r="X354" s="26" t="s">
        <v>409</v>
      </c>
      <c r="Y354" s="26" t="s">
        <v>39</v>
      </c>
      <c r="Z354" s="27">
        <v>0.94339622641509424</v>
      </c>
      <c r="AA354" s="33">
        <v>0.33333333333333331</v>
      </c>
      <c r="AB354" s="26" t="s">
        <v>411</v>
      </c>
      <c r="AC354" s="26" t="s">
        <v>38</v>
      </c>
      <c r="AD354" s="26" t="s">
        <v>42</v>
      </c>
      <c r="AE354" s="27">
        <v>2.5</v>
      </c>
      <c r="AF354" s="36">
        <v>0.33333333333333331</v>
      </c>
      <c r="AG354" s="31">
        <v>0</v>
      </c>
      <c r="AH354" t="s">
        <v>44</v>
      </c>
    </row>
    <row r="355" spans="1:34">
      <c r="A355" s="15" t="s">
        <v>413</v>
      </c>
      <c r="B355" s="8" t="s">
        <v>407</v>
      </c>
      <c r="C355" s="41" t="s">
        <v>37</v>
      </c>
      <c r="D355" s="1" t="s">
        <v>38</v>
      </c>
      <c r="E355" s="26" t="s">
        <v>39</v>
      </c>
      <c r="F355" s="27">
        <v>0.95238095238095233</v>
      </c>
      <c r="G355" s="33">
        <v>0.33333333333333331</v>
      </c>
      <c r="H355" s="41" t="s">
        <v>408</v>
      </c>
      <c r="I355" s="1" t="s">
        <v>409</v>
      </c>
      <c r="J355" s="26" t="s">
        <v>39</v>
      </c>
      <c r="K355" s="27">
        <v>0.94339622641509424</v>
      </c>
      <c r="L355" s="33">
        <v>0.33333333333333331</v>
      </c>
      <c r="M355" s="41" t="s">
        <v>410</v>
      </c>
      <c r="N355" s="1" t="s">
        <v>38</v>
      </c>
      <c r="O355" s="26" t="s">
        <v>42</v>
      </c>
      <c r="P355" s="27">
        <v>3.2258064516129035</v>
      </c>
      <c r="Q355" s="33">
        <v>0.33333333333333331</v>
      </c>
      <c r="R355" s="55" t="s">
        <v>37</v>
      </c>
      <c r="S355" s="26" t="s">
        <v>38</v>
      </c>
      <c r="T355" s="26" t="s">
        <v>39</v>
      </c>
      <c r="U355" s="27">
        <v>0.95238095238095233</v>
      </c>
      <c r="V355" s="33">
        <v>0.33333333333333331</v>
      </c>
      <c r="W355" s="26" t="s">
        <v>408</v>
      </c>
      <c r="X355" s="26" t="s">
        <v>409</v>
      </c>
      <c r="Y355" s="26" t="s">
        <v>39</v>
      </c>
      <c r="Z355" s="27">
        <v>0.94339622641509424</v>
      </c>
      <c r="AA355" s="33">
        <v>0.33333333333333331</v>
      </c>
      <c r="AB355" s="26" t="s">
        <v>411</v>
      </c>
      <c r="AC355" s="26" t="s">
        <v>38</v>
      </c>
      <c r="AD355" s="26" t="s">
        <v>42</v>
      </c>
      <c r="AE355" s="27">
        <v>2.5</v>
      </c>
      <c r="AF355" s="36">
        <v>0.33333333333333331</v>
      </c>
      <c r="AG355" s="31">
        <v>0</v>
      </c>
      <c r="AH355" t="s">
        <v>44</v>
      </c>
    </row>
    <row r="356" spans="1:34">
      <c r="A356" s="15" t="s">
        <v>414</v>
      </c>
      <c r="B356" s="8" t="s">
        <v>407</v>
      </c>
      <c r="C356" s="41" t="s">
        <v>37</v>
      </c>
      <c r="D356" s="1" t="s">
        <v>38</v>
      </c>
      <c r="E356" s="26" t="s">
        <v>39</v>
      </c>
      <c r="F356" s="27">
        <v>0.95238095238095233</v>
      </c>
      <c r="G356" s="33">
        <v>0.33333333333333331</v>
      </c>
      <c r="H356" s="41" t="s">
        <v>408</v>
      </c>
      <c r="I356" s="1" t="s">
        <v>409</v>
      </c>
      <c r="J356" s="26" t="s">
        <v>39</v>
      </c>
      <c r="K356" s="27">
        <v>0.94339622641509424</v>
      </c>
      <c r="L356" s="33">
        <v>0.33333333333333331</v>
      </c>
      <c r="M356" s="41" t="s">
        <v>410</v>
      </c>
      <c r="N356" s="1" t="s">
        <v>38</v>
      </c>
      <c r="O356" s="26" t="s">
        <v>42</v>
      </c>
      <c r="P356" s="27">
        <v>3.2258064516129035</v>
      </c>
      <c r="Q356" s="33">
        <v>0.33333333333333331</v>
      </c>
      <c r="R356" s="55" t="s">
        <v>37</v>
      </c>
      <c r="S356" s="26" t="s">
        <v>38</v>
      </c>
      <c r="T356" s="26" t="s">
        <v>39</v>
      </c>
      <c r="U356" s="27">
        <v>0.95238095238095233</v>
      </c>
      <c r="V356" s="33">
        <v>0.33333333333333331</v>
      </c>
      <c r="W356" s="26" t="s">
        <v>408</v>
      </c>
      <c r="X356" s="26" t="s">
        <v>409</v>
      </c>
      <c r="Y356" s="26" t="s">
        <v>39</v>
      </c>
      <c r="Z356" s="27">
        <v>0.94339622641509424</v>
      </c>
      <c r="AA356" s="33">
        <v>0.33333333333333331</v>
      </c>
      <c r="AB356" s="26" t="s">
        <v>411</v>
      </c>
      <c r="AC356" s="26" t="s">
        <v>38</v>
      </c>
      <c r="AD356" s="26" t="s">
        <v>42</v>
      </c>
      <c r="AE356" s="27">
        <v>2.5</v>
      </c>
      <c r="AF356" s="36">
        <v>0.33333333333333331</v>
      </c>
      <c r="AG356" s="31">
        <v>0</v>
      </c>
      <c r="AH356" t="s">
        <v>44</v>
      </c>
    </row>
    <row r="357" spans="1:34">
      <c r="A357" s="15" t="s">
        <v>415</v>
      </c>
      <c r="B357" s="8" t="s">
        <v>407</v>
      </c>
      <c r="C357" s="41" t="s">
        <v>37</v>
      </c>
      <c r="D357" s="1" t="s">
        <v>38</v>
      </c>
      <c r="E357" s="26" t="s">
        <v>39</v>
      </c>
      <c r="F357" s="27">
        <v>0.95238095238095233</v>
      </c>
      <c r="G357" s="33">
        <v>0.33333333333333331</v>
      </c>
      <c r="H357" s="41" t="s">
        <v>408</v>
      </c>
      <c r="I357" s="1" t="s">
        <v>409</v>
      </c>
      <c r="J357" s="26" t="s">
        <v>39</v>
      </c>
      <c r="K357" s="27">
        <v>0.94339622641509424</v>
      </c>
      <c r="L357" s="33">
        <v>0.33333333333333331</v>
      </c>
      <c r="M357" s="41" t="s">
        <v>410</v>
      </c>
      <c r="N357" s="1" t="s">
        <v>38</v>
      </c>
      <c r="O357" s="26" t="s">
        <v>42</v>
      </c>
      <c r="P357" s="27">
        <v>3.2258064516129035</v>
      </c>
      <c r="Q357" s="33">
        <v>0.33333333333333331</v>
      </c>
      <c r="R357" s="55" t="s">
        <v>37</v>
      </c>
      <c r="S357" s="26" t="s">
        <v>38</v>
      </c>
      <c r="T357" s="26" t="s">
        <v>39</v>
      </c>
      <c r="U357" s="27">
        <v>0.95238095238095233</v>
      </c>
      <c r="V357" s="33">
        <v>0.33333333333333331</v>
      </c>
      <c r="W357" s="26" t="s">
        <v>408</v>
      </c>
      <c r="X357" s="26" t="s">
        <v>409</v>
      </c>
      <c r="Y357" s="26" t="s">
        <v>39</v>
      </c>
      <c r="Z357" s="27">
        <v>0.94339622641509424</v>
      </c>
      <c r="AA357" s="33">
        <v>0.33333333333333331</v>
      </c>
      <c r="AB357" s="26" t="s">
        <v>411</v>
      </c>
      <c r="AC357" s="26" t="s">
        <v>38</v>
      </c>
      <c r="AD357" s="26" t="s">
        <v>42</v>
      </c>
      <c r="AE357" s="27">
        <v>2.5</v>
      </c>
      <c r="AF357" s="36">
        <v>0.33333333333333331</v>
      </c>
      <c r="AG357" s="31">
        <v>0</v>
      </c>
      <c r="AH357" t="s">
        <v>44</v>
      </c>
    </row>
    <row r="358" spans="1:34">
      <c r="A358" s="15" t="s">
        <v>416</v>
      </c>
      <c r="B358" s="8" t="s">
        <v>407</v>
      </c>
      <c r="C358" s="41" t="s">
        <v>37</v>
      </c>
      <c r="D358" s="1" t="s">
        <v>38</v>
      </c>
      <c r="E358" s="26" t="s">
        <v>39</v>
      </c>
      <c r="F358" s="27">
        <v>0.95238095238095233</v>
      </c>
      <c r="G358" s="33">
        <v>0.33333333333333331</v>
      </c>
      <c r="H358" s="41" t="s">
        <v>408</v>
      </c>
      <c r="I358" s="1" t="s">
        <v>409</v>
      </c>
      <c r="J358" s="26" t="s">
        <v>39</v>
      </c>
      <c r="K358" s="27">
        <v>0.94339622641509424</v>
      </c>
      <c r="L358" s="33">
        <v>0.33333333333333331</v>
      </c>
      <c r="M358" s="41" t="s">
        <v>410</v>
      </c>
      <c r="N358" s="1" t="s">
        <v>38</v>
      </c>
      <c r="O358" s="26" t="s">
        <v>42</v>
      </c>
      <c r="P358" s="27">
        <v>3.2258064516129035</v>
      </c>
      <c r="Q358" s="33">
        <v>0.33333333333333331</v>
      </c>
      <c r="R358" s="55" t="s">
        <v>37</v>
      </c>
      <c r="S358" s="26" t="s">
        <v>38</v>
      </c>
      <c r="T358" s="26" t="s">
        <v>39</v>
      </c>
      <c r="U358" s="27">
        <v>0.95238095238095233</v>
      </c>
      <c r="V358" s="33">
        <v>0.33333333333333331</v>
      </c>
      <c r="W358" s="26" t="s">
        <v>408</v>
      </c>
      <c r="X358" s="26" t="s">
        <v>409</v>
      </c>
      <c r="Y358" s="26" t="s">
        <v>39</v>
      </c>
      <c r="Z358" s="27">
        <v>0.94339622641509424</v>
      </c>
      <c r="AA358" s="33">
        <v>0.33333333333333331</v>
      </c>
      <c r="AB358" s="26" t="s">
        <v>411</v>
      </c>
      <c r="AC358" s="26" t="s">
        <v>38</v>
      </c>
      <c r="AD358" s="26" t="s">
        <v>42</v>
      </c>
      <c r="AE358" s="27">
        <v>2.5</v>
      </c>
      <c r="AF358" s="36">
        <v>0.33333333333333331</v>
      </c>
      <c r="AG358" s="31">
        <v>0</v>
      </c>
      <c r="AH358" t="s">
        <v>44</v>
      </c>
    </row>
    <row r="359" spans="1:34">
      <c r="A359" s="15" t="s">
        <v>417</v>
      </c>
      <c r="B359" s="8" t="s">
        <v>407</v>
      </c>
      <c r="C359" s="41" t="s">
        <v>37</v>
      </c>
      <c r="D359" s="1" t="s">
        <v>38</v>
      </c>
      <c r="E359" s="26" t="s">
        <v>39</v>
      </c>
      <c r="F359" s="27">
        <v>0.95238095238095233</v>
      </c>
      <c r="G359" s="33">
        <v>0.33333333333333331</v>
      </c>
      <c r="H359" s="41" t="s">
        <v>408</v>
      </c>
      <c r="I359" s="1" t="s">
        <v>409</v>
      </c>
      <c r="J359" s="26" t="s">
        <v>39</v>
      </c>
      <c r="K359" s="27">
        <v>0.94339622641509424</v>
      </c>
      <c r="L359" s="33">
        <v>0.33333333333333331</v>
      </c>
      <c r="M359" s="41" t="s">
        <v>410</v>
      </c>
      <c r="N359" s="1" t="s">
        <v>38</v>
      </c>
      <c r="O359" s="26" t="s">
        <v>42</v>
      </c>
      <c r="P359" s="27">
        <v>3.2258064516129035</v>
      </c>
      <c r="Q359" s="33">
        <v>0.33333333333333331</v>
      </c>
      <c r="R359" s="55" t="s">
        <v>37</v>
      </c>
      <c r="S359" s="26" t="s">
        <v>38</v>
      </c>
      <c r="T359" s="26" t="s">
        <v>39</v>
      </c>
      <c r="U359" s="27">
        <v>0.95238095238095233</v>
      </c>
      <c r="V359" s="33">
        <v>0.33333333333333331</v>
      </c>
      <c r="W359" s="26" t="s">
        <v>408</v>
      </c>
      <c r="X359" s="26" t="s">
        <v>409</v>
      </c>
      <c r="Y359" s="26" t="s">
        <v>39</v>
      </c>
      <c r="Z359" s="27">
        <v>0.94339622641509424</v>
      </c>
      <c r="AA359" s="33">
        <v>0.33333333333333331</v>
      </c>
      <c r="AB359" s="26" t="s">
        <v>411</v>
      </c>
      <c r="AC359" s="26" t="s">
        <v>38</v>
      </c>
      <c r="AD359" s="26" t="s">
        <v>42</v>
      </c>
      <c r="AE359" s="27">
        <v>2.5</v>
      </c>
      <c r="AF359" s="36">
        <v>0.33333333333333331</v>
      </c>
      <c r="AG359" s="31">
        <v>0</v>
      </c>
      <c r="AH359" t="s">
        <v>44</v>
      </c>
    </row>
    <row r="360" spans="1:34">
      <c r="A360" s="15" t="s">
        <v>418</v>
      </c>
      <c r="B360" s="8" t="s">
        <v>407</v>
      </c>
      <c r="C360" s="41" t="s">
        <v>37</v>
      </c>
      <c r="D360" s="1" t="s">
        <v>38</v>
      </c>
      <c r="E360" s="26" t="s">
        <v>39</v>
      </c>
      <c r="F360" s="27">
        <v>0.95238095238095233</v>
      </c>
      <c r="G360" s="33">
        <v>0.33333333333333331</v>
      </c>
      <c r="H360" s="41" t="s">
        <v>408</v>
      </c>
      <c r="I360" s="1" t="s">
        <v>409</v>
      </c>
      <c r="J360" s="26" t="s">
        <v>39</v>
      </c>
      <c r="K360" s="27">
        <v>0.94339622641509424</v>
      </c>
      <c r="L360" s="33">
        <v>0.33333333333333331</v>
      </c>
      <c r="M360" s="41" t="s">
        <v>410</v>
      </c>
      <c r="N360" s="1" t="s">
        <v>38</v>
      </c>
      <c r="O360" s="26" t="s">
        <v>42</v>
      </c>
      <c r="P360" s="27">
        <v>3.2258064516129035</v>
      </c>
      <c r="Q360" s="33">
        <v>0.33333333333333331</v>
      </c>
      <c r="R360" s="55" t="s">
        <v>37</v>
      </c>
      <c r="S360" s="26" t="s">
        <v>38</v>
      </c>
      <c r="T360" s="26" t="s">
        <v>39</v>
      </c>
      <c r="U360" s="27">
        <v>0.95238095238095233</v>
      </c>
      <c r="V360" s="33">
        <v>0.33333333333333331</v>
      </c>
      <c r="W360" s="26" t="s">
        <v>408</v>
      </c>
      <c r="X360" s="26" t="s">
        <v>409</v>
      </c>
      <c r="Y360" s="26" t="s">
        <v>39</v>
      </c>
      <c r="Z360" s="27">
        <v>0.94339622641509424</v>
      </c>
      <c r="AA360" s="33">
        <v>0.33333333333333331</v>
      </c>
      <c r="AB360" s="26" t="s">
        <v>411</v>
      </c>
      <c r="AC360" s="26" t="s">
        <v>38</v>
      </c>
      <c r="AD360" s="26" t="s">
        <v>42</v>
      </c>
      <c r="AE360" s="27">
        <v>2.5</v>
      </c>
      <c r="AF360" s="36">
        <v>0.33333333333333331</v>
      </c>
      <c r="AG360" s="31">
        <v>0</v>
      </c>
      <c r="AH360" t="s">
        <v>44</v>
      </c>
    </row>
    <row r="361" spans="1:34">
      <c r="A361" s="15" t="s">
        <v>419</v>
      </c>
      <c r="B361" s="8" t="s">
        <v>407</v>
      </c>
      <c r="C361" s="41" t="s">
        <v>37</v>
      </c>
      <c r="D361" s="1" t="s">
        <v>38</v>
      </c>
      <c r="E361" s="26" t="s">
        <v>39</v>
      </c>
      <c r="F361" s="27">
        <v>0.95238095238095233</v>
      </c>
      <c r="G361" s="33">
        <v>0.33333333333333331</v>
      </c>
      <c r="H361" s="41" t="s">
        <v>408</v>
      </c>
      <c r="I361" s="1" t="s">
        <v>409</v>
      </c>
      <c r="J361" s="26" t="s">
        <v>39</v>
      </c>
      <c r="K361" s="27">
        <v>0.94339622641509424</v>
      </c>
      <c r="L361" s="33">
        <v>0.33333333333333331</v>
      </c>
      <c r="M361" s="41" t="s">
        <v>410</v>
      </c>
      <c r="N361" s="1" t="s">
        <v>38</v>
      </c>
      <c r="O361" s="26" t="s">
        <v>42</v>
      </c>
      <c r="P361" s="27">
        <v>3.2258064516129035</v>
      </c>
      <c r="Q361" s="33">
        <v>0.33333333333333331</v>
      </c>
      <c r="R361" s="55" t="s">
        <v>37</v>
      </c>
      <c r="S361" s="26" t="s">
        <v>38</v>
      </c>
      <c r="T361" s="26" t="s">
        <v>39</v>
      </c>
      <c r="U361" s="27">
        <v>0.95238095238095233</v>
      </c>
      <c r="V361" s="33">
        <v>0.33333333333333331</v>
      </c>
      <c r="W361" s="26" t="s">
        <v>408</v>
      </c>
      <c r="X361" s="26" t="s">
        <v>409</v>
      </c>
      <c r="Y361" s="26" t="s">
        <v>39</v>
      </c>
      <c r="Z361" s="27">
        <v>0.94339622641509424</v>
      </c>
      <c r="AA361" s="33">
        <v>0.33333333333333331</v>
      </c>
      <c r="AB361" s="26" t="s">
        <v>411</v>
      </c>
      <c r="AC361" s="26" t="s">
        <v>38</v>
      </c>
      <c r="AD361" s="26" t="s">
        <v>42</v>
      </c>
      <c r="AE361" s="27">
        <v>2.5</v>
      </c>
      <c r="AF361" s="36">
        <v>0.33333333333333331</v>
      </c>
      <c r="AG361" s="31">
        <v>0</v>
      </c>
      <c r="AH361" t="s">
        <v>44</v>
      </c>
    </row>
    <row r="362" spans="1:34">
      <c r="A362" s="15" t="s">
        <v>420</v>
      </c>
      <c r="B362" s="8" t="s">
        <v>407</v>
      </c>
      <c r="C362" s="41" t="s">
        <v>37</v>
      </c>
      <c r="D362" s="1" t="s">
        <v>38</v>
      </c>
      <c r="E362" s="26" t="s">
        <v>39</v>
      </c>
      <c r="F362" s="27">
        <v>0.95238095238095233</v>
      </c>
      <c r="G362" s="33">
        <v>0.33333333333333331</v>
      </c>
      <c r="H362" s="41" t="s">
        <v>408</v>
      </c>
      <c r="I362" s="1" t="s">
        <v>409</v>
      </c>
      <c r="J362" s="26" t="s">
        <v>39</v>
      </c>
      <c r="K362" s="27">
        <v>0.94339622641509424</v>
      </c>
      <c r="L362" s="33">
        <v>0.33333333333333331</v>
      </c>
      <c r="M362" s="41" t="s">
        <v>410</v>
      </c>
      <c r="N362" s="1" t="s">
        <v>38</v>
      </c>
      <c r="O362" s="26" t="s">
        <v>42</v>
      </c>
      <c r="P362" s="27">
        <v>3.2258064516129035</v>
      </c>
      <c r="Q362" s="33">
        <v>0.33333333333333331</v>
      </c>
      <c r="R362" s="55" t="s">
        <v>37</v>
      </c>
      <c r="S362" s="26" t="s">
        <v>38</v>
      </c>
      <c r="T362" s="26" t="s">
        <v>39</v>
      </c>
      <c r="U362" s="27">
        <v>0.95238095238095233</v>
      </c>
      <c r="V362" s="33">
        <v>0.33333333333333331</v>
      </c>
      <c r="W362" s="26" t="s">
        <v>408</v>
      </c>
      <c r="X362" s="26" t="s">
        <v>409</v>
      </c>
      <c r="Y362" s="26" t="s">
        <v>39</v>
      </c>
      <c r="Z362" s="27">
        <v>0.94339622641509424</v>
      </c>
      <c r="AA362" s="33">
        <v>0.33333333333333331</v>
      </c>
      <c r="AB362" s="26" t="s">
        <v>411</v>
      </c>
      <c r="AC362" s="26" t="s">
        <v>38</v>
      </c>
      <c r="AD362" s="26" t="s">
        <v>42</v>
      </c>
      <c r="AE362" s="27">
        <v>2.5</v>
      </c>
      <c r="AF362" s="36">
        <v>0.33333333333333331</v>
      </c>
      <c r="AG362" s="31">
        <v>0</v>
      </c>
      <c r="AH362" t="s">
        <v>44</v>
      </c>
    </row>
    <row r="363" spans="1:34">
      <c r="A363" s="15" t="s">
        <v>421</v>
      </c>
      <c r="B363" s="8" t="s">
        <v>407</v>
      </c>
      <c r="C363" s="41" t="s">
        <v>37</v>
      </c>
      <c r="D363" s="1" t="s">
        <v>38</v>
      </c>
      <c r="E363" s="26" t="s">
        <v>39</v>
      </c>
      <c r="F363" s="27">
        <v>0.95238095238095233</v>
      </c>
      <c r="G363" s="33">
        <v>0.33333333333333331</v>
      </c>
      <c r="H363" s="41" t="s">
        <v>408</v>
      </c>
      <c r="I363" s="1" t="s">
        <v>409</v>
      </c>
      <c r="J363" s="26" t="s">
        <v>39</v>
      </c>
      <c r="K363" s="27">
        <v>0.94339622641509424</v>
      </c>
      <c r="L363" s="33">
        <v>0.33333333333333331</v>
      </c>
      <c r="M363" s="41" t="s">
        <v>410</v>
      </c>
      <c r="N363" s="1" t="s">
        <v>38</v>
      </c>
      <c r="O363" s="26" t="s">
        <v>42</v>
      </c>
      <c r="P363" s="27">
        <v>3.2258064516129035</v>
      </c>
      <c r="Q363" s="33">
        <v>0.33333333333333331</v>
      </c>
      <c r="R363" s="55" t="s">
        <v>37</v>
      </c>
      <c r="S363" s="26" t="s">
        <v>38</v>
      </c>
      <c r="T363" s="26" t="s">
        <v>39</v>
      </c>
      <c r="U363" s="27">
        <v>0.95238095238095233</v>
      </c>
      <c r="V363" s="33">
        <v>0.33333333333333331</v>
      </c>
      <c r="W363" s="26" t="s">
        <v>408</v>
      </c>
      <c r="X363" s="26" t="s">
        <v>409</v>
      </c>
      <c r="Y363" s="26" t="s">
        <v>39</v>
      </c>
      <c r="Z363" s="27">
        <v>0.94339622641509424</v>
      </c>
      <c r="AA363" s="33">
        <v>0.33333333333333331</v>
      </c>
      <c r="AB363" s="26" t="s">
        <v>411</v>
      </c>
      <c r="AC363" s="26" t="s">
        <v>38</v>
      </c>
      <c r="AD363" s="26" t="s">
        <v>42</v>
      </c>
      <c r="AE363" s="27">
        <v>2.5</v>
      </c>
      <c r="AF363" s="36">
        <v>0.33333333333333331</v>
      </c>
      <c r="AG363" s="31">
        <v>0</v>
      </c>
      <c r="AH363" t="s">
        <v>44</v>
      </c>
    </row>
    <row r="364" spans="1:34">
      <c r="A364" s="15" t="s">
        <v>422</v>
      </c>
      <c r="B364" s="8" t="s">
        <v>407</v>
      </c>
      <c r="C364" s="41" t="s">
        <v>37</v>
      </c>
      <c r="D364" s="1" t="s">
        <v>38</v>
      </c>
      <c r="E364" s="26" t="s">
        <v>39</v>
      </c>
      <c r="F364" s="27">
        <v>0.95238095238095233</v>
      </c>
      <c r="G364" s="33">
        <v>0.33333333333333331</v>
      </c>
      <c r="H364" s="41" t="s">
        <v>408</v>
      </c>
      <c r="I364" s="1" t="s">
        <v>409</v>
      </c>
      <c r="J364" s="26" t="s">
        <v>39</v>
      </c>
      <c r="K364" s="27">
        <v>0.94339622641509424</v>
      </c>
      <c r="L364" s="33">
        <v>0.33333333333333331</v>
      </c>
      <c r="M364" s="41" t="s">
        <v>410</v>
      </c>
      <c r="N364" s="1" t="s">
        <v>38</v>
      </c>
      <c r="O364" s="26" t="s">
        <v>42</v>
      </c>
      <c r="P364" s="27">
        <v>3.2258064516129035</v>
      </c>
      <c r="Q364" s="33">
        <v>0.33333333333333331</v>
      </c>
      <c r="R364" s="55" t="s">
        <v>37</v>
      </c>
      <c r="S364" s="26" t="s">
        <v>38</v>
      </c>
      <c r="T364" s="26" t="s">
        <v>39</v>
      </c>
      <c r="U364" s="27">
        <v>0.95238095238095233</v>
      </c>
      <c r="V364" s="33">
        <v>0.33333333333333331</v>
      </c>
      <c r="W364" s="26" t="s">
        <v>408</v>
      </c>
      <c r="X364" s="26" t="s">
        <v>409</v>
      </c>
      <c r="Y364" s="26" t="s">
        <v>39</v>
      </c>
      <c r="Z364" s="27">
        <v>0.94339622641509424</v>
      </c>
      <c r="AA364" s="33">
        <v>0.33333333333333331</v>
      </c>
      <c r="AB364" s="26" t="s">
        <v>411</v>
      </c>
      <c r="AC364" s="26" t="s">
        <v>38</v>
      </c>
      <c r="AD364" s="26" t="s">
        <v>42</v>
      </c>
      <c r="AE364" s="27">
        <v>2.5</v>
      </c>
      <c r="AF364" s="36">
        <v>0.33333333333333331</v>
      </c>
      <c r="AG364" s="31">
        <v>0</v>
      </c>
      <c r="AH364" t="s">
        <v>44</v>
      </c>
    </row>
    <row r="365" spans="1:34">
      <c r="A365" s="15" t="s">
        <v>423</v>
      </c>
      <c r="B365" s="8" t="s">
        <v>407</v>
      </c>
      <c r="C365" s="41" t="s">
        <v>37</v>
      </c>
      <c r="D365" s="1" t="s">
        <v>38</v>
      </c>
      <c r="E365" s="26" t="s">
        <v>39</v>
      </c>
      <c r="F365" s="27">
        <v>0.95238095238095233</v>
      </c>
      <c r="G365" s="33">
        <v>0.33333333333333331</v>
      </c>
      <c r="H365" s="41" t="s">
        <v>408</v>
      </c>
      <c r="I365" s="1" t="s">
        <v>409</v>
      </c>
      <c r="J365" s="26" t="s">
        <v>39</v>
      </c>
      <c r="K365" s="27">
        <v>0.94339622641509424</v>
      </c>
      <c r="L365" s="33">
        <v>0.33333333333333331</v>
      </c>
      <c r="M365" s="41" t="s">
        <v>410</v>
      </c>
      <c r="N365" s="1" t="s">
        <v>38</v>
      </c>
      <c r="O365" s="26" t="s">
        <v>42</v>
      </c>
      <c r="P365" s="27">
        <v>3.2258064516129035</v>
      </c>
      <c r="Q365" s="33">
        <v>0.33333333333333331</v>
      </c>
      <c r="R365" s="55" t="s">
        <v>37</v>
      </c>
      <c r="S365" s="26" t="s">
        <v>38</v>
      </c>
      <c r="T365" s="26" t="s">
        <v>39</v>
      </c>
      <c r="U365" s="27">
        <v>0.95238095238095233</v>
      </c>
      <c r="V365" s="33">
        <v>0.33333333333333331</v>
      </c>
      <c r="W365" s="26" t="s">
        <v>408</v>
      </c>
      <c r="X365" s="26" t="s">
        <v>409</v>
      </c>
      <c r="Y365" s="26" t="s">
        <v>39</v>
      </c>
      <c r="Z365" s="27">
        <v>0.94339622641509424</v>
      </c>
      <c r="AA365" s="33">
        <v>0.33333333333333331</v>
      </c>
      <c r="AB365" s="26" t="s">
        <v>411</v>
      </c>
      <c r="AC365" s="26" t="s">
        <v>38</v>
      </c>
      <c r="AD365" s="26" t="s">
        <v>42</v>
      </c>
      <c r="AE365" s="27">
        <v>2.5</v>
      </c>
      <c r="AF365" s="36">
        <v>0.33333333333333331</v>
      </c>
      <c r="AG365" s="31">
        <v>0</v>
      </c>
      <c r="AH365" t="s">
        <v>44</v>
      </c>
    </row>
    <row r="366" spans="1:34">
      <c r="A366" s="15" t="s">
        <v>424</v>
      </c>
      <c r="B366" s="8" t="s">
        <v>407</v>
      </c>
      <c r="C366" s="41" t="s">
        <v>37</v>
      </c>
      <c r="D366" s="1" t="s">
        <v>38</v>
      </c>
      <c r="E366" s="26" t="s">
        <v>39</v>
      </c>
      <c r="F366" s="27">
        <v>0.95238095238095233</v>
      </c>
      <c r="G366" s="33">
        <v>0.33333333333333331</v>
      </c>
      <c r="H366" s="41" t="s">
        <v>408</v>
      </c>
      <c r="I366" s="1" t="s">
        <v>409</v>
      </c>
      <c r="J366" s="26" t="s">
        <v>39</v>
      </c>
      <c r="K366" s="27">
        <v>0.94339622641509424</v>
      </c>
      <c r="L366" s="33">
        <v>0.33333333333333331</v>
      </c>
      <c r="M366" s="41" t="s">
        <v>410</v>
      </c>
      <c r="N366" s="1" t="s">
        <v>38</v>
      </c>
      <c r="O366" s="26" t="s">
        <v>42</v>
      </c>
      <c r="P366" s="27">
        <v>3.2258064516129035</v>
      </c>
      <c r="Q366" s="33">
        <v>0.33333333333333331</v>
      </c>
      <c r="R366" s="55" t="s">
        <v>37</v>
      </c>
      <c r="S366" s="26" t="s">
        <v>38</v>
      </c>
      <c r="T366" s="26" t="s">
        <v>39</v>
      </c>
      <c r="U366" s="27">
        <v>0.95238095238095233</v>
      </c>
      <c r="V366" s="33">
        <v>0.33333333333333331</v>
      </c>
      <c r="W366" s="26" t="s">
        <v>408</v>
      </c>
      <c r="X366" s="26" t="s">
        <v>409</v>
      </c>
      <c r="Y366" s="26" t="s">
        <v>39</v>
      </c>
      <c r="Z366" s="27">
        <v>0.94339622641509424</v>
      </c>
      <c r="AA366" s="33">
        <v>0.33333333333333331</v>
      </c>
      <c r="AB366" s="26" t="s">
        <v>411</v>
      </c>
      <c r="AC366" s="26" t="s">
        <v>38</v>
      </c>
      <c r="AD366" s="26" t="s">
        <v>42</v>
      </c>
      <c r="AE366" s="27">
        <v>2.5</v>
      </c>
      <c r="AF366" s="36">
        <v>0.33333333333333331</v>
      </c>
      <c r="AG366" s="31">
        <v>0</v>
      </c>
      <c r="AH366" t="s">
        <v>44</v>
      </c>
    </row>
    <row r="367" spans="1:34">
      <c r="A367" s="15" t="s">
        <v>425</v>
      </c>
      <c r="B367" s="8" t="s">
        <v>407</v>
      </c>
      <c r="C367" s="41" t="s">
        <v>37</v>
      </c>
      <c r="D367" s="1" t="s">
        <v>38</v>
      </c>
      <c r="E367" s="26" t="s">
        <v>39</v>
      </c>
      <c r="F367" s="27">
        <v>0.95238095238095233</v>
      </c>
      <c r="G367" s="33">
        <v>0.33333333333333331</v>
      </c>
      <c r="H367" s="41" t="s">
        <v>408</v>
      </c>
      <c r="I367" s="1" t="s">
        <v>409</v>
      </c>
      <c r="J367" s="26" t="s">
        <v>39</v>
      </c>
      <c r="K367" s="27">
        <v>0.94339622641509424</v>
      </c>
      <c r="L367" s="33">
        <v>0.33333333333333331</v>
      </c>
      <c r="M367" s="41" t="s">
        <v>410</v>
      </c>
      <c r="N367" s="1" t="s">
        <v>38</v>
      </c>
      <c r="O367" s="26" t="s">
        <v>42</v>
      </c>
      <c r="P367" s="27">
        <v>3.2258064516129035</v>
      </c>
      <c r="Q367" s="33">
        <v>0.33333333333333331</v>
      </c>
      <c r="R367" s="55" t="s">
        <v>37</v>
      </c>
      <c r="S367" s="26" t="s">
        <v>38</v>
      </c>
      <c r="T367" s="26" t="s">
        <v>39</v>
      </c>
      <c r="U367" s="27">
        <v>0.95238095238095233</v>
      </c>
      <c r="V367" s="33">
        <v>0.33333333333333331</v>
      </c>
      <c r="W367" s="26" t="s">
        <v>408</v>
      </c>
      <c r="X367" s="26" t="s">
        <v>409</v>
      </c>
      <c r="Y367" s="26" t="s">
        <v>39</v>
      </c>
      <c r="Z367" s="27">
        <v>0.94339622641509424</v>
      </c>
      <c r="AA367" s="33">
        <v>0.33333333333333331</v>
      </c>
      <c r="AB367" s="26" t="s">
        <v>411</v>
      </c>
      <c r="AC367" s="26" t="s">
        <v>38</v>
      </c>
      <c r="AD367" s="26" t="s">
        <v>42</v>
      </c>
      <c r="AE367" s="27">
        <v>2.5</v>
      </c>
      <c r="AF367" s="36">
        <v>0.33333333333333331</v>
      </c>
      <c r="AG367" s="31">
        <v>0</v>
      </c>
      <c r="AH367" t="s">
        <v>44</v>
      </c>
    </row>
    <row r="368" spans="1:34">
      <c r="A368" s="15" t="s">
        <v>426</v>
      </c>
      <c r="B368" s="8" t="s">
        <v>407</v>
      </c>
      <c r="C368" s="41" t="s">
        <v>37</v>
      </c>
      <c r="D368" s="1" t="s">
        <v>38</v>
      </c>
      <c r="E368" s="26" t="s">
        <v>39</v>
      </c>
      <c r="F368" s="27">
        <v>0.95238095238095233</v>
      </c>
      <c r="G368" s="33">
        <v>0.33333333333333331</v>
      </c>
      <c r="H368" s="41" t="s">
        <v>408</v>
      </c>
      <c r="I368" s="1" t="s">
        <v>409</v>
      </c>
      <c r="J368" s="26" t="s">
        <v>39</v>
      </c>
      <c r="K368" s="27">
        <v>0.94339622641509424</v>
      </c>
      <c r="L368" s="33">
        <v>0.33333333333333331</v>
      </c>
      <c r="M368" s="41" t="s">
        <v>410</v>
      </c>
      <c r="N368" s="1" t="s">
        <v>38</v>
      </c>
      <c r="O368" s="26" t="s">
        <v>42</v>
      </c>
      <c r="P368" s="27">
        <v>3.2258064516129035</v>
      </c>
      <c r="Q368" s="33">
        <v>0.33333333333333331</v>
      </c>
      <c r="R368" s="55" t="s">
        <v>37</v>
      </c>
      <c r="S368" s="26" t="s">
        <v>38</v>
      </c>
      <c r="T368" s="26" t="s">
        <v>39</v>
      </c>
      <c r="U368" s="27">
        <v>0.95238095238095233</v>
      </c>
      <c r="V368" s="33">
        <v>0.33333333333333331</v>
      </c>
      <c r="W368" s="26" t="s">
        <v>408</v>
      </c>
      <c r="X368" s="26" t="s">
        <v>409</v>
      </c>
      <c r="Y368" s="26" t="s">
        <v>39</v>
      </c>
      <c r="Z368" s="27">
        <v>0.94339622641509424</v>
      </c>
      <c r="AA368" s="33">
        <v>0.33333333333333331</v>
      </c>
      <c r="AB368" s="26" t="s">
        <v>411</v>
      </c>
      <c r="AC368" s="26" t="s">
        <v>38</v>
      </c>
      <c r="AD368" s="26" t="s">
        <v>42</v>
      </c>
      <c r="AE368" s="27">
        <v>2.5</v>
      </c>
      <c r="AF368" s="36">
        <v>0.33333333333333331</v>
      </c>
      <c r="AG368" s="31">
        <v>0</v>
      </c>
      <c r="AH368" t="s">
        <v>44</v>
      </c>
    </row>
    <row r="369" spans="1:34">
      <c r="A369" s="15" t="s">
        <v>427</v>
      </c>
      <c r="B369" s="8" t="s">
        <v>407</v>
      </c>
      <c r="C369" s="41" t="s">
        <v>37</v>
      </c>
      <c r="D369" s="1" t="s">
        <v>38</v>
      </c>
      <c r="E369" s="26" t="s">
        <v>39</v>
      </c>
      <c r="F369" s="27">
        <v>0.95238095238095233</v>
      </c>
      <c r="G369" s="33">
        <v>0.33333333333333331</v>
      </c>
      <c r="H369" s="41" t="s">
        <v>408</v>
      </c>
      <c r="I369" s="1" t="s">
        <v>409</v>
      </c>
      <c r="J369" s="26" t="s">
        <v>39</v>
      </c>
      <c r="K369" s="27">
        <v>0.94339622641509424</v>
      </c>
      <c r="L369" s="33">
        <v>0.33333333333333331</v>
      </c>
      <c r="M369" s="41" t="s">
        <v>410</v>
      </c>
      <c r="N369" s="1" t="s">
        <v>38</v>
      </c>
      <c r="O369" s="26" t="s">
        <v>42</v>
      </c>
      <c r="P369" s="27">
        <v>3.2258064516129035</v>
      </c>
      <c r="Q369" s="33">
        <v>0.33333333333333331</v>
      </c>
      <c r="R369" s="55" t="s">
        <v>37</v>
      </c>
      <c r="S369" s="26" t="s">
        <v>38</v>
      </c>
      <c r="T369" s="26" t="s">
        <v>39</v>
      </c>
      <c r="U369" s="27">
        <v>0.95238095238095233</v>
      </c>
      <c r="V369" s="33">
        <v>0.33333333333333331</v>
      </c>
      <c r="W369" s="26" t="s">
        <v>408</v>
      </c>
      <c r="X369" s="26" t="s">
        <v>409</v>
      </c>
      <c r="Y369" s="26" t="s">
        <v>39</v>
      </c>
      <c r="Z369" s="27">
        <v>0.94339622641509424</v>
      </c>
      <c r="AA369" s="33">
        <v>0.33333333333333331</v>
      </c>
      <c r="AB369" s="26" t="s">
        <v>411</v>
      </c>
      <c r="AC369" s="26" t="s">
        <v>38</v>
      </c>
      <c r="AD369" s="26" t="s">
        <v>42</v>
      </c>
      <c r="AE369" s="27">
        <v>2.5</v>
      </c>
      <c r="AF369" s="36">
        <v>0.33333333333333331</v>
      </c>
      <c r="AG369" s="31">
        <v>0</v>
      </c>
      <c r="AH369" t="s">
        <v>44</v>
      </c>
    </row>
    <row r="370" spans="1:34">
      <c r="A370" s="15" t="s">
        <v>428</v>
      </c>
      <c r="B370" s="8" t="s">
        <v>407</v>
      </c>
      <c r="C370" s="41" t="s">
        <v>37</v>
      </c>
      <c r="D370" s="1" t="s">
        <v>38</v>
      </c>
      <c r="E370" s="26" t="s">
        <v>39</v>
      </c>
      <c r="F370" s="27">
        <v>0.95238095238095233</v>
      </c>
      <c r="G370" s="33">
        <v>0.33333333333333331</v>
      </c>
      <c r="H370" s="41" t="s">
        <v>408</v>
      </c>
      <c r="I370" s="1" t="s">
        <v>409</v>
      </c>
      <c r="J370" s="26" t="s">
        <v>39</v>
      </c>
      <c r="K370" s="27">
        <v>0.94339622641509424</v>
      </c>
      <c r="L370" s="33">
        <v>0.33333333333333331</v>
      </c>
      <c r="M370" s="41" t="s">
        <v>410</v>
      </c>
      <c r="N370" s="1" t="s">
        <v>38</v>
      </c>
      <c r="O370" s="26" t="s">
        <v>42</v>
      </c>
      <c r="P370" s="27">
        <v>3.2258064516129035</v>
      </c>
      <c r="Q370" s="33">
        <v>0.33333333333333331</v>
      </c>
      <c r="R370" s="55" t="s">
        <v>37</v>
      </c>
      <c r="S370" s="26" t="s">
        <v>38</v>
      </c>
      <c r="T370" s="26" t="s">
        <v>39</v>
      </c>
      <c r="U370" s="27">
        <v>0.95238095238095233</v>
      </c>
      <c r="V370" s="33">
        <v>0.33333333333333331</v>
      </c>
      <c r="W370" s="26" t="s">
        <v>408</v>
      </c>
      <c r="X370" s="26" t="s">
        <v>409</v>
      </c>
      <c r="Y370" s="26" t="s">
        <v>39</v>
      </c>
      <c r="Z370" s="27">
        <v>0.94339622641509424</v>
      </c>
      <c r="AA370" s="33">
        <v>0.33333333333333331</v>
      </c>
      <c r="AB370" s="26" t="s">
        <v>411</v>
      </c>
      <c r="AC370" s="26" t="s">
        <v>38</v>
      </c>
      <c r="AD370" s="26" t="s">
        <v>42</v>
      </c>
      <c r="AE370" s="27">
        <v>2.5</v>
      </c>
      <c r="AF370" s="36">
        <v>0.33333333333333331</v>
      </c>
      <c r="AG370" s="31">
        <v>0</v>
      </c>
      <c r="AH370" t="s">
        <v>44</v>
      </c>
    </row>
    <row r="371" spans="1:34">
      <c r="A371" s="15" t="s">
        <v>429</v>
      </c>
      <c r="B371" s="8" t="s">
        <v>407</v>
      </c>
      <c r="C371" s="41" t="s">
        <v>37</v>
      </c>
      <c r="D371" s="1" t="s">
        <v>38</v>
      </c>
      <c r="E371" s="26" t="s">
        <v>39</v>
      </c>
      <c r="F371" s="27">
        <v>0.95238095238095233</v>
      </c>
      <c r="G371" s="33">
        <v>0.33333333333333331</v>
      </c>
      <c r="H371" s="41" t="s">
        <v>408</v>
      </c>
      <c r="I371" s="1" t="s">
        <v>409</v>
      </c>
      <c r="J371" s="26" t="s">
        <v>39</v>
      </c>
      <c r="K371" s="27">
        <v>0.94339622641509424</v>
      </c>
      <c r="L371" s="33">
        <v>0.33333333333333331</v>
      </c>
      <c r="M371" s="41" t="s">
        <v>410</v>
      </c>
      <c r="N371" s="1" t="s">
        <v>38</v>
      </c>
      <c r="O371" s="26" t="s">
        <v>42</v>
      </c>
      <c r="P371" s="27">
        <v>3.2258064516129035</v>
      </c>
      <c r="Q371" s="33">
        <v>0.33333333333333331</v>
      </c>
      <c r="R371" s="55" t="s">
        <v>37</v>
      </c>
      <c r="S371" s="26" t="s">
        <v>38</v>
      </c>
      <c r="T371" s="26" t="s">
        <v>39</v>
      </c>
      <c r="U371" s="27">
        <v>0.95238095238095233</v>
      </c>
      <c r="V371" s="33">
        <v>0.33333333333333331</v>
      </c>
      <c r="W371" s="26" t="s">
        <v>408</v>
      </c>
      <c r="X371" s="26" t="s">
        <v>409</v>
      </c>
      <c r="Y371" s="26" t="s">
        <v>39</v>
      </c>
      <c r="Z371" s="27">
        <v>0.94339622641509424</v>
      </c>
      <c r="AA371" s="33">
        <v>0.33333333333333331</v>
      </c>
      <c r="AB371" s="26" t="s">
        <v>411</v>
      </c>
      <c r="AC371" s="26" t="s">
        <v>38</v>
      </c>
      <c r="AD371" s="26" t="s">
        <v>42</v>
      </c>
      <c r="AE371" s="27">
        <v>2.5</v>
      </c>
      <c r="AF371" s="36">
        <v>0.33333333333333331</v>
      </c>
      <c r="AG371" s="31">
        <v>0</v>
      </c>
      <c r="AH371" t="s">
        <v>44</v>
      </c>
    </row>
    <row r="372" spans="1:34">
      <c r="A372" s="15" t="s">
        <v>430</v>
      </c>
      <c r="B372" s="8" t="s">
        <v>407</v>
      </c>
      <c r="C372" s="41" t="s">
        <v>37</v>
      </c>
      <c r="D372" s="1" t="s">
        <v>38</v>
      </c>
      <c r="E372" s="26" t="s">
        <v>39</v>
      </c>
      <c r="F372" s="27">
        <v>0.95238095238095233</v>
      </c>
      <c r="G372" s="33">
        <v>0.33333333333333331</v>
      </c>
      <c r="H372" s="41" t="s">
        <v>408</v>
      </c>
      <c r="I372" s="1" t="s">
        <v>409</v>
      </c>
      <c r="J372" s="26" t="s">
        <v>39</v>
      </c>
      <c r="K372" s="27">
        <v>0.94339622641509424</v>
      </c>
      <c r="L372" s="33">
        <v>0.33333333333333331</v>
      </c>
      <c r="M372" s="41" t="s">
        <v>410</v>
      </c>
      <c r="N372" s="1" t="s">
        <v>38</v>
      </c>
      <c r="O372" s="26" t="s">
        <v>42</v>
      </c>
      <c r="P372" s="27">
        <v>3.2258064516129035</v>
      </c>
      <c r="Q372" s="33">
        <v>0.33333333333333331</v>
      </c>
      <c r="R372" s="55" t="s">
        <v>37</v>
      </c>
      <c r="S372" s="26" t="s">
        <v>38</v>
      </c>
      <c r="T372" s="26" t="s">
        <v>39</v>
      </c>
      <c r="U372" s="27">
        <v>0.95238095238095233</v>
      </c>
      <c r="V372" s="33">
        <v>0.33333333333333331</v>
      </c>
      <c r="W372" s="26" t="s">
        <v>408</v>
      </c>
      <c r="X372" s="26" t="s">
        <v>409</v>
      </c>
      <c r="Y372" s="26" t="s">
        <v>39</v>
      </c>
      <c r="Z372" s="27">
        <v>0.94339622641509424</v>
      </c>
      <c r="AA372" s="33">
        <v>0.33333333333333331</v>
      </c>
      <c r="AB372" s="26" t="s">
        <v>411</v>
      </c>
      <c r="AC372" s="26" t="s">
        <v>38</v>
      </c>
      <c r="AD372" s="26" t="s">
        <v>42</v>
      </c>
      <c r="AE372" s="27">
        <v>2.5</v>
      </c>
      <c r="AF372" s="36">
        <v>0.33333333333333331</v>
      </c>
      <c r="AG372" s="31">
        <v>0</v>
      </c>
      <c r="AH372" t="s">
        <v>44</v>
      </c>
    </row>
    <row r="373" spans="1:34">
      <c r="A373" s="15" t="s">
        <v>431</v>
      </c>
      <c r="B373" s="8" t="s">
        <v>407</v>
      </c>
      <c r="C373" s="41" t="s">
        <v>37</v>
      </c>
      <c r="D373" s="1" t="s">
        <v>38</v>
      </c>
      <c r="E373" s="26" t="s">
        <v>39</v>
      </c>
      <c r="F373" s="27">
        <v>0.95238095238095233</v>
      </c>
      <c r="G373" s="33">
        <v>0.33333333333333331</v>
      </c>
      <c r="H373" s="41" t="s">
        <v>408</v>
      </c>
      <c r="I373" s="1" t="s">
        <v>409</v>
      </c>
      <c r="J373" s="26" t="s">
        <v>39</v>
      </c>
      <c r="K373" s="27">
        <v>0.94339622641509424</v>
      </c>
      <c r="L373" s="33">
        <v>0.33333333333333331</v>
      </c>
      <c r="M373" s="41" t="s">
        <v>410</v>
      </c>
      <c r="N373" s="1" t="s">
        <v>38</v>
      </c>
      <c r="O373" s="26" t="s">
        <v>42</v>
      </c>
      <c r="P373" s="27">
        <v>3.2258064516129035</v>
      </c>
      <c r="Q373" s="33">
        <v>0.33333333333333331</v>
      </c>
      <c r="R373" s="55" t="s">
        <v>37</v>
      </c>
      <c r="S373" s="26" t="s">
        <v>38</v>
      </c>
      <c r="T373" s="26" t="s">
        <v>39</v>
      </c>
      <c r="U373" s="27">
        <v>0.95238095238095233</v>
      </c>
      <c r="V373" s="33">
        <v>0.33333333333333331</v>
      </c>
      <c r="W373" s="26" t="s">
        <v>408</v>
      </c>
      <c r="X373" s="26" t="s">
        <v>409</v>
      </c>
      <c r="Y373" s="26" t="s">
        <v>39</v>
      </c>
      <c r="Z373" s="27">
        <v>0.94339622641509424</v>
      </c>
      <c r="AA373" s="33">
        <v>0.33333333333333331</v>
      </c>
      <c r="AB373" s="26" t="s">
        <v>411</v>
      </c>
      <c r="AC373" s="26" t="s">
        <v>38</v>
      </c>
      <c r="AD373" s="26" t="s">
        <v>42</v>
      </c>
      <c r="AE373" s="27">
        <v>2.5</v>
      </c>
      <c r="AF373" s="36">
        <v>0.33333333333333331</v>
      </c>
      <c r="AG373" s="31">
        <v>0</v>
      </c>
      <c r="AH373" t="s">
        <v>44</v>
      </c>
    </row>
    <row r="374" spans="1:34">
      <c r="A374" s="15" t="s">
        <v>432</v>
      </c>
      <c r="B374" s="8" t="s">
        <v>407</v>
      </c>
      <c r="C374" s="41" t="s">
        <v>37</v>
      </c>
      <c r="D374" s="1" t="s">
        <v>38</v>
      </c>
      <c r="E374" s="26" t="s">
        <v>39</v>
      </c>
      <c r="F374" s="27">
        <v>0.95238095238095233</v>
      </c>
      <c r="G374" s="33">
        <v>0.33333333333333331</v>
      </c>
      <c r="H374" s="41" t="s">
        <v>408</v>
      </c>
      <c r="I374" s="1" t="s">
        <v>409</v>
      </c>
      <c r="J374" s="26" t="s">
        <v>39</v>
      </c>
      <c r="K374" s="27">
        <v>0.94339622641509424</v>
      </c>
      <c r="L374" s="33">
        <v>0.33333333333333331</v>
      </c>
      <c r="M374" s="41" t="s">
        <v>410</v>
      </c>
      <c r="N374" s="1" t="s">
        <v>38</v>
      </c>
      <c r="O374" s="26" t="s">
        <v>42</v>
      </c>
      <c r="P374" s="27">
        <v>3.2258064516129035</v>
      </c>
      <c r="Q374" s="33">
        <v>0.33333333333333331</v>
      </c>
      <c r="R374" s="55" t="s">
        <v>37</v>
      </c>
      <c r="S374" s="26" t="s">
        <v>38</v>
      </c>
      <c r="T374" s="26" t="s">
        <v>39</v>
      </c>
      <c r="U374" s="27">
        <v>0.95238095238095233</v>
      </c>
      <c r="V374" s="33">
        <v>0.33333333333333331</v>
      </c>
      <c r="W374" s="26" t="s">
        <v>408</v>
      </c>
      <c r="X374" s="26" t="s">
        <v>409</v>
      </c>
      <c r="Y374" s="26" t="s">
        <v>39</v>
      </c>
      <c r="Z374" s="27">
        <v>0.94339622641509424</v>
      </c>
      <c r="AA374" s="33">
        <v>0.33333333333333331</v>
      </c>
      <c r="AB374" s="26" t="s">
        <v>411</v>
      </c>
      <c r="AC374" s="26" t="s">
        <v>38</v>
      </c>
      <c r="AD374" s="26" t="s">
        <v>42</v>
      </c>
      <c r="AE374" s="27">
        <v>2.5</v>
      </c>
      <c r="AF374" s="36">
        <v>0.33333333333333331</v>
      </c>
      <c r="AG374" s="31">
        <v>0</v>
      </c>
      <c r="AH374" t="s">
        <v>44</v>
      </c>
    </row>
    <row r="375" spans="1:34">
      <c r="A375" s="15" t="s">
        <v>433</v>
      </c>
      <c r="B375" s="8" t="s">
        <v>407</v>
      </c>
      <c r="C375" s="41" t="s">
        <v>37</v>
      </c>
      <c r="D375" s="1" t="s">
        <v>38</v>
      </c>
      <c r="E375" s="26" t="s">
        <v>39</v>
      </c>
      <c r="F375" s="27">
        <v>0.95238095238095233</v>
      </c>
      <c r="G375" s="33">
        <v>0.33333333333333331</v>
      </c>
      <c r="H375" s="41" t="s">
        <v>408</v>
      </c>
      <c r="I375" s="1" t="s">
        <v>409</v>
      </c>
      <c r="J375" s="26" t="s">
        <v>39</v>
      </c>
      <c r="K375" s="27">
        <v>0.94339622641509424</v>
      </c>
      <c r="L375" s="33">
        <v>0.33333333333333331</v>
      </c>
      <c r="M375" s="41" t="s">
        <v>410</v>
      </c>
      <c r="N375" s="1" t="s">
        <v>38</v>
      </c>
      <c r="O375" s="26" t="s">
        <v>42</v>
      </c>
      <c r="P375" s="27">
        <v>3.2258064516129035</v>
      </c>
      <c r="Q375" s="33">
        <v>0.33333333333333331</v>
      </c>
      <c r="R375" s="55" t="s">
        <v>37</v>
      </c>
      <c r="S375" s="26" t="s">
        <v>38</v>
      </c>
      <c r="T375" s="26" t="s">
        <v>39</v>
      </c>
      <c r="U375" s="27">
        <v>0.95238095238095233</v>
      </c>
      <c r="V375" s="33">
        <v>0.33333333333333331</v>
      </c>
      <c r="W375" s="26" t="s">
        <v>408</v>
      </c>
      <c r="X375" s="26" t="s">
        <v>409</v>
      </c>
      <c r="Y375" s="26" t="s">
        <v>39</v>
      </c>
      <c r="Z375" s="27">
        <v>0.94339622641509424</v>
      </c>
      <c r="AA375" s="33">
        <v>0.33333333333333331</v>
      </c>
      <c r="AB375" s="26" t="s">
        <v>411</v>
      </c>
      <c r="AC375" s="26" t="s">
        <v>38</v>
      </c>
      <c r="AD375" s="26" t="s">
        <v>42</v>
      </c>
      <c r="AE375" s="27">
        <v>2.5</v>
      </c>
      <c r="AF375" s="36">
        <v>0.33333333333333331</v>
      </c>
      <c r="AG375" s="31">
        <v>0</v>
      </c>
      <c r="AH375" t="s">
        <v>44</v>
      </c>
    </row>
    <row r="376" spans="1:34">
      <c r="A376" s="15" t="s">
        <v>434</v>
      </c>
      <c r="B376" s="8" t="s">
        <v>407</v>
      </c>
      <c r="C376" s="41" t="s">
        <v>37</v>
      </c>
      <c r="D376" s="1" t="s">
        <v>38</v>
      </c>
      <c r="E376" s="26" t="s">
        <v>39</v>
      </c>
      <c r="F376" s="27">
        <v>0.95238095238095233</v>
      </c>
      <c r="G376" s="33">
        <v>0.33333333333333331</v>
      </c>
      <c r="H376" s="41" t="s">
        <v>408</v>
      </c>
      <c r="I376" s="1" t="s">
        <v>409</v>
      </c>
      <c r="J376" s="26" t="s">
        <v>39</v>
      </c>
      <c r="K376" s="27">
        <v>0.94339622641509424</v>
      </c>
      <c r="L376" s="33">
        <v>0.33333333333333331</v>
      </c>
      <c r="M376" s="41" t="s">
        <v>410</v>
      </c>
      <c r="N376" s="1" t="s">
        <v>38</v>
      </c>
      <c r="O376" s="26" t="s">
        <v>42</v>
      </c>
      <c r="P376" s="27">
        <v>3.2258064516129035</v>
      </c>
      <c r="Q376" s="33">
        <v>0.33333333333333331</v>
      </c>
      <c r="R376" s="55" t="s">
        <v>37</v>
      </c>
      <c r="S376" s="26" t="s">
        <v>38</v>
      </c>
      <c r="T376" s="26" t="s">
        <v>39</v>
      </c>
      <c r="U376" s="27">
        <v>0.95238095238095233</v>
      </c>
      <c r="V376" s="33">
        <v>0.33333333333333331</v>
      </c>
      <c r="W376" s="26" t="s">
        <v>408</v>
      </c>
      <c r="X376" s="26" t="s">
        <v>409</v>
      </c>
      <c r="Y376" s="26" t="s">
        <v>39</v>
      </c>
      <c r="Z376" s="27">
        <v>0.94339622641509424</v>
      </c>
      <c r="AA376" s="33">
        <v>0.33333333333333331</v>
      </c>
      <c r="AB376" s="26" t="s">
        <v>411</v>
      </c>
      <c r="AC376" s="26" t="s">
        <v>38</v>
      </c>
      <c r="AD376" s="26" t="s">
        <v>42</v>
      </c>
      <c r="AE376" s="27">
        <v>2.5</v>
      </c>
      <c r="AF376" s="36">
        <v>0.33333333333333331</v>
      </c>
      <c r="AG376" s="31">
        <v>0</v>
      </c>
      <c r="AH376" t="s">
        <v>44</v>
      </c>
    </row>
    <row r="377" spans="1:34">
      <c r="A377" s="15" t="s">
        <v>435</v>
      </c>
      <c r="B377" s="8" t="s">
        <v>407</v>
      </c>
      <c r="C377" s="41" t="s">
        <v>37</v>
      </c>
      <c r="D377" s="1" t="s">
        <v>38</v>
      </c>
      <c r="E377" s="26" t="s">
        <v>39</v>
      </c>
      <c r="F377" s="27">
        <v>0.95238095238095233</v>
      </c>
      <c r="G377" s="33">
        <v>0.33333333333333331</v>
      </c>
      <c r="H377" s="41" t="s">
        <v>408</v>
      </c>
      <c r="I377" s="1" t="s">
        <v>409</v>
      </c>
      <c r="J377" s="26" t="s">
        <v>39</v>
      </c>
      <c r="K377" s="27">
        <v>0.94339622641509424</v>
      </c>
      <c r="L377" s="33">
        <v>0.33333333333333331</v>
      </c>
      <c r="M377" s="41" t="s">
        <v>410</v>
      </c>
      <c r="N377" s="1" t="s">
        <v>38</v>
      </c>
      <c r="O377" s="26" t="s">
        <v>42</v>
      </c>
      <c r="P377" s="27">
        <v>3.2258064516129035</v>
      </c>
      <c r="Q377" s="33">
        <v>0.33333333333333331</v>
      </c>
      <c r="R377" s="55" t="s">
        <v>37</v>
      </c>
      <c r="S377" s="26" t="s">
        <v>38</v>
      </c>
      <c r="T377" s="26" t="s">
        <v>39</v>
      </c>
      <c r="U377" s="27">
        <v>0.95238095238095233</v>
      </c>
      <c r="V377" s="33">
        <v>0.33333333333333331</v>
      </c>
      <c r="W377" s="26" t="s">
        <v>408</v>
      </c>
      <c r="X377" s="26" t="s">
        <v>409</v>
      </c>
      <c r="Y377" s="26" t="s">
        <v>39</v>
      </c>
      <c r="Z377" s="27">
        <v>0.94339622641509424</v>
      </c>
      <c r="AA377" s="33">
        <v>0.33333333333333331</v>
      </c>
      <c r="AB377" s="26" t="s">
        <v>411</v>
      </c>
      <c r="AC377" s="26" t="s">
        <v>38</v>
      </c>
      <c r="AD377" s="26" t="s">
        <v>42</v>
      </c>
      <c r="AE377" s="27">
        <v>2.5</v>
      </c>
      <c r="AF377" s="36">
        <v>0.33333333333333331</v>
      </c>
      <c r="AG377" s="31">
        <v>0</v>
      </c>
      <c r="AH377" t="s">
        <v>44</v>
      </c>
    </row>
    <row r="378" spans="1:34">
      <c r="A378" s="15" t="s">
        <v>436</v>
      </c>
      <c r="B378" s="8" t="s">
        <v>407</v>
      </c>
      <c r="C378" s="41" t="s">
        <v>37</v>
      </c>
      <c r="D378" s="1" t="s">
        <v>38</v>
      </c>
      <c r="E378" s="26" t="s">
        <v>39</v>
      </c>
      <c r="F378" s="27">
        <v>0.95238095238095233</v>
      </c>
      <c r="G378" s="33">
        <v>0.33333333333333331</v>
      </c>
      <c r="H378" s="41" t="s">
        <v>408</v>
      </c>
      <c r="I378" s="1" t="s">
        <v>409</v>
      </c>
      <c r="J378" s="26" t="s">
        <v>39</v>
      </c>
      <c r="K378" s="27">
        <v>0.94339622641509424</v>
      </c>
      <c r="L378" s="33">
        <v>0.33333333333333331</v>
      </c>
      <c r="M378" s="41" t="s">
        <v>410</v>
      </c>
      <c r="N378" s="1" t="s">
        <v>38</v>
      </c>
      <c r="O378" s="26" t="s">
        <v>42</v>
      </c>
      <c r="P378" s="27">
        <v>3.2258064516129035</v>
      </c>
      <c r="Q378" s="33">
        <v>0.33333333333333331</v>
      </c>
      <c r="R378" s="55" t="s">
        <v>37</v>
      </c>
      <c r="S378" s="26" t="s">
        <v>38</v>
      </c>
      <c r="T378" s="26" t="s">
        <v>39</v>
      </c>
      <c r="U378" s="27">
        <v>0.95238095238095233</v>
      </c>
      <c r="V378" s="33">
        <v>0.33333333333333331</v>
      </c>
      <c r="W378" s="26" t="s">
        <v>408</v>
      </c>
      <c r="X378" s="26" t="s">
        <v>409</v>
      </c>
      <c r="Y378" s="26" t="s">
        <v>39</v>
      </c>
      <c r="Z378" s="27">
        <v>0.94339622641509424</v>
      </c>
      <c r="AA378" s="33">
        <v>0.33333333333333331</v>
      </c>
      <c r="AB378" s="26" t="s">
        <v>411</v>
      </c>
      <c r="AC378" s="26" t="s">
        <v>38</v>
      </c>
      <c r="AD378" s="26" t="s">
        <v>42</v>
      </c>
      <c r="AE378" s="27">
        <v>2.5</v>
      </c>
      <c r="AF378" s="36">
        <v>0.33333333333333331</v>
      </c>
      <c r="AG378" s="31">
        <v>0</v>
      </c>
      <c r="AH378" t="s">
        <v>44</v>
      </c>
    </row>
    <row r="379" spans="1:34">
      <c r="A379" s="15" t="s">
        <v>437</v>
      </c>
      <c r="B379" s="8" t="s">
        <v>407</v>
      </c>
      <c r="C379" s="41" t="s">
        <v>37</v>
      </c>
      <c r="D379" s="1" t="s">
        <v>38</v>
      </c>
      <c r="E379" s="26" t="s">
        <v>39</v>
      </c>
      <c r="F379" s="27">
        <v>0.95238095238095233</v>
      </c>
      <c r="G379" s="33">
        <v>0.33333333333333331</v>
      </c>
      <c r="H379" s="41" t="s">
        <v>408</v>
      </c>
      <c r="I379" s="1" t="s">
        <v>409</v>
      </c>
      <c r="J379" s="26" t="s">
        <v>39</v>
      </c>
      <c r="K379" s="27">
        <v>0.94339622641509424</v>
      </c>
      <c r="L379" s="33">
        <v>0.33333333333333331</v>
      </c>
      <c r="M379" s="41" t="s">
        <v>410</v>
      </c>
      <c r="N379" s="1" t="s">
        <v>38</v>
      </c>
      <c r="O379" s="26" t="s">
        <v>42</v>
      </c>
      <c r="P379" s="27">
        <v>3.2258064516129035</v>
      </c>
      <c r="Q379" s="33">
        <v>0.33333333333333331</v>
      </c>
      <c r="R379" s="55" t="s">
        <v>37</v>
      </c>
      <c r="S379" s="26" t="s">
        <v>38</v>
      </c>
      <c r="T379" s="26" t="s">
        <v>39</v>
      </c>
      <c r="U379" s="27">
        <v>0.95238095238095233</v>
      </c>
      <c r="V379" s="33">
        <v>0.33333333333333331</v>
      </c>
      <c r="W379" s="26" t="s">
        <v>408</v>
      </c>
      <c r="X379" s="26" t="s">
        <v>409</v>
      </c>
      <c r="Y379" s="26" t="s">
        <v>39</v>
      </c>
      <c r="Z379" s="27">
        <v>0.94339622641509424</v>
      </c>
      <c r="AA379" s="33">
        <v>0.33333333333333331</v>
      </c>
      <c r="AB379" s="26" t="s">
        <v>411</v>
      </c>
      <c r="AC379" s="26" t="s">
        <v>38</v>
      </c>
      <c r="AD379" s="26" t="s">
        <v>42</v>
      </c>
      <c r="AE379" s="27">
        <v>2.5</v>
      </c>
      <c r="AF379" s="36">
        <v>0.33333333333333331</v>
      </c>
      <c r="AG379" s="31">
        <v>0</v>
      </c>
      <c r="AH379" t="s">
        <v>44</v>
      </c>
    </row>
    <row r="380" spans="1:34">
      <c r="A380" s="15" t="s">
        <v>438</v>
      </c>
      <c r="B380" s="8" t="s">
        <v>407</v>
      </c>
      <c r="C380" s="41" t="s">
        <v>37</v>
      </c>
      <c r="D380" s="1" t="s">
        <v>38</v>
      </c>
      <c r="E380" s="26" t="s">
        <v>39</v>
      </c>
      <c r="F380" s="27">
        <v>0.95238095238095233</v>
      </c>
      <c r="G380" s="33">
        <v>0.33333333333333331</v>
      </c>
      <c r="H380" s="41" t="s">
        <v>408</v>
      </c>
      <c r="I380" s="1" t="s">
        <v>409</v>
      </c>
      <c r="J380" s="26" t="s">
        <v>39</v>
      </c>
      <c r="K380" s="27">
        <v>0.94339622641509424</v>
      </c>
      <c r="L380" s="33">
        <v>0.33333333333333331</v>
      </c>
      <c r="M380" s="41" t="s">
        <v>410</v>
      </c>
      <c r="N380" s="1" t="s">
        <v>38</v>
      </c>
      <c r="O380" s="26" t="s">
        <v>42</v>
      </c>
      <c r="P380" s="27">
        <v>3.2258064516129035</v>
      </c>
      <c r="Q380" s="33">
        <v>0.33333333333333331</v>
      </c>
      <c r="R380" s="55" t="s">
        <v>37</v>
      </c>
      <c r="S380" s="26" t="s">
        <v>38</v>
      </c>
      <c r="T380" s="26" t="s">
        <v>39</v>
      </c>
      <c r="U380" s="27">
        <v>0.95238095238095233</v>
      </c>
      <c r="V380" s="33">
        <v>0.33333333333333331</v>
      </c>
      <c r="W380" s="26" t="s">
        <v>408</v>
      </c>
      <c r="X380" s="26" t="s">
        <v>409</v>
      </c>
      <c r="Y380" s="26" t="s">
        <v>39</v>
      </c>
      <c r="Z380" s="27">
        <v>0.94339622641509424</v>
      </c>
      <c r="AA380" s="33">
        <v>0.33333333333333331</v>
      </c>
      <c r="AB380" s="26" t="s">
        <v>411</v>
      </c>
      <c r="AC380" s="26" t="s">
        <v>38</v>
      </c>
      <c r="AD380" s="26" t="s">
        <v>42</v>
      </c>
      <c r="AE380" s="27">
        <v>2.5</v>
      </c>
      <c r="AF380" s="36">
        <v>0.33333333333333331</v>
      </c>
      <c r="AG380" s="31">
        <v>0</v>
      </c>
      <c r="AH380" t="s">
        <v>44</v>
      </c>
    </row>
    <row r="381" spans="1:34">
      <c r="A381" s="15" t="s">
        <v>439</v>
      </c>
      <c r="B381" s="8" t="s">
        <v>407</v>
      </c>
      <c r="C381" s="41" t="s">
        <v>37</v>
      </c>
      <c r="D381" s="1" t="s">
        <v>38</v>
      </c>
      <c r="E381" s="26" t="s">
        <v>39</v>
      </c>
      <c r="F381" s="27">
        <v>0.95238095238095233</v>
      </c>
      <c r="G381" s="33">
        <v>0.33333333333333331</v>
      </c>
      <c r="H381" s="41" t="s">
        <v>408</v>
      </c>
      <c r="I381" s="1" t="s">
        <v>409</v>
      </c>
      <c r="J381" s="26" t="s">
        <v>39</v>
      </c>
      <c r="K381" s="27">
        <v>0.94339622641509424</v>
      </c>
      <c r="L381" s="33">
        <v>0.33333333333333331</v>
      </c>
      <c r="M381" s="41" t="s">
        <v>410</v>
      </c>
      <c r="N381" s="1" t="s">
        <v>38</v>
      </c>
      <c r="O381" s="26" t="s">
        <v>42</v>
      </c>
      <c r="P381" s="27">
        <v>3.2258064516129035</v>
      </c>
      <c r="Q381" s="33">
        <v>0.33333333333333331</v>
      </c>
      <c r="R381" s="55" t="s">
        <v>37</v>
      </c>
      <c r="S381" s="26" t="s">
        <v>38</v>
      </c>
      <c r="T381" s="26" t="s">
        <v>39</v>
      </c>
      <c r="U381" s="27">
        <v>0.95238095238095233</v>
      </c>
      <c r="V381" s="33">
        <v>0.33333333333333331</v>
      </c>
      <c r="W381" s="26" t="s">
        <v>408</v>
      </c>
      <c r="X381" s="26" t="s">
        <v>409</v>
      </c>
      <c r="Y381" s="26" t="s">
        <v>39</v>
      </c>
      <c r="Z381" s="27">
        <v>0.94339622641509424</v>
      </c>
      <c r="AA381" s="33">
        <v>0.33333333333333331</v>
      </c>
      <c r="AB381" s="26" t="s">
        <v>411</v>
      </c>
      <c r="AC381" s="26" t="s">
        <v>38</v>
      </c>
      <c r="AD381" s="26" t="s">
        <v>42</v>
      </c>
      <c r="AE381" s="27">
        <v>2.5</v>
      </c>
      <c r="AF381" s="36">
        <v>0.33333333333333331</v>
      </c>
      <c r="AG381" s="31">
        <v>0</v>
      </c>
      <c r="AH381" t="s">
        <v>44</v>
      </c>
    </row>
    <row r="382" spans="1:34">
      <c r="A382" s="15" t="s">
        <v>440</v>
      </c>
      <c r="B382" s="8" t="s">
        <v>407</v>
      </c>
      <c r="C382" s="41" t="s">
        <v>37</v>
      </c>
      <c r="D382" s="1" t="s">
        <v>38</v>
      </c>
      <c r="E382" s="26" t="s">
        <v>39</v>
      </c>
      <c r="F382" s="27">
        <v>0.95238095238095233</v>
      </c>
      <c r="G382" s="33">
        <v>0.33333333333333331</v>
      </c>
      <c r="H382" s="41" t="s">
        <v>408</v>
      </c>
      <c r="I382" s="1" t="s">
        <v>409</v>
      </c>
      <c r="J382" s="26" t="s">
        <v>39</v>
      </c>
      <c r="K382" s="27">
        <v>0.94339622641509424</v>
      </c>
      <c r="L382" s="33">
        <v>0.33333333333333331</v>
      </c>
      <c r="M382" s="41" t="s">
        <v>410</v>
      </c>
      <c r="N382" s="1" t="s">
        <v>38</v>
      </c>
      <c r="O382" s="26" t="s">
        <v>42</v>
      </c>
      <c r="P382" s="27">
        <v>3.2258064516129035</v>
      </c>
      <c r="Q382" s="33">
        <v>0.33333333333333331</v>
      </c>
      <c r="R382" s="55" t="s">
        <v>37</v>
      </c>
      <c r="S382" s="26" t="s">
        <v>38</v>
      </c>
      <c r="T382" s="26" t="s">
        <v>39</v>
      </c>
      <c r="U382" s="27">
        <v>0.95238095238095233</v>
      </c>
      <c r="V382" s="33">
        <v>0.33333333333333331</v>
      </c>
      <c r="W382" s="26" t="s">
        <v>408</v>
      </c>
      <c r="X382" s="26" t="s">
        <v>409</v>
      </c>
      <c r="Y382" s="26" t="s">
        <v>39</v>
      </c>
      <c r="Z382" s="27">
        <v>0.94339622641509424</v>
      </c>
      <c r="AA382" s="33">
        <v>0.33333333333333331</v>
      </c>
      <c r="AB382" s="26" t="s">
        <v>411</v>
      </c>
      <c r="AC382" s="26" t="s">
        <v>38</v>
      </c>
      <c r="AD382" s="26" t="s">
        <v>42</v>
      </c>
      <c r="AE382" s="27">
        <v>2.5</v>
      </c>
      <c r="AF382" s="36">
        <v>0.33333333333333331</v>
      </c>
      <c r="AG382" s="31">
        <v>0</v>
      </c>
      <c r="AH382" t="s">
        <v>44</v>
      </c>
    </row>
    <row r="383" spans="1:34">
      <c r="A383" s="15" t="s">
        <v>441</v>
      </c>
      <c r="B383" s="8" t="s">
        <v>407</v>
      </c>
      <c r="C383" s="41" t="s">
        <v>37</v>
      </c>
      <c r="D383" s="1" t="s">
        <v>38</v>
      </c>
      <c r="E383" s="26" t="s">
        <v>39</v>
      </c>
      <c r="F383" s="27">
        <v>0.95238095238095233</v>
      </c>
      <c r="G383" s="33">
        <v>0.33333333333333331</v>
      </c>
      <c r="H383" s="41" t="s">
        <v>408</v>
      </c>
      <c r="I383" s="1" t="s">
        <v>409</v>
      </c>
      <c r="J383" s="26" t="s">
        <v>39</v>
      </c>
      <c r="K383" s="27">
        <v>0.94339622641509424</v>
      </c>
      <c r="L383" s="33">
        <v>0.33333333333333331</v>
      </c>
      <c r="M383" s="41" t="s">
        <v>410</v>
      </c>
      <c r="N383" s="1" t="s">
        <v>38</v>
      </c>
      <c r="O383" s="26" t="s">
        <v>42</v>
      </c>
      <c r="P383" s="27">
        <v>3.2258064516129035</v>
      </c>
      <c r="Q383" s="33">
        <v>0.33333333333333331</v>
      </c>
      <c r="R383" s="55" t="s">
        <v>37</v>
      </c>
      <c r="S383" s="26" t="s">
        <v>38</v>
      </c>
      <c r="T383" s="26" t="s">
        <v>39</v>
      </c>
      <c r="U383" s="27">
        <v>0.95238095238095233</v>
      </c>
      <c r="V383" s="33">
        <v>0.33333333333333331</v>
      </c>
      <c r="W383" s="26" t="s">
        <v>408</v>
      </c>
      <c r="X383" s="26" t="s">
        <v>409</v>
      </c>
      <c r="Y383" s="26" t="s">
        <v>39</v>
      </c>
      <c r="Z383" s="27">
        <v>0.94339622641509424</v>
      </c>
      <c r="AA383" s="33">
        <v>0.33333333333333331</v>
      </c>
      <c r="AB383" s="26" t="s">
        <v>411</v>
      </c>
      <c r="AC383" s="26" t="s">
        <v>38</v>
      </c>
      <c r="AD383" s="26" t="s">
        <v>42</v>
      </c>
      <c r="AE383" s="27">
        <v>2.5</v>
      </c>
      <c r="AF383" s="36">
        <v>0.33333333333333331</v>
      </c>
      <c r="AG383" s="31">
        <v>0</v>
      </c>
      <c r="AH383" t="s">
        <v>44</v>
      </c>
    </row>
    <row r="384" spans="1:34">
      <c r="A384" s="15" t="s">
        <v>442</v>
      </c>
      <c r="B384" s="8" t="s">
        <v>407</v>
      </c>
      <c r="C384" s="41" t="s">
        <v>37</v>
      </c>
      <c r="D384" s="1" t="s">
        <v>38</v>
      </c>
      <c r="E384" s="26" t="s">
        <v>39</v>
      </c>
      <c r="F384" s="27">
        <v>0.95238095238095233</v>
      </c>
      <c r="G384" s="33">
        <v>0.33333333333333331</v>
      </c>
      <c r="H384" s="41" t="s">
        <v>408</v>
      </c>
      <c r="I384" s="1" t="s">
        <v>409</v>
      </c>
      <c r="J384" s="26" t="s">
        <v>39</v>
      </c>
      <c r="K384" s="27">
        <v>0.94339622641509424</v>
      </c>
      <c r="L384" s="33">
        <v>0.33333333333333331</v>
      </c>
      <c r="M384" s="41" t="s">
        <v>410</v>
      </c>
      <c r="N384" s="1" t="s">
        <v>38</v>
      </c>
      <c r="O384" s="26" t="s">
        <v>42</v>
      </c>
      <c r="P384" s="27">
        <v>3.2258064516129035</v>
      </c>
      <c r="Q384" s="33">
        <v>0.33333333333333331</v>
      </c>
      <c r="R384" s="55" t="s">
        <v>37</v>
      </c>
      <c r="S384" s="26" t="s">
        <v>38</v>
      </c>
      <c r="T384" s="26" t="s">
        <v>39</v>
      </c>
      <c r="U384" s="27">
        <v>0.95238095238095233</v>
      </c>
      <c r="V384" s="33">
        <v>0.33333333333333331</v>
      </c>
      <c r="W384" s="26" t="s">
        <v>408</v>
      </c>
      <c r="X384" s="26" t="s">
        <v>409</v>
      </c>
      <c r="Y384" s="26" t="s">
        <v>39</v>
      </c>
      <c r="Z384" s="27">
        <v>0.94339622641509424</v>
      </c>
      <c r="AA384" s="33">
        <v>0.33333333333333331</v>
      </c>
      <c r="AB384" s="26" t="s">
        <v>411</v>
      </c>
      <c r="AC384" s="26" t="s">
        <v>38</v>
      </c>
      <c r="AD384" s="26" t="s">
        <v>42</v>
      </c>
      <c r="AE384" s="27">
        <v>2.5</v>
      </c>
      <c r="AF384" s="36">
        <v>0.33333333333333331</v>
      </c>
      <c r="AG384" s="31">
        <v>0</v>
      </c>
      <c r="AH384" t="s">
        <v>44</v>
      </c>
    </row>
    <row r="385" spans="1:34">
      <c r="A385" s="15" t="s">
        <v>443</v>
      </c>
      <c r="B385" s="8" t="s">
        <v>407</v>
      </c>
      <c r="C385" s="41" t="s">
        <v>37</v>
      </c>
      <c r="D385" s="1" t="s">
        <v>38</v>
      </c>
      <c r="E385" s="26" t="s">
        <v>39</v>
      </c>
      <c r="F385" s="27">
        <v>0.95238095238095233</v>
      </c>
      <c r="G385" s="33">
        <v>0.33333333333333331</v>
      </c>
      <c r="H385" s="41" t="s">
        <v>408</v>
      </c>
      <c r="I385" s="1" t="s">
        <v>409</v>
      </c>
      <c r="J385" s="26" t="s">
        <v>39</v>
      </c>
      <c r="K385" s="27">
        <v>0.94339622641509424</v>
      </c>
      <c r="L385" s="33">
        <v>0.33333333333333331</v>
      </c>
      <c r="M385" s="41" t="s">
        <v>410</v>
      </c>
      <c r="N385" s="1" t="s">
        <v>38</v>
      </c>
      <c r="O385" s="26" t="s">
        <v>42</v>
      </c>
      <c r="P385" s="27">
        <v>3.2258064516129035</v>
      </c>
      <c r="Q385" s="33">
        <v>0.33333333333333331</v>
      </c>
      <c r="R385" s="55" t="s">
        <v>37</v>
      </c>
      <c r="S385" s="26" t="s">
        <v>38</v>
      </c>
      <c r="T385" s="26" t="s">
        <v>39</v>
      </c>
      <c r="U385" s="27">
        <v>0.95238095238095233</v>
      </c>
      <c r="V385" s="33">
        <v>0.33333333333333331</v>
      </c>
      <c r="W385" s="26" t="s">
        <v>408</v>
      </c>
      <c r="X385" s="26" t="s">
        <v>409</v>
      </c>
      <c r="Y385" s="26" t="s">
        <v>39</v>
      </c>
      <c r="Z385" s="27">
        <v>0.94339622641509424</v>
      </c>
      <c r="AA385" s="33">
        <v>0.33333333333333331</v>
      </c>
      <c r="AB385" s="26" t="s">
        <v>411</v>
      </c>
      <c r="AC385" s="26" t="s">
        <v>38</v>
      </c>
      <c r="AD385" s="26" t="s">
        <v>42</v>
      </c>
      <c r="AE385" s="27">
        <v>2.5</v>
      </c>
      <c r="AF385" s="36">
        <v>0.33333333333333331</v>
      </c>
      <c r="AG385" s="31">
        <v>0</v>
      </c>
      <c r="AH385" t="s">
        <v>44</v>
      </c>
    </row>
    <row r="386" spans="1:34">
      <c r="A386" s="15" t="s">
        <v>444</v>
      </c>
      <c r="B386" s="8" t="s">
        <v>407</v>
      </c>
      <c r="C386" s="41" t="s">
        <v>37</v>
      </c>
      <c r="D386" s="1" t="s">
        <v>38</v>
      </c>
      <c r="E386" s="26" t="s">
        <v>39</v>
      </c>
      <c r="F386" s="27">
        <v>0.95238095238095233</v>
      </c>
      <c r="G386" s="33">
        <v>0.33333333333333331</v>
      </c>
      <c r="H386" s="41" t="s">
        <v>408</v>
      </c>
      <c r="I386" s="1" t="s">
        <v>409</v>
      </c>
      <c r="J386" s="26" t="s">
        <v>39</v>
      </c>
      <c r="K386" s="27">
        <v>0.94339622641509424</v>
      </c>
      <c r="L386" s="33">
        <v>0.33333333333333331</v>
      </c>
      <c r="M386" s="41" t="s">
        <v>410</v>
      </c>
      <c r="N386" s="1" t="s">
        <v>38</v>
      </c>
      <c r="O386" s="26" t="s">
        <v>42</v>
      </c>
      <c r="P386" s="27">
        <v>3.2258064516129035</v>
      </c>
      <c r="Q386" s="33">
        <v>0.33333333333333331</v>
      </c>
      <c r="R386" s="55" t="s">
        <v>37</v>
      </c>
      <c r="S386" s="26" t="s">
        <v>38</v>
      </c>
      <c r="T386" s="26" t="s">
        <v>39</v>
      </c>
      <c r="U386" s="27">
        <v>0.95238095238095233</v>
      </c>
      <c r="V386" s="33">
        <v>0.33333333333333331</v>
      </c>
      <c r="W386" s="26" t="s">
        <v>408</v>
      </c>
      <c r="X386" s="26" t="s">
        <v>409</v>
      </c>
      <c r="Y386" s="26" t="s">
        <v>39</v>
      </c>
      <c r="Z386" s="27">
        <v>0.94339622641509424</v>
      </c>
      <c r="AA386" s="33">
        <v>0.33333333333333331</v>
      </c>
      <c r="AB386" s="26" t="s">
        <v>411</v>
      </c>
      <c r="AC386" s="26" t="s">
        <v>38</v>
      </c>
      <c r="AD386" s="26" t="s">
        <v>42</v>
      </c>
      <c r="AE386" s="27">
        <v>2.5</v>
      </c>
      <c r="AF386" s="36">
        <v>0.33333333333333331</v>
      </c>
      <c r="AG386" s="31">
        <v>0</v>
      </c>
      <c r="AH386" t="s">
        <v>44</v>
      </c>
    </row>
    <row r="387" spans="1:34">
      <c r="A387" s="15" t="s">
        <v>445</v>
      </c>
      <c r="B387" s="8" t="s">
        <v>407</v>
      </c>
      <c r="C387" s="41" t="s">
        <v>37</v>
      </c>
      <c r="D387" s="1" t="s">
        <v>38</v>
      </c>
      <c r="E387" s="26" t="s">
        <v>39</v>
      </c>
      <c r="F387" s="27">
        <v>0.95238095238095233</v>
      </c>
      <c r="G387" s="33">
        <v>0.33333333333333331</v>
      </c>
      <c r="H387" s="41" t="s">
        <v>408</v>
      </c>
      <c r="I387" s="1" t="s">
        <v>409</v>
      </c>
      <c r="J387" s="26" t="s">
        <v>39</v>
      </c>
      <c r="K387" s="27">
        <v>0.94339622641509424</v>
      </c>
      <c r="L387" s="33">
        <v>0.33333333333333331</v>
      </c>
      <c r="M387" s="41" t="s">
        <v>410</v>
      </c>
      <c r="N387" s="1" t="s">
        <v>38</v>
      </c>
      <c r="O387" s="26" t="s">
        <v>42</v>
      </c>
      <c r="P387" s="27">
        <v>3.2258064516129035</v>
      </c>
      <c r="Q387" s="33">
        <v>0.33333333333333331</v>
      </c>
      <c r="R387" s="55" t="s">
        <v>37</v>
      </c>
      <c r="S387" s="26" t="s">
        <v>38</v>
      </c>
      <c r="T387" s="26" t="s">
        <v>39</v>
      </c>
      <c r="U387" s="27">
        <v>0.95238095238095233</v>
      </c>
      <c r="V387" s="33">
        <v>0.33333333333333331</v>
      </c>
      <c r="W387" s="26" t="s">
        <v>408</v>
      </c>
      <c r="X387" s="26" t="s">
        <v>409</v>
      </c>
      <c r="Y387" s="26" t="s">
        <v>39</v>
      </c>
      <c r="Z387" s="27">
        <v>0.94339622641509424</v>
      </c>
      <c r="AA387" s="33">
        <v>0.33333333333333331</v>
      </c>
      <c r="AB387" s="26" t="s">
        <v>411</v>
      </c>
      <c r="AC387" s="26" t="s">
        <v>38</v>
      </c>
      <c r="AD387" s="26" t="s">
        <v>42</v>
      </c>
      <c r="AE387" s="27">
        <v>2.5</v>
      </c>
      <c r="AF387" s="36">
        <v>0.33333333333333331</v>
      </c>
      <c r="AG387" s="31">
        <v>0</v>
      </c>
      <c r="AH387" t="s">
        <v>44</v>
      </c>
    </row>
    <row r="388" spans="1:34">
      <c r="A388" s="15" t="s">
        <v>446</v>
      </c>
      <c r="B388" s="8" t="s">
        <v>407</v>
      </c>
      <c r="C388" s="41" t="s">
        <v>37</v>
      </c>
      <c r="D388" s="1" t="s">
        <v>38</v>
      </c>
      <c r="E388" s="26" t="s">
        <v>39</v>
      </c>
      <c r="F388" s="27">
        <v>0.95238095238095233</v>
      </c>
      <c r="G388" s="33">
        <v>0.33333333333333331</v>
      </c>
      <c r="H388" s="41" t="s">
        <v>408</v>
      </c>
      <c r="I388" s="1" t="s">
        <v>409</v>
      </c>
      <c r="J388" s="26" t="s">
        <v>39</v>
      </c>
      <c r="K388" s="27">
        <v>0.94339622641509424</v>
      </c>
      <c r="L388" s="33">
        <v>0.33333333333333331</v>
      </c>
      <c r="M388" s="41" t="s">
        <v>410</v>
      </c>
      <c r="N388" s="1" t="s">
        <v>38</v>
      </c>
      <c r="O388" s="26" t="s">
        <v>42</v>
      </c>
      <c r="P388" s="27">
        <v>3.2258064516129035</v>
      </c>
      <c r="Q388" s="33">
        <v>0.33333333333333331</v>
      </c>
      <c r="R388" s="55" t="s">
        <v>37</v>
      </c>
      <c r="S388" s="26" t="s">
        <v>38</v>
      </c>
      <c r="T388" s="26" t="s">
        <v>39</v>
      </c>
      <c r="U388" s="27">
        <v>0.95238095238095233</v>
      </c>
      <c r="V388" s="33">
        <v>0.33333333333333331</v>
      </c>
      <c r="W388" s="26" t="s">
        <v>408</v>
      </c>
      <c r="X388" s="26" t="s">
        <v>409</v>
      </c>
      <c r="Y388" s="26" t="s">
        <v>39</v>
      </c>
      <c r="Z388" s="27">
        <v>0.94339622641509424</v>
      </c>
      <c r="AA388" s="33">
        <v>0.33333333333333331</v>
      </c>
      <c r="AB388" s="26" t="s">
        <v>411</v>
      </c>
      <c r="AC388" s="26" t="s">
        <v>38</v>
      </c>
      <c r="AD388" s="26" t="s">
        <v>42</v>
      </c>
      <c r="AE388" s="27">
        <v>2.5</v>
      </c>
      <c r="AF388" s="36">
        <v>0.33333333333333331</v>
      </c>
      <c r="AG388" s="31">
        <v>0</v>
      </c>
      <c r="AH388" t="s">
        <v>44</v>
      </c>
    </row>
    <row r="389" spans="1:34">
      <c r="A389" s="15" t="s">
        <v>447</v>
      </c>
      <c r="B389" s="8" t="s">
        <v>407</v>
      </c>
      <c r="C389" s="41" t="s">
        <v>37</v>
      </c>
      <c r="D389" s="1" t="s">
        <v>38</v>
      </c>
      <c r="E389" s="26" t="s">
        <v>39</v>
      </c>
      <c r="F389" s="27">
        <v>0.95238095238095233</v>
      </c>
      <c r="G389" s="33">
        <v>0.33333333333333331</v>
      </c>
      <c r="H389" s="41" t="s">
        <v>408</v>
      </c>
      <c r="I389" s="1" t="s">
        <v>409</v>
      </c>
      <c r="J389" s="26" t="s">
        <v>39</v>
      </c>
      <c r="K389" s="27">
        <v>0.94339622641509424</v>
      </c>
      <c r="L389" s="33">
        <v>0.33333333333333331</v>
      </c>
      <c r="M389" s="41" t="s">
        <v>410</v>
      </c>
      <c r="N389" s="1" t="s">
        <v>38</v>
      </c>
      <c r="O389" s="26" t="s">
        <v>42</v>
      </c>
      <c r="P389" s="27">
        <v>3.2258064516129035</v>
      </c>
      <c r="Q389" s="33">
        <v>0.33333333333333331</v>
      </c>
      <c r="R389" s="55" t="s">
        <v>37</v>
      </c>
      <c r="S389" s="26" t="s">
        <v>38</v>
      </c>
      <c r="T389" s="26" t="s">
        <v>39</v>
      </c>
      <c r="U389" s="27">
        <v>0.95238095238095233</v>
      </c>
      <c r="V389" s="33">
        <v>0.33333333333333331</v>
      </c>
      <c r="W389" s="26" t="s">
        <v>408</v>
      </c>
      <c r="X389" s="26" t="s">
        <v>409</v>
      </c>
      <c r="Y389" s="26" t="s">
        <v>39</v>
      </c>
      <c r="Z389" s="27">
        <v>0.94339622641509424</v>
      </c>
      <c r="AA389" s="33">
        <v>0.33333333333333331</v>
      </c>
      <c r="AB389" s="26" t="s">
        <v>411</v>
      </c>
      <c r="AC389" s="26" t="s">
        <v>38</v>
      </c>
      <c r="AD389" s="26" t="s">
        <v>42</v>
      </c>
      <c r="AE389" s="27">
        <v>2.5</v>
      </c>
      <c r="AF389" s="36">
        <v>0.33333333333333331</v>
      </c>
      <c r="AG389" s="31">
        <v>0</v>
      </c>
      <c r="AH389" t="s">
        <v>44</v>
      </c>
    </row>
    <row r="390" spans="1:34">
      <c r="A390" s="15" t="s">
        <v>448</v>
      </c>
      <c r="B390" s="8" t="s">
        <v>407</v>
      </c>
      <c r="C390" s="41" t="s">
        <v>37</v>
      </c>
      <c r="D390" s="1" t="s">
        <v>38</v>
      </c>
      <c r="E390" s="26" t="s">
        <v>39</v>
      </c>
      <c r="F390" s="27">
        <v>0.95238095238095233</v>
      </c>
      <c r="G390" s="33">
        <v>0.33333333333333331</v>
      </c>
      <c r="H390" s="41" t="s">
        <v>408</v>
      </c>
      <c r="I390" s="1" t="s">
        <v>409</v>
      </c>
      <c r="J390" s="26" t="s">
        <v>39</v>
      </c>
      <c r="K390" s="27">
        <v>0.94339622641509424</v>
      </c>
      <c r="L390" s="33">
        <v>0.33333333333333331</v>
      </c>
      <c r="M390" s="41" t="s">
        <v>410</v>
      </c>
      <c r="N390" s="1" t="s">
        <v>38</v>
      </c>
      <c r="O390" s="26" t="s">
        <v>42</v>
      </c>
      <c r="P390" s="27">
        <v>3.2258064516129035</v>
      </c>
      <c r="Q390" s="33">
        <v>0.33333333333333331</v>
      </c>
      <c r="R390" s="55" t="s">
        <v>37</v>
      </c>
      <c r="S390" s="26" t="s">
        <v>38</v>
      </c>
      <c r="T390" s="26" t="s">
        <v>39</v>
      </c>
      <c r="U390" s="27">
        <v>0.95238095238095233</v>
      </c>
      <c r="V390" s="33">
        <v>0.33333333333333331</v>
      </c>
      <c r="W390" s="26" t="s">
        <v>408</v>
      </c>
      <c r="X390" s="26" t="s">
        <v>409</v>
      </c>
      <c r="Y390" s="26" t="s">
        <v>39</v>
      </c>
      <c r="Z390" s="27">
        <v>0.94339622641509424</v>
      </c>
      <c r="AA390" s="33">
        <v>0.33333333333333331</v>
      </c>
      <c r="AB390" s="26" t="s">
        <v>411</v>
      </c>
      <c r="AC390" s="26" t="s">
        <v>38</v>
      </c>
      <c r="AD390" s="26" t="s">
        <v>42</v>
      </c>
      <c r="AE390" s="27">
        <v>2.5</v>
      </c>
      <c r="AF390" s="36">
        <v>0.33333333333333331</v>
      </c>
      <c r="AG390" s="31">
        <v>0</v>
      </c>
      <c r="AH390" t="s">
        <v>44</v>
      </c>
    </row>
    <row r="391" spans="1:34">
      <c r="A391" s="15" t="s">
        <v>449</v>
      </c>
      <c r="B391" s="8" t="s">
        <v>407</v>
      </c>
      <c r="C391" s="41" t="s">
        <v>37</v>
      </c>
      <c r="D391" s="1" t="s">
        <v>38</v>
      </c>
      <c r="E391" s="26" t="s">
        <v>39</v>
      </c>
      <c r="F391" s="27">
        <v>0.95238095238095233</v>
      </c>
      <c r="G391" s="33">
        <v>0.33333333333333331</v>
      </c>
      <c r="H391" s="41" t="s">
        <v>408</v>
      </c>
      <c r="I391" s="1" t="s">
        <v>409</v>
      </c>
      <c r="J391" s="26" t="s">
        <v>39</v>
      </c>
      <c r="K391" s="27">
        <v>0.94339622641509424</v>
      </c>
      <c r="L391" s="33">
        <v>0.33333333333333331</v>
      </c>
      <c r="M391" s="41" t="s">
        <v>410</v>
      </c>
      <c r="N391" s="1" t="s">
        <v>38</v>
      </c>
      <c r="O391" s="26" t="s">
        <v>42</v>
      </c>
      <c r="P391" s="27">
        <v>3.2258064516129035</v>
      </c>
      <c r="Q391" s="33">
        <v>0.33333333333333331</v>
      </c>
      <c r="R391" s="55" t="s">
        <v>37</v>
      </c>
      <c r="S391" s="26" t="s">
        <v>38</v>
      </c>
      <c r="T391" s="26" t="s">
        <v>39</v>
      </c>
      <c r="U391" s="27">
        <v>0.95238095238095233</v>
      </c>
      <c r="V391" s="33">
        <v>0.33333333333333331</v>
      </c>
      <c r="W391" s="26" t="s">
        <v>408</v>
      </c>
      <c r="X391" s="26" t="s">
        <v>409</v>
      </c>
      <c r="Y391" s="26" t="s">
        <v>39</v>
      </c>
      <c r="Z391" s="27">
        <v>0.94339622641509424</v>
      </c>
      <c r="AA391" s="33">
        <v>0.33333333333333331</v>
      </c>
      <c r="AB391" s="26" t="s">
        <v>411</v>
      </c>
      <c r="AC391" s="26" t="s">
        <v>38</v>
      </c>
      <c r="AD391" s="26" t="s">
        <v>42</v>
      </c>
      <c r="AE391" s="27">
        <v>2.5</v>
      </c>
      <c r="AF391" s="36">
        <v>0.33333333333333331</v>
      </c>
      <c r="AG391" s="31">
        <v>0</v>
      </c>
      <c r="AH391" t="s">
        <v>44</v>
      </c>
    </row>
    <row r="392" spans="1:34">
      <c r="A392" s="15" t="s">
        <v>450</v>
      </c>
      <c r="B392" s="8" t="s">
        <v>407</v>
      </c>
      <c r="C392" s="41" t="s">
        <v>37</v>
      </c>
      <c r="D392" s="1" t="s">
        <v>38</v>
      </c>
      <c r="E392" s="26" t="s">
        <v>39</v>
      </c>
      <c r="F392" s="27">
        <v>0.95238095238095233</v>
      </c>
      <c r="G392" s="33">
        <v>0.33333333333333331</v>
      </c>
      <c r="H392" s="41" t="s">
        <v>408</v>
      </c>
      <c r="I392" s="1" t="s">
        <v>409</v>
      </c>
      <c r="J392" s="26" t="s">
        <v>39</v>
      </c>
      <c r="K392" s="27">
        <v>0.94339622641509424</v>
      </c>
      <c r="L392" s="33">
        <v>0.33333333333333331</v>
      </c>
      <c r="M392" s="41" t="s">
        <v>410</v>
      </c>
      <c r="N392" s="1" t="s">
        <v>38</v>
      </c>
      <c r="O392" s="26" t="s">
        <v>42</v>
      </c>
      <c r="P392" s="27">
        <v>3.2258064516129035</v>
      </c>
      <c r="Q392" s="33">
        <v>0.33333333333333331</v>
      </c>
      <c r="R392" s="55" t="s">
        <v>37</v>
      </c>
      <c r="S392" s="26" t="s">
        <v>38</v>
      </c>
      <c r="T392" s="26" t="s">
        <v>39</v>
      </c>
      <c r="U392" s="27">
        <v>0.95238095238095233</v>
      </c>
      <c r="V392" s="33">
        <v>0.33333333333333331</v>
      </c>
      <c r="W392" s="26" t="s">
        <v>408</v>
      </c>
      <c r="X392" s="26" t="s">
        <v>409</v>
      </c>
      <c r="Y392" s="26" t="s">
        <v>39</v>
      </c>
      <c r="Z392" s="27">
        <v>0.94339622641509424</v>
      </c>
      <c r="AA392" s="33">
        <v>0.33333333333333331</v>
      </c>
      <c r="AB392" s="26" t="s">
        <v>411</v>
      </c>
      <c r="AC392" s="26" t="s">
        <v>38</v>
      </c>
      <c r="AD392" s="26" t="s">
        <v>42</v>
      </c>
      <c r="AE392" s="27">
        <v>2.5</v>
      </c>
      <c r="AF392" s="36">
        <v>0.33333333333333331</v>
      </c>
      <c r="AG392" s="31">
        <v>0</v>
      </c>
      <c r="AH392" t="s">
        <v>44</v>
      </c>
    </row>
    <row r="393" spans="1:34">
      <c r="A393" s="15" t="s">
        <v>451</v>
      </c>
      <c r="B393" s="8" t="s">
        <v>407</v>
      </c>
      <c r="C393" s="41" t="s">
        <v>37</v>
      </c>
      <c r="D393" s="1" t="s">
        <v>38</v>
      </c>
      <c r="E393" s="26" t="s">
        <v>39</v>
      </c>
      <c r="F393" s="27">
        <v>0.95238095238095233</v>
      </c>
      <c r="G393" s="33">
        <v>0.33333333333333331</v>
      </c>
      <c r="H393" s="41" t="s">
        <v>408</v>
      </c>
      <c r="I393" s="1" t="s">
        <v>409</v>
      </c>
      <c r="J393" s="26" t="s">
        <v>39</v>
      </c>
      <c r="K393" s="27">
        <v>0.94339622641509424</v>
      </c>
      <c r="L393" s="33">
        <v>0.33333333333333331</v>
      </c>
      <c r="M393" s="41" t="s">
        <v>410</v>
      </c>
      <c r="N393" s="1" t="s">
        <v>38</v>
      </c>
      <c r="O393" s="26" t="s">
        <v>42</v>
      </c>
      <c r="P393" s="27">
        <v>3.2258064516129035</v>
      </c>
      <c r="Q393" s="33">
        <v>0.33333333333333331</v>
      </c>
      <c r="R393" s="55" t="s">
        <v>37</v>
      </c>
      <c r="S393" s="26" t="s">
        <v>38</v>
      </c>
      <c r="T393" s="26" t="s">
        <v>39</v>
      </c>
      <c r="U393" s="27">
        <v>0.95238095238095233</v>
      </c>
      <c r="V393" s="33">
        <v>0.33333333333333331</v>
      </c>
      <c r="W393" s="26" t="s">
        <v>408</v>
      </c>
      <c r="X393" s="26" t="s">
        <v>409</v>
      </c>
      <c r="Y393" s="26" t="s">
        <v>39</v>
      </c>
      <c r="Z393" s="27">
        <v>0.94339622641509424</v>
      </c>
      <c r="AA393" s="33">
        <v>0.33333333333333331</v>
      </c>
      <c r="AB393" s="26" t="s">
        <v>411</v>
      </c>
      <c r="AC393" s="26" t="s">
        <v>38</v>
      </c>
      <c r="AD393" s="26" t="s">
        <v>42</v>
      </c>
      <c r="AE393" s="27">
        <v>2.5</v>
      </c>
      <c r="AF393" s="36">
        <v>0.33333333333333331</v>
      </c>
      <c r="AG393" s="31">
        <v>0</v>
      </c>
      <c r="AH393" t="s">
        <v>44</v>
      </c>
    </row>
    <row r="394" spans="1:34">
      <c r="A394" s="15" t="s">
        <v>452</v>
      </c>
      <c r="B394" s="8" t="s">
        <v>407</v>
      </c>
      <c r="C394" s="41" t="s">
        <v>37</v>
      </c>
      <c r="D394" s="1" t="s">
        <v>38</v>
      </c>
      <c r="E394" s="26" t="s">
        <v>39</v>
      </c>
      <c r="F394" s="27">
        <v>0.95238095238095233</v>
      </c>
      <c r="G394" s="33">
        <v>0.33333333333333331</v>
      </c>
      <c r="H394" s="41" t="s">
        <v>408</v>
      </c>
      <c r="I394" s="1" t="s">
        <v>409</v>
      </c>
      <c r="J394" s="26" t="s">
        <v>39</v>
      </c>
      <c r="K394" s="27">
        <v>0.94339622641509424</v>
      </c>
      <c r="L394" s="33">
        <v>0.33333333333333331</v>
      </c>
      <c r="M394" s="41" t="s">
        <v>410</v>
      </c>
      <c r="N394" s="1" t="s">
        <v>38</v>
      </c>
      <c r="O394" s="26" t="s">
        <v>42</v>
      </c>
      <c r="P394" s="27">
        <v>3.2258064516129035</v>
      </c>
      <c r="Q394" s="33">
        <v>0.33333333333333331</v>
      </c>
      <c r="R394" s="55" t="s">
        <v>37</v>
      </c>
      <c r="S394" s="26" t="s">
        <v>38</v>
      </c>
      <c r="T394" s="26" t="s">
        <v>39</v>
      </c>
      <c r="U394" s="27">
        <v>0.95238095238095233</v>
      </c>
      <c r="V394" s="33">
        <v>0.33333333333333331</v>
      </c>
      <c r="W394" s="26" t="s">
        <v>408</v>
      </c>
      <c r="X394" s="26" t="s">
        <v>409</v>
      </c>
      <c r="Y394" s="26" t="s">
        <v>39</v>
      </c>
      <c r="Z394" s="27">
        <v>0.94339622641509424</v>
      </c>
      <c r="AA394" s="33">
        <v>0.33333333333333331</v>
      </c>
      <c r="AB394" s="26" t="s">
        <v>411</v>
      </c>
      <c r="AC394" s="26" t="s">
        <v>38</v>
      </c>
      <c r="AD394" s="26" t="s">
        <v>42</v>
      </c>
      <c r="AE394" s="27">
        <v>2.5</v>
      </c>
      <c r="AF394" s="36">
        <v>0.33333333333333331</v>
      </c>
      <c r="AG394" s="31">
        <v>0</v>
      </c>
      <c r="AH394" t="s">
        <v>44</v>
      </c>
    </row>
    <row r="395" spans="1:34">
      <c r="A395" s="15" t="s">
        <v>453</v>
      </c>
      <c r="B395" s="8" t="s">
        <v>407</v>
      </c>
      <c r="C395" s="41" t="s">
        <v>37</v>
      </c>
      <c r="D395" s="1" t="s">
        <v>38</v>
      </c>
      <c r="E395" s="26" t="s">
        <v>39</v>
      </c>
      <c r="F395" s="27">
        <v>0.95238095238095233</v>
      </c>
      <c r="G395" s="33">
        <v>0.33333333333333331</v>
      </c>
      <c r="H395" s="41" t="s">
        <v>408</v>
      </c>
      <c r="I395" s="1" t="s">
        <v>409</v>
      </c>
      <c r="J395" s="26" t="s">
        <v>39</v>
      </c>
      <c r="K395" s="27">
        <v>0.94339622641509424</v>
      </c>
      <c r="L395" s="33">
        <v>0.33333333333333331</v>
      </c>
      <c r="M395" s="41" t="s">
        <v>410</v>
      </c>
      <c r="N395" s="1" t="s">
        <v>38</v>
      </c>
      <c r="O395" s="26" t="s">
        <v>42</v>
      </c>
      <c r="P395" s="27">
        <v>3.2258064516129035</v>
      </c>
      <c r="Q395" s="33">
        <v>0.33333333333333331</v>
      </c>
      <c r="R395" s="55" t="s">
        <v>37</v>
      </c>
      <c r="S395" s="26" t="s">
        <v>38</v>
      </c>
      <c r="T395" s="26" t="s">
        <v>39</v>
      </c>
      <c r="U395" s="27">
        <v>0.95238095238095233</v>
      </c>
      <c r="V395" s="33">
        <v>0.33333333333333331</v>
      </c>
      <c r="W395" s="26" t="s">
        <v>408</v>
      </c>
      <c r="X395" s="26" t="s">
        <v>409</v>
      </c>
      <c r="Y395" s="26" t="s">
        <v>39</v>
      </c>
      <c r="Z395" s="27">
        <v>0.94339622641509424</v>
      </c>
      <c r="AA395" s="33">
        <v>0.33333333333333331</v>
      </c>
      <c r="AB395" s="26" t="s">
        <v>411</v>
      </c>
      <c r="AC395" s="26" t="s">
        <v>38</v>
      </c>
      <c r="AD395" s="26" t="s">
        <v>42</v>
      </c>
      <c r="AE395" s="27">
        <v>2.5</v>
      </c>
      <c r="AF395" s="36">
        <v>0.33333333333333331</v>
      </c>
      <c r="AG395" s="31">
        <v>1</v>
      </c>
      <c r="AH395" s="1" t="s">
        <v>73</v>
      </c>
    </row>
    <row r="396" spans="1:34">
      <c r="A396" s="15" t="s">
        <v>454</v>
      </c>
      <c r="B396" s="8" t="s">
        <v>407</v>
      </c>
      <c r="C396" s="41" t="s">
        <v>37</v>
      </c>
      <c r="D396" s="1" t="s">
        <v>38</v>
      </c>
      <c r="E396" s="26" t="s">
        <v>39</v>
      </c>
      <c r="F396" s="27">
        <v>0.95238095238095233</v>
      </c>
      <c r="G396" s="33">
        <v>0.33333333333333331</v>
      </c>
      <c r="H396" s="41" t="s">
        <v>408</v>
      </c>
      <c r="I396" s="1" t="s">
        <v>409</v>
      </c>
      <c r="J396" s="26" t="s">
        <v>39</v>
      </c>
      <c r="K396" s="27">
        <v>0.94339622641509424</v>
      </c>
      <c r="L396" s="33">
        <v>0.33333333333333331</v>
      </c>
      <c r="M396" s="41" t="s">
        <v>410</v>
      </c>
      <c r="N396" s="1" t="s">
        <v>38</v>
      </c>
      <c r="O396" s="26" t="s">
        <v>42</v>
      </c>
      <c r="P396" s="27">
        <v>3.2258064516129035</v>
      </c>
      <c r="Q396" s="33">
        <v>0.33333333333333331</v>
      </c>
      <c r="R396" s="55" t="s">
        <v>37</v>
      </c>
      <c r="S396" s="26" t="s">
        <v>38</v>
      </c>
      <c r="T396" s="26" t="s">
        <v>39</v>
      </c>
      <c r="U396" s="27">
        <v>0.95238095238095233</v>
      </c>
      <c r="V396" s="33">
        <v>0.33333333333333331</v>
      </c>
      <c r="W396" s="26" t="s">
        <v>408</v>
      </c>
      <c r="X396" s="26" t="s">
        <v>409</v>
      </c>
      <c r="Y396" s="26" t="s">
        <v>39</v>
      </c>
      <c r="Z396" s="27">
        <v>0.94339622641509424</v>
      </c>
      <c r="AA396" s="33">
        <v>0.33333333333333331</v>
      </c>
      <c r="AB396" s="26" t="s">
        <v>411</v>
      </c>
      <c r="AC396" s="26" t="s">
        <v>38</v>
      </c>
      <c r="AD396" s="26" t="s">
        <v>42</v>
      </c>
      <c r="AE396" s="27">
        <v>2.5</v>
      </c>
      <c r="AF396" s="36">
        <v>0.33333333333333331</v>
      </c>
      <c r="AG396" s="31">
        <v>1</v>
      </c>
      <c r="AH396" s="1" t="s">
        <v>73</v>
      </c>
    </row>
    <row r="397" spans="1:34">
      <c r="A397" s="15" t="s">
        <v>455</v>
      </c>
      <c r="B397" s="8" t="s">
        <v>407</v>
      </c>
      <c r="C397" s="41" t="s">
        <v>37</v>
      </c>
      <c r="D397" s="1" t="s">
        <v>38</v>
      </c>
      <c r="E397" s="26" t="s">
        <v>39</v>
      </c>
      <c r="F397" s="27">
        <v>0.95238095238095233</v>
      </c>
      <c r="G397" s="33">
        <v>0.33333333333333331</v>
      </c>
      <c r="H397" s="41" t="s">
        <v>408</v>
      </c>
      <c r="I397" s="1" t="s">
        <v>409</v>
      </c>
      <c r="J397" s="26" t="s">
        <v>39</v>
      </c>
      <c r="K397" s="27">
        <v>0.94339622641509424</v>
      </c>
      <c r="L397" s="33">
        <v>0.33333333333333331</v>
      </c>
      <c r="M397" s="41" t="s">
        <v>410</v>
      </c>
      <c r="N397" s="1" t="s">
        <v>38</v>
      </c>
      <c r="O397" s="26" t="s">
        <v>42</v>
      </c>
      <c r="P397" s="27">
        <v>3.2258064516129035</v>
      </c>
      <c r="Q397" s="33">
        <v>0.33333333333333331</v>
      </c>
      <c r="R397" s="55" t="s">
        <v>37</v>
      </c>
      <c r="S397" s="26" t="s">
        <v>38</v>
      </c>
      <c r="T397" s="26" t="s">
        <v>39</v>
      </c>
      <c r="U397" s="27">
        <v>0.95238095238095233</v>
      </c>
      <c r="V397" s="33">
        <v>0.33333333333333331</v>
      </c>
      <c r="W397" s="26" t="s">
        <v>408</v>
      </c>
      <c r="X397" s="26" t="s">
        <v>409</v>
      </c>
      <c r="Y397" s="26" t="s">
        <v>39</v>
      </c>
      <c r="Z397" s="27">
        <v>0.94339622641509424</v>
      </c>
      <c r="AA397" s="33">
        <v>0.33333333333333331</v>
      </c>
      <c r="AB397" s="26" t="s">
        <v>411</v>
      </c>
      <c r="AC397" s="26" t="s">
        <v>38</v>
      </c>
      <c r="AD397" s="26" t="s">
        <v>42</v>
      </c>
      <c r="AE397" s="27">
        <v>2.5</v>
      </c>
      <c r="AF397" s="36">
        <v>0.33333333333333331</v>
      </c>
      <c r="AG397" s="31">
        <v>1</v>
      </c>
      <c r="AH397" s="1" t="s">
        <v>73</v>
      </c>
    </row>
    <row r="398" spans="1:34">
      <c r="A398" s="15" t="s">
        <v>456</v>
      </c>
      <c r="B398" s="8" t="s">
        <v>407</v>
      </c>
      <c r="C398" s="41" t="s">
        <v>37</v>
      </c>
      <c r="D398" s="1" t="s">
        <v>38</v>
      </c>
      <c r="E398" s="26" t="s">
        <v>39</v>
      </c>
      <c r="F398" s="27">
        <v>0.95238095238095233</v>
      </c>
      <c r="G398" s="33">
        <v>0.33333333333333331</v>
      </c>
      <c r="H398" s="41" t="s">
        <v>408</v>
      </c>
      <c r="I398" s="1" t="s">
        <v>409</v>
      </c>
      <c r="J398" s="26" t="s">
        <v>39</v>
      </c>
      <c r="K398" s="27">
        <v>0.94339622641509424</v>
      </c>
      <c r="L398" s="33">
        <v>0.33333333333333331</v>
      </c>
      <c r="M398" s="41" t="s">
        <v>410</v>
      </c>
      <c r="N398" s="1" t="s">
        <v>38</v>
      </c>
      <c r="O398" s="26" t="s">
        <v>42</v>
      </c>
      <c r="P398" s="27">
        <v>3.2258064516129035</v>
      </c>
      <c r="Q398" s="33">
        <v>0.33333333333333331</v>
      </c>
      <c r="R398" s="55" t="s">
        <v>37</v>
      </c>
      <c r="S398" s="26" t="s">
        <v>38</v>
      </c>
      <c r="T398" s="26" t="s">
        <v>39</v>
      </c>
      <c r="U398" s="27">
        <v>0.95238095238095233</v>
      </c>
      <c r="V398" s="33">
        <v>0.33333333333333331</v>
      </c>
      <c r="W398" s="26" t="s">
        <v>408</v>
      </c>
      <c r="X398" s="26" t="s">
        <v>409</v>
      </c>
      <c r="Y398" s="26" t="s">
        <v>39</v>
      </c>
      <c r="Z398" s="27">
        <v>0.94339622641509424</v>
      </c>
      <c r="AA398" s="33">
        <v>0.33333333333333331</v>
      </c>
      <c r="AB398" s="26" t="s">
        <v>411</v>
      </c>
      <c r="AC398" s="26" t="s">
        <v>38</v>
      </c>
      <c r="AD398" s="26" t="s">
        <v>42</v>
      </c>
      <c r="AE398" s="27">
        <v>2.5</v>
      </c>
      <c r="AF398" s="36">
        <v>0.33333333333333331</v>
      </c>
      <c r="AG398" s="31">
        <v>1</v>
      </c>
      <c r="AH398" s="1" t="s">
        <v>73</v>
      </c>
    </row>
    <row r="399" spans="1:34">
      <c r="A399" s="15" t="s">
        <v>457</v>
      </c>
      <c r="B399" s="8" t="s">
        <v>407</v>
      </c>
      <c r="C399" s="41" t="s">
        <v>37</v>
      </c>
      <c r="D399" s="1" t="s">
        <v>38</v>
      </c>
      <c r="E399" s="26" t="s">
        <v>39</v>
      </c>
      <c r="F399" s="27">
        <v>0.95238095238095233</v>
      </c>
      <c r="G399" s="33">
        <v>0.33333333333333331</v>
      </c>
      <c r="H399" s="41" t="s">
        <v>408</v>
      </c>
      <c r="I399" s="1" t="s">
        <v>409</v>
      </c>
      <c r="J399" s="26" t="s">
        <v>39</v>
      </c>
      <c r="K399" s="27">
        <v>0.94339622641509424</v>
      </c>
      <c r="L399" s="33">
        <v>0.33333333333333331</v>
      </c>
      <c r="M399" s="41" t="s">
        <v>410</v>
      </c>
      <c r="N399" s="1" t="s">
        <v>38</v>
      </c>
      <c r="O399" s="26" t="s">
        <v>42</v>
      </c>
      <c r="P399" s="27">
        <v>3.2258064516129035</v>
      </c>
      <c r="Q399" s="33">
        <v>0.33333333333333331</v>
      </c>
      <c r="R399" s="55" t="s">
        <v>37</v>
      </c>
      <c r="S399" s="26" t="s">
        <v>38</v>
      </c>
      <c r="T399" s="26" t="s">
        <v>39</v>
      </c>
      <c r="U399" s="27">
        <v>0.95238095238095233</v>
      </c>
      <c r="V399" s="33">
        <v>0.33333333333333331</v>
      </c>
      <c r="W399" s="26" t="s">
        <v>408</v>
      </c>
      <c r="X399" s="26" t="s">
        <v>409</v>
      </c>
      <c r="Y399" s="26" t="s">
        <v>39</v>
      </c>
      <c r="Z399" s="27">
        <v>0.94339622641509424</v>
      </c>
      <c r="AA399" s="33">
        <v>0.33333333333333331</v>
      </c>
      <c r="AB399" s="26" t="s">
        <v>411</v>
      </c>
      <c r="AC399" s="26" t="s">
        <v>38</v>
      </c>
      <c r="AD399" s="26" t="s">
        <v>42</v>
      </c>
      <c r="AE399" s="27">
        <v>2.5</v>
      </c>
      <c r="AF399" s="36">
        <v>0.33333333333333331</v>
      </c>
      <c r="AG399" s="31">
        <v>1</v>
      </c>
      <c r="AH399" s="1" t="s">
        <v>73</v>
      </c>
    </row>
    <row r="400" spans="1:34">
      <c r="A400" s="15" t="s">
        <v>458</v>
      </c>
      <c r="B400" s="8" t="s">
        <v>407</v>
      </c>
      <c r="C400" s="41" t="s">
        <v>37</v>
      </c>
      <c r="D400" s="1" t="s">
        <v>38</v>
      </c>
      <c r="E400" s="26" t="s">
        <v>39</v>
      </c>
      <c r="F400" s="27">
        <v>0.95238095238095233</v>
      </c>
      <c r="G400" s="33">
        <v>0.33333333333333331</v>
      </c>
      <c r="H400" s="41" t="s">
        <v>408</v>
      </c>
      <c r="I400" s="1" t="s">
        <v>409</v>
      </c>
      <c r="J400" s="26" t="s">
        <v>39</v>
      </c>
      <c r="K400" s="27">
        <v>0.94339622641509424</v>
      </c>
      <c r="L400" s="33">
        <v>0.33333333333333331</v>
      </c>
      <c r="M400" s="41" t="s">
        <v>410</v>
      </c>
      <c r="N400" s="1" t="s">
        <v>38</v>
      </c>
      <c r="O400" s="26" t="s">
        <v>42</v>
      </c>
      <c r="P400" s="27">
        <v>3.2258064516129035</v>
      </c>
      <c r="Q400" s="33">
        <v>0.33333333333333331</v>
      </c>
      <c r="R400" s="55" t="s">
        <v>37</v>
      </c>
      <c r="S400" s="26" t="s">
        <v>38</v>
      </c>
      <c r="T400" s="26" t="s">
        <v>39</v>
      </c>
      <c r="U400" s="27">
        <v>0.95238095238095233</v>
      </c>
      <c r="V400" s="33">
        <v>0.33333333333333331</v>
      </c>
      <c r="W400" s="26" t="s">
        <v>408</v>
      </c>
      <c r="X400" s="26" t="s">
        <v>409</v>
      </c>
      <c r="Y400" s="26" t="s">
        <v>39</v>
      </c>
      <c r="Z400" s="27">
        <v>0.94339622641509424</v>
      </c>
      <c r="AA400" s="33">
        <v>0.33333333333333331</v>
      </c>
      <c r="AB400" s="26" t="s">
        <v>411</v>
      </c>
      <c r="AC400" s="26" t="s">
        <v>38</v>
      </c>
      <c r="AD400" s="26" t="s">
        <v>42</v>
      </c>
      <c r="AE400" s="27">
        <v>2.5</v>
      </c>
      <c r="AF400" s="36">
        <v>0.33333333333333331</v>
      </c>
      <c r="AG400" s="31">
        <v>1</v>
      </c>
      <c r="AH400" s="1" t="s">
        <v>73</v>
      </c>
    </row>
    <row r="401" spans="1:34">
      <c r="A401" s="15" t="s">
        <v>459</v>
      </c>
      <c r="B401" s="8" t="s">
        <v>407</v>
      </c>
      <c r="C401" s="41" t="s">
        <v>37</v>
      </c>
      <c r="D401" s="1" t="s">
        <v>38</v>
      </c>
      <c r="E401" s="26" t="s">
        <v>39</v>
      </c>
      <c r="F401" s="27">
        <v>0.95238095238095233</v>
      </c>
      <c r="G401" s="33">
        <v>0.33333333333333331</v>
      </c>
      <c r="H401" s="41" t="s">
        <v>408</v>
      </c>
      <c r="I401" s="1" t="s">
        <v>409</v>
      </c>
      <c r="J401" s="26" t="s">
        <v>39</v>
      </c>
      <c r="K401" s="27">
        <v>0.94339622641509424</v>
      </c>
      <c r="L401" s="33">
        <v>0.33333333333333331</v>
      </c>
      <c r="M401" s="41" t="s">
        <v>410</v>
      </c>
      <c r="N401" s="1" t="s">
        <v>38</v>
      </c>
      <c r="O401" s="26" t="s">
        <v>42</v>
      </c>
      <c r="P401" s="27">
        <v>3.2258064516129035</v>
      </c>
      <c r="Q401" s="33">
        <v>0.33333333333333331</v>
      </c>
      <c r="R401" s="55" t="s">
        <v>37</v>
      </c>
      <c r="S401" s="26" t="s">
        <v>38</v>
      </c>
      <c r="T401" s="26" t="s">
        <v>39</v>
      </c>
      <c r="U401" s="27">
        <v>0.95238095238095233</v>
      </c>
      <c r="V401" s="33">
        <v>0.33333333333333331</v>
      </c>
      <c r="W401" s="26" t="s">
        <v>408</v>
      </c>
      <c r="X401" s="26" t="s">
        <v>409</v>
      </c>
      <c r="Y401" s="26" t="s">
        <v>39</v>
      </c>
      <c r="Z401" s="27">
        <v>0.94339622641509424</v>
      </c>
      <c r="AA401" s="33">
        <v>0.33333333333333331</v>
      </c>
      <c r="AB401" s="26" t="s">
        <v>411</v>
      </c>
      <c r="AC401" s="26" t="s">
        <v>38</v>
      </c>
      <c r="AD401" s="26" t="s">
        <v>42</v>
      </c>
      <c r="AE401" s="27">
        <v>2.5</v>
      </c>
      <c r="AF401" s="36">
        <v>0.33333333333333331</v>
      </c>
      <c r="AG401" s="31">
        <v>1</v>
      </c>
      <c r="AH401" s="1" t="s">
        <v>73</v>
      </c>
    </row>
    <row r="402" spans="1:34">
      <c r="A402" s="15" t="s">
        <v>460</v>
      </c>
      <c r="B402" s="8" t="s">
        <v>407</v>
      </c>
      <c r="C402" s="41" t="s">
        <v>37</v>
      </c>
      <c r="D402" s="1" t="s">
        <v>38</v>
      </c>
      <c r="E402" s="26" t="s">
        <v>39</v>
      </c>
      <c r="F402" s="27">
        <v>0.95238095238095233</v>
      </c>
      <c r="G402" s="33">
        <v>0.33333333333333331</v>
      </c>
      <c r="H402" s="41" t="s">
        <v>408</v>
      </c>
      <c r="I402" s="1" t="s">
        <v>409</v>
      </c>
      <c r="J402" s="26" t="s">
        <v>39</v>
      </c>
      <c r="K402" s="27">
        <v>0.94339622641509424</v>
      </c>
      <c r="L402" s="33">
        <v>0.33333333333333331</v>
      </c>
      <c r="M402" s="41" t="s">
        <v>410</v>
      </c>
      <c r="N402" s="1" t="s">
        <v>38</v>
      </c>
      <c r="O402" s="26" t="s">
        <v>42</v>
      </c>
      <c r="P402" s="27">
        <v>3.2258064516129035</v>
      </c>
      <c r="Q402" s="33">
        <v>0.33333333333333331</v>
      </c>
      <c r="R402" s="55" t="s">
        <v>37</v>
      </c>
      <c r="S402" s="26" t="s">
        <v>38</v>
      </c>
      <c r="T402" s="26" t="s">
        <v>39</v>
      </c>
      <c r="U402" s="27">
        <v>0.95238095238095233</v>
      </c>
      <c r="V402" s="33">
        <v>0.33333333333333331</v>
      </c>
      <c r="W402" s="26" t="s">
        <v>408</v>
      </c>
      <c r="X402" s="26" t="s">
        <v>409</v>
      </c>
      <c r="Y402" s="26" t="s">
        <v>39</v>
      </c>
      <c r="Z402" s="27">
        <v>0.94339622641509424</v>
      </c>
      <c r="AA402" s="33">
        <v>0.33333333333333331</v>
      </c>
      <c r="AB402" s="26" t="s">
        <v>411</v>
      </c>
      <c r="AC402" s="26" t="s">
        <v>38</v>
      </c>
      <c r="AD402" s="26" t="s">
        <v>42</v>
      </c>
      <c r="AE402" s="27">
        <v>2.5</v>
      </c>
      <c r="AF402" s="36">
        <v>0.33333333333333331</v>
      </c>
      <c r="AG402" s="31">
        <v>1</v>
      </c>
      <c r="AH402" s="1" t="s">
        <v>73</v>
      </c>
    </row>
    <row r="403" spans="1:34">
      <c r="A403" s="15" t="s">
        <v>461</v>
      </c>
      <c r="B403" s="8" t="s">
        <v>407</v>
      </c>
      <c r="C403" s="41" t="s">
        <v>37</v>
      </c>
      <c r="D403" s="1" t="s">
        <v>38</v>
      </c>
      <c r="E403" s="26" t="s">
        <v>39</v>
      </c>
      <c r="F403" s="27">
        <v>0.95238095238095233</v>
      </c>
      <c r="G403" s="33">
        <v>0.33333333333333331</v>
      </c>
      <c r="H403" s="41" t="s">
        <v>408</v>
      </c>
      <c r="I403" s="1" t="s">
        <v>409</v>
      </c>
      <c r="J403" s="26" t="s">
        <v>39</v>
      </c>
      <c r="K403" s="27">
        <v>0.94339622641509424</v>
      </c>
      <c r="L403" s="33">
        <v>0.33333333333333331</v>
      </c>
      <c r="M403" s="41" t="s">
        <v>410</v>
      </c>
      <c r="N403" s="1" t="s">
        <v>38</v>
      </c>
      <c r="O403" s="26" t="s">
        <v>42</v>
      </c>
      <c r="P403" s="27">
        <v>3.2258064516129035</v>
      </c>
      <c r="Q403" s="33">
        <v>0.33333333333333331</v>
      </c>
      <c r="R403" s="55" t="s">
        <v>37</v>
      </c>
      <c r="S403" s="26" t="s">
        <v>38</v>
      </c>
      <c r="T403" s="26" t="s">
        <v>39</v>
      </c>
      <c r="U403" s="27">
        <v>0.95238095238095233</v>
      </c>
      <c r="V403" s="33">
        <v>0.33333333333333331</v>
      </c>
      <c r="W403" s="26" t="s">
        <v>408</v>
      </c>
      <c r="X403" s="26" t="s">
        <v>409</v>
      </c>
      <c r="Y403" s="26" t="s">
        <v>39</v>
      </c>
      <c r="Z403" s="27">
        <v>0.94339622641509424</v>
      </c>
      <c r="AA403" s="33">
        <v>0.33333333333333331</v>
      </c>
      <c r="AB403" s="26" t="s">
        <v>411</v>
      </c>
      <c r="AC403" s="26" t="s">
        <v>38</v>
      </c>
      <c r="AD403" s="26" t="s">
        <v>42</v>
      </c>
      <c r="AE403" s="27">
        <v>2.5</v>
      </c>
      <c r="AF403" s="36">
        <v>0.33333333333333331</v>
      </c>
      <c r="AG403" s="31">
        <v>1</v>
      </c>
      <c r="AH403" s="1" t="s">
        <v>73</v>
      </c>
    </row>
    <row r="404" spans="1:34">
      <c r="A404" s="15" t="s">
        <v>462</v>
      </c>
      <c r="B404" s="8" t="s">
        <v>407</v>
      </c>
      <c r="C404" s="41" t="s">
        <v>37</v>
      </c>
      <c r="D404" s="1" t="s">
        <v>38</v>
      </c>
      <c r="E404" s="26" t="s">
        <v>39</v>
      </c>
      <c r="F404" s="27">
        <v>0.95238095238095233</v>
      </c>
      <c r="G404" s="33">
        <v>0.33333333333333331</v>
      </c>
      <c r="H404" s="41" t="s">
        <v>408</v>
      </c>
      <c r="I404" s="1" t="s">
        <v>409</v>
      </c>
      <c r="J404" s="26" t="s">
        <v>39</v>
      </c>
      <c r="K404" s="27">
        <v>0.94339622641509424</v>
      </c>
      <c r="L404" s="33">
        <v>0.33333333333333331</v>
      </c>
      <c r="M404" s="41" t="s">
        <v>410</v>
      </c>
      <c r="N404" s="1" t="s">
        <v>38</v>
      </c>
      <c r="O404" s="26" t="s">
        <v>42</v>
      </c>
      <c r="P404" s="27">
        <v>3.2258064516129035</v>
      </c>
      <c r="Q404" s="33">
        <v>0.33333333333333331</v>
      </c>
      <c r="R404" s="55" t="s">
        <v>37</v>
      </c>
      <c r="S404" s="26" t="s">
        <v>38</v>
      </c>
      <c r="T404" s="26" t="s">
        <v>39</v>
      </c>
      <c r="U404" s="27">
        <v>0.95238095238095233</v>
      </c>
      <c r="V404" s="33">
        <v>0.33333333333333331</v>
      </c>
      <c r="W404" s="26" t="s">
        <v>408</v>
      </c>
      <c r="X404" s="26" t="s">
        <v>409</v>
      </c>
      <c r="Y404" s="26" t="s">
        <v>39</v>
      </c>
      <c r="Z404" s="27">
        <v>0.94339622641509424</v>
      </c>
      <c r="AA404" s="33">
        <v>0.33333333333333331</v>
      </c>
      <c r="AB404" s="26" t="s">
        <v>411</v>
      </c>
      <c r="AC404" s="26" t="s">
        <v>38</v>
      </c>
      <c r="AD404" s="26" t="s">
        <v>42</v>
      </c>
      <c r="AE404" s="27">
        <v>2.5</v>
      </c>
      <c r="AF404" s="36">
        <v>0.33333333333333331</v>
      </c>
      <c r="AG404" s="31">
        <v>1</v>
      </c>
      <c r="AH404" s="1" t="s">
        <v>73</v>
      </c>
    </row>
    <row r="405" spans="1:34">
      <c r="A405" s="15" t="s">
        <v>463</v>
      </c>
      <c r="B405" s="8" t="s">
        <v>407</v>
      </c>
      <c r="C405" s="41" t="s">
        <v>37</v>
      </c>
      <c r="D405" s="1" t="s">
        <v>38</v>
      </c>
      <c r="E405" s="26" t="s">
        <v>39</v>
      </c>
      <c r="F405" s="27">
        <v>0.95238095238095233</v>
      </c>
      <c r="G405" s="33">
        <v>0.33333333333333331</v>
      </c>
      <c r="H405" s="41" t="s">
        <v>408</v>
      </c>
      <c r="I405" s="1" t="s">
        <v>409</v>
      </c>
      <c r="J405" s="26" t="s">
        <v>39</v>
      </c>
      <c r="K405" s="27">
        <v>0.94339622641509424</v>
      </c>
      <c r="L405" s="33">
        <v>0.33333333333333331</v>
      </c>
      <c r="M405" s="41" t="s">
        <v>410</v>
      </c>
      <c r="N405" s="1" t="s">
        <v>38</v>
      </c>
      <c r="O405" s="26" t="s">
        <v>42</v>
      </c>
      <c r="P405" s="27">
        <v>3.2258064516129035</v>
      </c>
      <c r="Q405" s="33">
        <v>0.33333333333333331</v>
      </c>
      <c r="R405" s="55" t="s">
        <v>37</v>
      </c>
      <c r="S405" s="26" t="s">
        <v>38</v>
      </c>
      <c r="T405" s="26" t="s">
        <v>39</v>
      </c>
      <c r="U405" s="27">
        <v>0.95238095238095233</v>
      </c>
      <c r="V405" s="33">
        <v>0.33333333333333331</v>
      </c>
      <c r="W405" s="26" t="s">
        <v>408</v>
      </c>
      <c r="X405" s="26" t="s">
        <v>409</v>
      </c>
      <c r="Y405" s="26" t="s">
        <v>39</v>
      </c>
      <c r="Z405" s="27">
        <v>0.94339622641509424</v>
      </c>
      <c r="AA405" s="33">
        <v>0.33333333333333331</v>
      </c>
      <c r="AB405" s="26" t="s">
        <v>411</v>
      </c>
      <c r="AC405" s="26" t="s">
        <v>38</v>
      </c>
      <c r="AD405" s="26" t="s">
        <v>42</v>
      </c>
      <c r="AE405" s="27">
        <v>2.5</v>
      </c>
      <c r="AF405" s="36">
        <v>0.33333333333333331</v>
      </c>
      <c r="AG405" s="31">
        <v>1</v>
      </c>
      <c r="AH405" s="1" t="s">
        <v>73</v>
      </c>
    </row>
    <row r="406" spans="1:34">
      <c r="A406" s="15" t="s">
        <v>464</v>
      </c>
      <c r="B406" s="8" t="s">
        <v>407</v>
      </c>
      <c r="C406" s="41" t="s">
        <v>37</v>
      </c>
      <c r="D406" s="1" t="s">
        <v>38</v>
      </c>
      <c r="E406" s="26" t="s">
        <v>39</v>
      </c>
      <c r="F406" s="27">
        <v>0.95238095238095233</v>
      </c>
      <c r="G406" s="33">
        <v>0.33333333333333331</v>
      </c>
      <c r="H406" s="41" t="s">
        <v>408</v>
      </c>
      <c r="I406" s="1" t="s">
        <v>409</v>
      </c>
      <c r="J406" s="26" t="s">
        <v>39</v>
      </c>
      <c r="K406" s="27">
        <v>0.94339622641509424</v>
      </c>
      <c r="L406" s="33">
        <v>0.33333333333333331</v>
      </c>
      <c r="M406" s="41" t="s">
        <v>410</v>
      </c>
      <c r="N406" s="1" t="s">
        <v>38</v>
      </c>
      <c r="O406" s="26" t="s">
        <v>42</v>
      </c>
      <c r="P406" s="27">
        <v>3.2258064516129035</v>
      </c>
      <c r="Q406" s="33">
        <v>0.33333333333333331</v>
      </c>
      <c r="R406" s="55" t="s">
        <v>37</v>
      </c>
      <c r="S406" s="26" t="s">
        <v>38</v>
      </c>
      <c r="T406" s="26" t="s">
        <v>39</v>
      </c>
      <c r="U406" s="27">
        <v>0.95238095238095233</v>
      </c>
      <c r="V406" s="33">
        <v>0.33333333333333331</v>
      </c>
      <c r="W406" s="26" t="s">
        <v>408</v>
      </c>
      <c r="X406" s="26" t="s">
        <v>409</v>
      </c>
      <c r="Y406" s="26" t="s">
        <v>39</v>
      </c>
      <c r="Z406" s="27">
        <v>0.94339622641509424</v>
      </c>
      <c r="AA406" s="33">
        <v>0.33333333333333331</v>
      </c>
      <c r="AB406" s="26" t="s">
        <v>411</v>
      </c>
      <c r="AC406" s="26" t="s">
        <v>38</v>
      </c>
      <c r="AD406" s="26" t="s">
        <v>42</v>
      </c>
      <c r="AE406" s="27">
        <v>2.5</v>
      </c>
      <c r="AF406" s="36">
        <v>0.33333333333333331</v>
      </c>
      <c r="AG406" s="31">
        <v>1</v>
      </c>
      <c r="AH406" s="1" t="s">
        <v>73</v>
      </c>
    </row>
    <row r="407" spans="1:34">
      <c r="A407" s="15" t="s">
        <v>465</v>
      </c>
      <c r="B407" s="8" t="s">
        <v>407</v>
      </c>
      <c r="C407" s="41" t="s">
        <v>37</v>
      </c>
      <c r="D407" s="1" t="s">
        <v>38</v>
      </c>
      <c r="E407" s="26" t="s">
        <v>39</v>
      </c>
      <c r="F407" s="27">
        <v>0.95238095238095233</v>
      </c>
      <c r="G407" s="33">
        <v>0.33333333333333331</v>
      </c>
      <c r="H407" s="41" t="s">
        <v>408</v>
      </c>
      <c r="I407" s="1" t="s">
        <v>409</v>
      </c>
      <c r="J407" s="26" t="s">
        <v>39</v>
      </c>
      <c r="K407" s="27">
        <v>0.94339622641509424</v>
      </c>
      <c r="L407" s="33">
        <v>0.33333333333333331</v>
      </c>
      <c r="M407" s="41" t="s">
        <v>410</v>
      </c>
      <c r="N407" s="1" t="s">
        <v>38</v>
      </c>
      <c r="O407" s="26" t="s">
        <v>42</v>
      </c>
      <c r="P407" s="27">
        <v>3.2258064516129035</v>
      </c>
      <c r="Q407" s="33">
        <v>0.33333333333333331</v>
      </c>
      <c r="R407" s="55" t="s">
        <v>37</v>
      </c>
      <c r="S407" s="26" t="s">
        <v>38</v>
      </c>
      <c r="T407" s="26" t="s">
        <v>39</v>
      </c>
      <c r="U407" s="27">
        <v>0.95238095238095233</v>
      </c>
      <c r="V407" s="33">
        <v>0.33333333333333331</v>
      </c>
      <c r="W407" s="26" t="s">
        <v>408</v>
      </c>
      <c r="X407" s="26" t="s">
        <v>409</v>
      </c>
      <c r="Y407" s="26" t="s">
        <v>39</v>
      </c>
      <c r="Z407" s="27">
        <v>0.94339622641509424</v>
      </c>
      <c r="AA407" s="33">
        <v>0.33333333333333331</v>
      </c>
      <c r="AB407" s="26" t="s">
        <v>411</v>
      </c>
      <c r="AC407" s="26" t="s">
        <v>38</v>
      </c>
      <c r="AD407" s="26" t="s">
        <v>42</v>
      </c>
      <c r="AE407" s="27">
        <v>2.5</v>
      </c>
      <c r="AF407" s="36">
        <v>0.33333333333333331</v>
      </c>
      <c r="AG407" s="31">
        <v>1</v>
      </c>
      <c r="AH407" s="1" t="s">
        <v>73</v>
      </c>
    </row>
    <row r="408" spans="1:34">
      <c r="A408" s="15" t="s">
        <v>466</v>
      </c>
      <c r="B408" s="8" t="s">
        <v>407</v>
      </c>
      <c r="C408" s="41" t="s">
        <v>37</v>
      </c>
      <c r="D408" s="1" t="s">
        <v>38</v>
      </c>
      <c r="E408" s="26" t="s">
        <v>39</v>
      </c>
      <c r="F408" s="27">
        <v>0.95238095238095233</v>
      </c>
      <c r="G408" s="33">
        <v>0.33333333333333331</v>
      </c>
      <c r="H408" s="41" t="s">
        <v>408</v>
      </c>
      <c r="I408" s="1" t="s">
        <v>409</v>
      </c>
      <c r="J408" s="26" t="s">
        <v>39</v>
      </c>
      <c r="K408" s="27">
        <v>0.94339622641509424</v>
      </c>
      <c r="L408" s="33">
        <v>0.33333333333333331</v>
      </c>
      <c r="M408" s="41" t="s">
        <v>410</v>
      </c>
      <c r="N408" s="1" t="s">
        <v>38</v>
      </c>
      <c r="O408" s="26" t="s">
        <v>42</v>
      </c>
      <c r="P408" s="27">
        <v>3.2258064516129035</v>
      </c>
      <c r="Q408" s="33">
        <v>0.33333333333333331</v>
      </c>
      <c r="R408" s="55" t="s">
        <v>37</v>
      </c>
      <c r="S408" s="26" t="s">
        <v>38</v>
      </c>
      <c r="T408" s="26" t="s">
        <v>39</v>
      </c>
      <c r="U408" s="27">
        <v>0.95238095238095233</v>
      </c>
      <c r="V408" s="33">
        <v>0.33333333333333331</v>
      </c>
      <c r="W408" s="26" t="s">
        <v>408</v>
      </c>
      <c r="X408" s="26" t="s">
        <v>409</v>
      </c>
      <c r="Y408" s="26" t="s">
        <v>39</v>
      </c>
      <c r="Z408" s="27">
        <v>0.94339622641509424</v>
      </c>
      <c r="AA408" s="33">
        <v>0.33333333333333331</v>
      </c>
      <c r="AB408" s="26" t="s">
        <v>411</v>
      </c>
      <c r="AC408" s="26" t="s">
        <v>38</v>
      </c>
      <c r="AD408" s="26" t="s">
        <v>42</v>
      </c>
      <c r="AE408" s="27">
        <v>2.5</v>
      </c>
      <c r="AF408" s="36">
        <v>0.33333333333333331</v>
      </c>
      <c r="AG408" s="31">
        <v>1</v>
      </c>
      <c r="AH408" s="1" t="s">
        <v>73</v>
      </c>
    </row>
    <row r="409" spans="1:34">
      <c r="A409" s="15" t="s">
        <v>467</v>
      </c>
      <c r="B409" s="8" t="s">
        <v>407</v>
      </c>
      <c r="C409" s="41" t="s">
        <v>37</v>
      </c>
      <c r="D409" s="1" t="s">
        <v>38</v>
      </c>
      <c r="E409" s="26" t="s">
        <v>39</v>
      </c>
      <c r="F409" s="27">
        <v>0.95238095238095233</v>
      </c>
      <c r="G409" s="33">
        <v>0.33333333333333331</v>
      </c>
      <c r="H409" s="41" t="s">
        <v>408</v>
      </c>
      <c r="I409" s="1" t="s">
        <v>409</v>
      </c>
      <c r="J409" s="26" t="s">
        <v>39</v>
      </c>
      <c r="K409" s="27">
        <v>0.94339622641509424</v>
      </c>
      <c r="L409" s="33">
        <v>0.33333333333333331</v>
      </c>
      <c r="M409" s="41" t="s">
        <v>410</v>
      </c>
      <c r="N409" s="1" t="s">
        <v>38</v>
      </c>
      <c r="O409" s="26" t="s">
        <v>42</v>
      </c>
      <c r="P409" s="27">
        <v>3.2258064516129035</v>
      </c>
      <c r="Q409" s="33">
        <v>0.33333333333333331</v>
      </c>
      <c r="R409" s="55" t="s">
        <v>37</v>
      </c>
      <c r="S409" s="26" t="s">
        <v>38</v>
      </c>
      <c r="T409" s="26" t="s">
        <v>39</v>
      </c>
      <c r="U409" s="27">
        <v>0.95238095238095233</v>
      </c>
      <c r="V409" s="33">
        <v>0.33333333333333331</v>
      </c>
      <c r="W409" s="26" t="s">
        <v>408</v>
      </c>
      <c r="X409" s="26" t="s">
        <v>409</v>
      </c>
      <c r="Y409" s="26" t="s">
        <v>39</v>
      </c>
      <c r="Z409" s="27">
        <v>0.94339622641509424</v>
      </c>
      <c r="AA409" s="33">
        <v>0.33333333333333331</v>
      </c>
      <c r="AB409" s="26" t="s">
        <v>411</v>
      </c>
      <c r="AC409" s="26" t="s">
        <v>38</v>
      </c>
      <c r="AD409" s="26" t="s">
        <v>42</v>
      </c>
      <c r="AE409" s="27">
        <v>2.5</v>
      </c>
      <c r="AF409" s="36">
        <v>0.33333333333333331</v>
      </c>
      <c r="AG409" s="31">
        <v>0</v>
      </c>
      <c r="AH409" t="s">
        <v>44</v>
      </c>
    </row>
    <row r="410" spans="1:34">
      <c r="A410" s="15" t="s">
        <v>468</v>
      </c>
      <c r="B410" s="8" t="s">
        <v>407</v>
      </c>
      <c r="C410" s="41" t="s">
        <v>37</v>
      </c>
      <c r="D410" s="1" t="s">
        <v>38</v>
      </c>
      <c r="E410" s="26" t="s">
        <v>39</v>
      </c>
      <c r="F410" s="27">
        <v>0.95238095238095233</v>
      </c>
      <c r="G410" s="33">
        <v>0.33333333333333331</v>
      </c>
      <c r="H410" s="41" t="s">
        <v>408</v>
      </c>
      <c r="I410" s="1" t="s">
        <v>409</v>
      </c>
      <c r="J410" s="26" t="s">
        <v>39</v>
      </c>
      <c r="K410" s="27">
        <v>0.94339622641509424</v>
      </c>
      <c r="L410" s="33">
        <v>0.33333333333333331</v>
      </c>
      <c r="M410" s="41" t="s">
        <v>410</v>
      </c>
      <c r="N410" s="1" t="s">
        <v>38</v>
      </c>
      <c r="O410" s="26" t="s">
        <v>42</v>
      </c>
      <c r="P410" s="27">
        <v>3.2258064516129035</v>
      </c>
      <c r="Q410" s="33">
        <v>0.33333333333333331</v>
      </c>
      <c r="R410" s="55" t="s">
        <v>37</v>
      </c>
      <c r="S410" s="26" t="s">
        <v>38</v>
      </c>
      <c r="T410" s="26" t="s">
        <v>39</v>
      </c>
      <c r="U410" s="27">
        <v>0.95238095238095233</v>
      </c>
      <c r="V410" s="33">
        <v>0.33333333333333331</v>
      </c>
      <c r="W410" s="26" t="s">
        <v>408</v>
      </c>
      <c r="X410" s="26" t="s">
        <v>409</v>
      </c>
      <c r="Y410" s="26" t="s">
        <v>39</v>
      </c>
      <c r="Z410" s="27">
        <v>0.94339622641509424</v>
      </c>
      <c r="AA410" s="33">
        <v>0.33333333333333331</v>
      </c>
      <c r="AB410" s="26" t="s">
        <v>411</v>
      </c>
      <c r="AC410" s="26" t="s">
        <v>38</v>
      </c>
      <c r="AD410" s="26" t="s">
        <v>42</v>
      </c>
      <c r="AE410" s="27">
        <v>2.5</v>
      </c>
      <c r="AF410" s="36">
        <v>0.33333333333333331</v>
      </c>
      <c r="AG410" s="31">
        <v>0</v>
      </c>
      <c r="AH410" t="s">
        <v>44</v>
      </c>
    </row>
    <row r="411" spans="1:34">
      <c r="A411" s="15" t="s">
        <v>469</v>
      </c>
      <c r="B411" s="8" t="s">
        <v>407</v>
      </c>
      <c r="C411" s="41" t="s">
        <v>37</v>
      </c>
      <c r="D411" s="1" t="s">
        <v>38</v>
      </c>
      <c r="E411" s="26" t="s">
        <v>39</v>
      </c>
      <c r="F411" s="27">
        <v>0.95238095238095233</v>
      </c>
      <c r="G411" s="33">
        <v>0.33333333333333331</v>
      </c>
      <c r="H411" s="41" t="s">
        <v>408</v>
      </c>
      <c r="I411" s="1" t="s">
        <v>409</v>
      </c>
      <c r="J411" s="26" t="s">
        <v>39</v>
      </c>
      <c r="K411" s="27">
        <v>0.94339622641509424</v>
      </c>
      <c r="L411" s="33">
        <v>0.33333333333333331</v>
      </c>
      <c r="M411" s="41" t="s">
        <v>410</v>
      </c>
      <c r="N411" s="1" t="s">
        <v>38</v>
      </c>
      <c r="O411" s="26" t="s">
        <v>42</v>
      </c>
      <c r="P411" s="27">
        <v>3.2258064516129035</v>
      </c>
      <c r="Q411" s="33">
        <v>0.33333333333333331</v>
      </c>
      <c r="R411" s="55" t="s">
        <v>37</v>
      </c>
      <c r="S411" s="26" t="s">
        <v>38</v>
      </c>
      <c r="T411" s="26" t="s">
        <v>39</v>
      </c>
      <c r="U411" s="27">
        <v>0.95238095238095233</v>
      </c>
      <c r="V411" s="33">
        <v>0.33333333333333331</v>
      </c>
      <c r="W411" s="26" t="s">
        <v>408</v>
      </c>
      <c r="X411" s="26" t="s">
        <v>409</v>
      </c>
      <c r="Y411" s="26" t="s">
        <v>39</v>
      </c>
      <c r="Z411" s="27">
        <v>0.94339622641509424</v>
      </c>
      <c r="AA411" s="33">
        <v>0.33333333333333331</v>
      </c>
      <c r="AB411" s="26" t="s">
        <v>411</v>
      </c>
      <c r="AC411" s="26" t="s">
        <v>38</v>
      </c>
      <c r="AD411" s="26" t="s">
        <v>42</v>
      </c>
      <c r="AE411" s="27">
        <v>2.5</v>
      </c>
      <c r="AF411" s="36">
        <v>0.33333333333333331</v>
      </c>
      <c r="AG411" s="31">
        <v>0</v>
      </c>
      <c r="AH411" t="s">
        <v>44</v>
      </c>
    </row>
    <row r="412" spans="1:34">
      <c r="A412" s="15" t="s">
        <v>470</v>
      </c>
      <c r="B412" s="8" t="s">
        <v>407</v>
      </c>
      <c r="C412" s="41" t="s">
        <v>37</v>
      </c>
      <c r="D412" s="1" t="s">
        <v>38</v>
      </c>
      <c r="E412" s="26" t="s">
        <v>39</v>
      </c>
      <c r="F412" s="27">
        <v>0.95238095238095233</v>
      </c>
      <c r="G412" s="33">
        <v>0.33333333333333331</v>
      </c>
      <c r="H412" s="41" t="s">
        <v>408</v>
      </c>
      <c r="I412" s="1" t="s">
        <v>409</v>
      </c>
      <c r="J412" s="26" t="s">
        <v>39</v>
      </c>
      <c r="K412" s="27">
        <v>0.94339622641509424</v>
      </c>
      <c r="L412" s="33">
        <v>0.33333333333333331</v>
      </c>
      <c r="M412" s="41" t="s">
        <v>410</v>
      </c>
      <c r="N412" s="1" t="s">
        <v>38</v>
      </c>
      <c r="O412" s="26" t="s">
        <v>42</v>
      </c>
      <c r="P412" s="27">
        <v>3.2258064516129035</v>
      </c>
      <c r="Q412" s="33">
        <v>0.33333333333333331</v>
      </c>
      <c r="R412" s="55" t="s">
        <v>37</v>
      </c>
      <c r="S412" s="26" t="s">
        <v>38</v>
      </c>
      <c r="T412" s="26" t="s">
        <v>39</v>
      </c>
      <c r="U412" s="27">
        <v>0.95238095238095233</v>
      </c>
      <c r="V412" s="33">
        <v>0.33333333333333331</v>
      </c>
      <c r="W412" s="26" t="s">
        <v>408</v>
      </c>
      <c r="X412" s="26" t="s">
        <v>409</v>
      </c>
      <c r="Y412" s="26" t="s">
        <v>39</v>
      </c>
      <c r="Z412" s="27">
        <v>0.94339622641509424</v>
      </c>
      <c r="AA412" s="33">
        <v>0.33333333333333331</v>
      </c>
      <c r="AB412" s="26" t="s">
        <v>411</v>
      </c>
      <c r="AC412" s="26" t="s">
        <v>38</v>
      </c>
      <c r="AD412" s="26" t="s">
        <v>42</v>
      </c>
      <c r="AE412" s="27">
        <v>2.5</v>
      </c>
      <c r="AF412" s="36">
        <v>0.33333333333333331</v>
      </c>
      <c r="AG412" s="31">
        <v>0</v>
      </c>
      <c r="AH412" t="s">
        <v>44</v>
      </c>
    </row>
    <row r="413" spans="1:34">
      <c r="A413" s="15" t="s">
        <v>471</v>
      </c>
      <c r="B413" s="8" t="s">
        <v>407</v>
      </c>
      <c r="C413" s="41" t="s">
        <v>37</v>
      </c>
      <c r="D413" s="1" t="s">
        <v>38</v>
      </c>
      <c r="E413" s="26" t="s">
        <v>39</v>
      </c>
      <c r="F413" s="27">
        <v>0.95238095238095233</v>
      </c>
      <c r="G413" s="33">
        <v>0.33333333333333331</v>
      </c>
      <c r="H413" s="41" t="s">
        <v>408</v>
      </c>
      <c r="I413" s="1" t="s">
        <v>409</v>
      </c>
      <c r="J413" s="26" t="s">
        <v>39</v>
      </c>
      <c r="K413" s="27">
        <v>0.94339622641509424</v>
      </c>
      <c r="L413" s="33">
        <v>0.33333333333333331</v>
      </c>
      <c r="M413" s="41" t="s">
        <v>410</v>
      </c>
      <c r="N413" s="1" t="s">
        <v>38</v>
      </c>
      <c r="O413" s="26" t="s">
        <v>42</v>
      </c>
      <c r="P413" s="27">
        <v>3.2258064516129035</v>
      </c>
      <c r="Q413" s="33">
        <v>0.33333333333333331</v>
      </c>
      <c r="R413" s="55" t="s">
        <v>37</v>
      </c>
      <c r="S413" s="26" t="s">
        <v>38</v>
      </c>
      <c r="T413" s="26" t="s">
        <v>39</v>
      </c>
      <c r="U413" s="27">
        <v>0.95238095238095233</v>
      </c>
      <c r="V413" s="33">
        <v>0.33333333333333331</v>
      </c>
      <c r="W413" s="26" t="s">
        <v>408</v>
      </c>
      <c r="X413" s="26" t="s">
        <v>409</v>
      </c>
      <c r="Y413" s="26" t="s">
        <v>39</v>
      </c>
      <c r="Z413" s="27">
        <v>0.94339622641509424</v>
      </c>
      <c r="AA413" s="33">
        <v>0.33333333333333331</v>
      </c>
      <c r="AB413" s="26" t="s">
        <v>411</v>
      </c>
      <c r="AC413" s="26" t="s">
        <v>38</v>
      </c>
      <c r="AD413" s="26" t="s">
        <v>42</v>
      </c>
      <c r="AE413" s="27">
        <v>2.5</v>
      </c>
      <c r="AF413" s="36">
        <v>0.33333333333333331</v>
      </c>
      <c r="AG413" s="31">
        <v>0</v>
      </c>
      <c r="AH413" t="s">
        <v>44</v>
      </c>
    </row>
    <row r="414" spans="1:34">
      <c r="A414" s="15" t="s">
        <v>472</v>
      </c>
      <c r="B414" s="8" t="s">
        <v>407</v>
      </c>
      <c r="C414" s="41" t="s">
        <v>37</v>
      </c>
      <c r="D414" s="1" t="s">
        <v>38</v>
      </c>
      <c r="E414" s="26" t="s">
        <v>39</v>
      </c>
      <c r="F414" s="27">
        <v>0.95238095238095233</v>
      </c>
      <c r="G414" s="33">
        <v>0.33333333333333331</v>
      </c>
      <c r="H414" s="41" t="s">
        <v>408</v>
      </c>
      <c r="I414" s="1" t="s">
        <v>409</v>
      </c>
      <c r="J414" s="26" t="s">
        <v>39</v>
      </c>
      <c r="K414" s="27">
        <v>0.94339622641509424</v>
      </c>
      <c r="L414" s="33">
        <v>0.33333333333333331</v>
      </c>
      <c r="M414" s="41" t="s">
        <v>410</v>
      </c>
      <c r="N414" s="1" t="s">
        <v>38</v>
      </c>
      <c r="O414" s="26" t="s">
        <v>42</v>
      </c>
      <c r="P414" s="27">
        <v>3.2258064516129035</v>
      </c>
      <c r="Q414" s="33">
        <v>0.33333333333333331</v>
      </c>
      <c r="R414" s="55" t="s">
        <v>37</v>
      </c>
      <c r="S414" s="26" t="s">
        <v>38</v>
      </c>
      <c r="T414" s="26" t="s">
        <v>39</v>
      </c>
      <c r="U414" s="27">
        <v>0.95238095238095233</v>
      </c>
      <c r="V414" s="33">
        <v>0.33333333333333331</v>
      </c>
      <c r="W414" s="26" t="s">
        <v>408</v>
      </c>
      <c r="X414" s="26" t="s">
        <v>409</v>
      </c>
      <c r="Y414" s="26" t="s">
        <v>39</v>
      </c>
      <c r="Z414" s="27">
        <v>0.94339622641509424</v>
      </c>
      <c r="AA414" s="33">
        <v>0.33333333333333331</v>
      </c>
      <c r="AB414" s="26" t="s">
        <v>411</v>
      </c>
      <c r="AC414" s="26" t="s">
        <v>38</v>
      </c>
      <c r="AD414" s="26" t="s">
        <v>42</v>
      </c>
      <c r="AE414" s="27">
        <v>2.5</v>
      </c>
      <c r="AF414" s="36">
        <v>0.33333333333333331</v>
      </c>
      <c r="AG414" s="31">
        <v>0</v>
      </c>
      <c r="AH414" t="s">
        <v>44</v>
      </c>
    </row>
    <row r="415" spans="1:34">
      <c r="A415" s="15" t="s">
        <v>473</v>
      </c>
      <c r="B415" s="8" t="s">
        <v>407</v>
      </c>
      <c r="C415" s="41" t="s">
        <v>37</v>
      </c>
      <c r="D415" s="1" t="s">
        <v>38</v>
      </c>
      <c r="E415" s="26" t="s">
        <v>39</v>
      </c>
      <c r="F415" s="27">
        <v>0.95238095238095233</v>
      </c>
      <c r="G415" s="33">
        <v>0.33333333333333331</v>
      </c>
      <c r="H415" s="41" t="s">
        <v>408</v>
      </c>
      <c r="I415" s="1" t="s">
        <v>409</v>
      </c>
      <c r="J415" s="26" t="s">
        <v>39</v>
      </c>
      <c r="K415" s="27">
        <v>0.94339622641509424</v>
      </c>
      <c r="L415" s="33">
        <v>0.33333333333333331</v>
      </c>
      <c r="M415" s="41" t="s">
        <v>410</v>
      </c>
      <c r="N415" s="1" t="s">
        <v>38</v>
      </c>
      <c r="O415" s="26" t="s">
        <v>42</v>
      </c>
      <c r="P415" s="27">
        <v>3.2258064516129035</v>
      </c>
      <c r="Q415" s="33">
        <v>0.33333333333333331</v>
      </c>
      <c r="R415" s="55" t="s">
        <v>37</v>
      </c>
      <c r="S415" s="26" t="s">
        <v>38</v>
      </c>
      <c r="T415" s="26" t="s">
        <v>39</v>
      </c>
      <c r="U415" s="27">
        <v>0.95238095238095233</v>
      </c>
      <c r="V415" s="33">
        <v>0.33333333333333331</v>
      </c>
      <c r="W415" s="26" t="s">
        <v>408</v>
      </c>
      <c r="X415" s="26" t="s">
        <v>409</v>
      </c>
      <c r="Y415" s="26" t="s">
        <v>39</v>
      </c>
      <c r="Z415" s="27">
        <v>0.94339622641509424</v>
      </c>
      <c r="AA415" s="33">
        <v>0.33333333333333331</v>
      </c>
      <c r="AB415" s="26" t="s">
        <v>411</v>
      </c>
      <c r="AC415" s="26" t="s">
        <v>38</v>
      </c>
      <c r="AD415" s="26" t="s">
        <v>42</v>
      </c>
      <c r="AE415" s="27">
        <v>2.5</v>
      </c>
      <c r="AF415" s="36">
        <v>0.33333333333333331</v>
      </c>
      <c r="AG415" s="31">
        <v>0</v>
      </c>
      <c r="AH415" t="s">
        <v>44</v>
      </c>
    </row>
    <row r="416" spans="1:34">
      <c r="A416" s="15" t="s">
        <v>474</v>
      </c>
      <c r="B416" s="8" t="s">
        <v>407</v>
      </c>
      <c r="C416" s="41" t="s">
        <v>37</v>
      </c>
      <c r="D416" s="1" t="s">
        <v>38</v>
      </c>
      <c r="E416" s="26" t="s">
        <v>39</v>
      </c>
      <c r="F416" s="27">
        <v>0.95238095238095233</v>
      </c>
      <c r="G416" s="33">
        <v>0.33333333333333331</v>
      </c>
      <c r="H416" s="41" t="s">
        <v>408</v>
      </c>
      <c r="I416" s="1" t="s">
        <v>409</v>
      </c>
      <c r="J416" s="26" t="s">
        <v>39</v>
      </c>
      <c r="K416" s="27">
        <v>0.94339622641509424</v>
      </c>
      <c r="L416" s="33">
        <v>0.33333333333333331</v>
      </c>
      <c r="M416" s="41" t="s">
        <v>410</v>
      </c>
      <c r="N416" s="1" t="s">
        <v>38</v>
      </c>
      <c r="O416" s="26" t="s">
        <v>42</v>
      </c>
      <c r="P416" s="27">
        <v>3.2258064516129035</v>
      </c>
      <c r="Q416" s="33">
        <v>0.33333333333333331</v>
      </c>
      <c r="R416" s="55" t="s">
        <v>37</v>
      </c>
      <c r="S416" s="26" t="s">
        <v>38</v>
      </c>
      <c r="T416" s="26" t="s">
        <v>39</v>
      </c>
      <c r="U416" s="27">
        <v>0.95238095238095233</v>
      </c>
      <c r="V416" s="33">
        <v>0.33333333333333331</v>
      </c>
      <c r="W416" s="26" t="s">
        <v>408</v>
      </c>
      <c r="X416" s="26" t="s">
        <v>409</v>
      </c>
      <c r="Y416" s="26" t="s">
        <v>39</v>
      </c>
      <c r="Z416" s="27">
        <v>0.94339622641509424</v>
      </c>
      <c r="AA416" s="33">
        <v>0.33333333333333331</v>
      </c>
      <c r="AB416" s="26" t="s">
        <v>411</v>
      </c>
      <c r="AC416" s="26" t="s">
        <v>38</v>
      </c>
      <c r="AD416" s="26" t="s">
        <v>42</v>
      </c>
      <c r="AE416" s="27">
        <v>2.5</v>
      </c>
      <c r="AF416" s="36">
        <v>0.33333333333333331</v>
      </c>
      <c r="AG416" s="31">
        <v>0</v>
      </c>
      <c r="AH416" t="s">
        <v>44</v>
      </c>
    </row>
    <row r="417" spans="1:34">
      <c r="A417" s="15" t="s">
        <v>475</v>
      </c>
      <c r="B417" s="8" t="s">
        <v>407</v>
      </c>
      <c r="C417" s="41" t="s">
        <v>37</v>
      </c>
      <c r="D417" s="1" t="s">
        <v>38</v>
      </c>
      <c r="E417" s="26" t="s">
        <v>39</v>
      </c>
      <c r="F417" s="27">
        <v>0.95238095238095233</v>
      </c>
      <c r="G417" s="33">
        <v>0.33333333333333331</v>
      </c>
      <c r="H417" s="41" t="s">
        <v>408</v>
      </c>
      <c r="I417" s="1" t="s">
        <v>409</v>
      </c>
      <c r="J417" s="26" t="s">
        <v>39</v>
      </c>
      <c r="K417" s="27">
        <v>0.94339622641509424</v>
      </c>
      <c r="L417" s="33">
        <v>0.33333333333333331</v>
      </c>
      <c r="M417" s="41" t="s">
        <v>410</v>
      </c>
      <c r="N417" s="1" t="s">
        <v>38</v>
      </c>
      <c r="O417" s="26" t="s">
        <v>42</v>
      </c>
      <c r="P417" s="27">
        <v>3.2258064516129035</v>
      </c>
      <c r="Q417" s="33">
        <v>0.33333333333333331</v>
      </c>
      <c r="R417" s="55" t="s">
        <v>37</v>
      </c>
      <c r="S417" s="26" t="s">
        <v>38</v>
      </c>
      <c r="T417" s="26" t="s">
        <v>39</v>
      </c>
      <c r="U417" s="27">
        <v>0.95238095238095233</v>
      </c>
      <c r="V417" s="33">
        <v>0.33333333333333331</v>
      </c>
      <c r="W417" s="26" t="s">
        <v>408</v>
      </c>
      <c r="X417" s="26" t="s">
        <v>409</v>
      </c>
      <c r="Y417" s="26" t="s">
        <v>39</v>
      </c>
      <c r="Z417" s="27">
        <v>0.94339622641509424</v>
      </c>
      <c r="AA417" s="33">
        <v>0.33333333333333331</v>
      </c>
      <c r="AB417" s="26" t="s">
        <v>411</v>
      </c>
      <c r="AC417" s="26" t="s">
        <v>38</v>
      </c>
      <c r="AD417" s="26" t="s">
        <v>42</v>
      </c>
      <c r="AE417" s="27">
        <v>2.5</v>
      </c>
      <c r="AF417" s="36">
        <v>0.33333333333333331</v>
      </c>
      <c r="AG417" s="31">
        <v>0</v>
      </c>
      <c r="AH417" t="s">
        <v>44</v>
      </c>
    </row>
    <row r="418" spans="1:34">
      <c r="A418" s="15" t="s">
        <v>476</v>
      </c>
      <c r="B418" s="8" t="s">
        <v>407</v>
      </c>
      <c r="C418" s="41" t="s">
        <v>37</v>
      </c>
      <c r="D418" s="1" t="s">
        <v>38</v>
      </c>
      <c r="E418" s="26" t="s">
        <v>39</v>
      </c>
      <c r="F418" s="27">
        <v>0.95238095238095233</v>
      </c>
      <c r="G418" s="33">
        <v>0.33333333333333331</v>
      </c>
      <c r="H418" s="41" t="s">
        <v>408</v>
      </c>
      <c r="I418" s="1" t="s">
        <v>409</v>
      </c>
      <c r="J418" s="26" t="s">
        <v>39</v>
      </c>
      <c r="K418" s="27">
        <v>0.94339622641509424</v>
      </c>
      <c r="L418" s="33">
        <v>0.33333333333333331</v>
      </c>
      <c r="M418" s="41" t="s">
        <v>410</v>
      </c>
      <c r="N418" s="1" t="s">
        <v>38</v>
      </c>
      <c r="O418" s="26" t="s">
        <v>42</v>
      </c>
      <c r="P418" s="27">
        <v>3.2258064516129035</v>
      </c>
      <c r="Q418" s="33">
        <v>0.33333333333333331</v>
      </c>
      <c r="R418" s="55" t="s">
        <v>37</v>
      </c>
      <c r="S418" s="26" t="s">
        <v>38</v>
      </c>
      <c r="T418" s="26" t="s">
        <v>39</v>
      </c>
      <c r="U418" s="27">
        <v>0.95238095238095233</v>
      </c>
      <c r="V418" s="33">
        <v>0.33333333333333331</v>
      </c>
      <c r="W418" s="26" t="s">
        <v>408</v>
      </c>
      <c r="X418" s="26" t="s">
        <v>409</v>
      </c>
      <c r="Y418" s="26" t="s">
        <v>39</v>
      </c>
      <c r="Z418" s="27">
        <v>0.94339622641509424</v>
      </c>
      <c r="AA418" s="33">
        <v>0.33333333333333331</v>
      </c>
      <c r="AB418" s="26" t="s">
        <v>411</v>
      </c>
      <c r="AC418" s="26" t="s">
        <v>38</v>
      </c>
      <c r="AD418" s="26" t="s">
        <v>42</v>
      </c>
      <c r="AE418" s="27">
        <v>2.5</v>
      </c>
      <c r="AF418" s="36">
        <v>0.33333333333333331</v>
      </c>
      <c r="AG418" s="31">
        <v>0</v>
      </c>
      <c r="AH418" t="s">
        <v>44</v>
      </c>
    </row>
    <row r="419" spans="1:34">
      <c r="A419" s="15" t="s">
        <v>477</v>
      </c>
      <c r="B419" s="8" t="s">
        <v>407</v>
      </c>
      <c r="C419" s="41" t="s">
        <v>37</v>
      </c>
      <c r="D419" s="1" t="s">
        <v>38</v>
      </c>
      <c r="E419" s="26" t="s">
        <v>39</v>
      </c>
      <c r="F419" s="27">
        <v>0.95238095238095233</v>
      </c>
      <c r="G419" s="33">
        <v>0.33333333333333331</v>
      </c>
      <c r="H419" s="41" t="s">
        <v>408</v>
      </c>
      <c r="I419" s="1" t="s">
        <v>409</v>
      </c>
      <c r="J419" s="26" t="s">
        <v>39</v>
      </c>
      <c r="K419" s="27">
        <v>0.94339622641509424</v>
      </c>
      <c r="L419" s="33">
        <v>0.33333333333333331</v>
      </c>
      <c r="M419" s="41" t="s">
        <v>410</v>
      </c>
      <c r="N419" s="1" t="s">
        <v>38</v>
      </c>
      <c r="O419" s="26" t="s">
        <v>42</v>
      </c>
      <c r="P419" s="27">
        <v>3.2258064516129035</v>
      </c>
      <c r="Q419" s="33">
        <v>0.33333333333333331</v>
      </c>
      <c r="R419" s="55" t="s">
        <v>37</v>
      </c>
      <c r="S419" s="26" t="s">
        <v>38</v>
      </c>
      <c r="T419" s="26" t="s">
        <v>39</v>
      </c>
      <c r="U419" s="27">
        <v>0.95238095238095233</v>
      </c>
      <c r="V419" s="33">
        <v>0.33333333333333331</v>
      </c>
      <c r="W419" s="26" t="s">
        <v>408</v>
      </c>
      <c r="X419" s="26" t="s">
        <v>409</v>
      </c>
      <c r="Y419" s="26" t="s">
        <v>39</v>
      </c>
      <c r="Z419" s="27">
        <v>0.94339622641509424</v>
      </c>
      <c r="AA419" s="33">
        <v>0.33333333333333331</v>
      </c>
      <c r="AB419" s="26" t="s">
        <v>411</v>
      </c>
      <c r="AC419" s="26" t="s">
        <v>38</v>
      </c>
      <c r="AD419" s="26" t="s">
        <v>42</v>
      </c>
      <c r="AE419" s="27">
        <v>2.5</v>
      </c>
      <c r="AF419" s="36">
        <v>0.33333333333333331</v>
      </c>
      <c r="AG419" s="31">
        <v>0</v>
      </c>
      <c r="AH419" t="s">
        <v>44</v>
      </c>
    </row>
    <row r="420" spans="1:34">
      <c r="A420" s="15" t="s">
        <v>478</v>
      </c>
      <c r="B420" s="8" t="s">
        <v>407</v>
      </c>
      <c r="C420" s="41" t="s">
        <v>37</v>
      </c>
      <c r="D420" s="1" t="s">
        <v>38</v>
      </c>
      <c r="E420" s="26" t="s">
        <v>39</v>
      </c>
      <c r="F420" s="27">
        <v>0.95238095238095233</v>
      </c>
      <c r="G420" s="33">
        <v>0.33333333333333331</v>
      </c>
      <c r="H420" s="41" t="s">
        <v>408</v>
      </c>
      <c r="I420" s="1" t="s">
        <v>409</v>
      </c>
      <c r="J420" s="26" t="s">
        <v>39</v>
      </c>
      <c r="K420" s="27">
        <v>0.94339622641509424</v>
      </c>
      <c r="L420" s="33">
        <v>0.33333333333333331</v>
      </c>
      <c r="M420" s="41" t="s">
        <v>410</v>
      </c>
      <c r="N420" s="1" t="s">
        <v>38</v>
      </c>
      <c r="O420" s="26" t="s">
        <v>42</v>
      </c>
      <c r="P420" s="27">
        <v>3.2258064516129035</v>
      </c>
      <c r="Q420" s="33">
        <v>0.33333333333333331</v>
      </c>
      <c r="R420" s="55" t="s">
        <v>37</v>
      </c>
      <c r="S420" s="26" t="s">
        <v>38</v>
      </c>
      <c r="T420" s="26" t="s">
        <v>39</v>
      </c>
      <c r="U420" s="27">
        <v>0.95238095238095233</v>
      </c>
      <c r="V420" s="33">
        <v>0.33333333333333331</v>
      </c>
      <c r="W420" s="26" t="s">
        <v>408</v>
      </c>
      <c r="X420" s="26" t="s">
        <v>409</v>
      </c>
      <c r="Y420" s="26" t="s">
        <v>39</v>
      </c>
      <c r="Z420" s="27">
        <v>0.94339622641509424</v>
      </c>
      <c r="AA420" s="33">
        <v>0.33333333333333331</v>
      </c>
      <c r="AB420" s="26" t="s">
        <v>411</v>
      </c>
      <c r="AC420" s="26" t="s">
        <v>38</v>
      </c>
      <c r="AD420" s="26" t="s">
        <v>42</v>
      </c>
      <c r="AE420" s="27">
        <v>2.5</v>
      </c>
      <c r="AF420" s="36">
        <v>0.33333333333333331</v>
      </c>
      <c r="AG420" s="31">
        <v>0</v>
      </c>
      <c r="AH420" t="s">
        <v>44</v>
      </c>
    </row>
    <row r="421" spans="1:34">
      <c r="A421" s="15" t="s">
        <v>479</v>
      </c>
      <c r="B421" s="8" t="s">
        <v>407</v>
      </c>
      <c r="C421" s="41" t="s">
        <v>37</v>
      </c>
      <c r="D421" s="1" t="s">
        <v>38</v>
      </c>
      <c r="E421" s="26" t="s">
        <v>39</v>
      </c>
      <c r="F421" s="27">
        <v>0.95238095238095233</v>
      </c>
      <c r="G421" s="33">
        <v>0.33333333333333331</v>
      </c>
      <c r="H421" s="41" t="s">
        <v>408</v>
      </c>
      <c r="I421" s="1" t="s">
        <v>409</v>
      </c>
      <c r="J421" s="26" t="s">
        <v>39</v>
      </c>
      <c r="K421" s="27">
        <v>0.94339622641509424</v>
      </c>
      <c r="L421" s="33">
        <v>0.33333333333333331</v>
      </c>
      <c r="M421" s="41" t="s">
        <v>410</v>
      </c>
      <c r="N421" s="1" t="s">
        <v>38</v>
      </c>
      <c r="O421" s="26" t="s">
        <v>42</v>
      </c>
      <c r="P421" s="27">
        <v>3.2258064516129035</v>
      </c>
      <c r="Q421" s="33">
        <v>0.33333333333333331</v>
      </c>
      <c r="R421" s="55" t="s">
        <v>37</v>
      </c>
      <c r="S421" s="26" t="s">
        <v>38</v>
      </c>
      <c r="T421" s="26" t="s">
        <v>39</v>
      </c>
      <c r="U421" s="27">
        <v>0.95238095238095233</v>
      </c>
      <c r="V421" s="33">
        <v>0.33333333333333331</v>
      </c>
      <c r="W421" s="26" t="s">
        <v>408</v>
      </c>
      <c r="X421" s="26" t="s">
        <v>409</v>
      </c>
      <c r="Y421" s="26" t="s">
        <v>39</v>
      </c>
      <c r="Z421" s="27">
        <v>0.94339622641509424</v>
      </c>
      <c r="AA421" s="33">
        <v>0.33333333333333331</v>
      </c>
      <c r="AB421" s="26" t="s">
        <v>411</v>
      </c>
      <c r="AC421" s="26" t="s">
        <v>38</v>
      </c>
      <c r="AD421" s="26" t="s">
        <v>42</v>
      </c>
      <c r="AE421" s="27">
        <v>2.5</v>
      </c>
      <c r="AF421" s="36">
        <v>0.33333333333333331</v>
      </c>
      <c r="AG421" s="31">
        <v>0</v>
      </c>
      <c r="AH421" t="s">
        <v>44</v>
      </c>
    </row>
    <row r="422" spans="1:34">
      <c r="A422" s="15" t="s">
        <v>480</v>
      </c>
      <c r="B422" s="8" t="s">
        <v>407</v>
      </c>
      <c r="C422" s="41" t="s">
        <v>37</v>
      </c>
      <c r="D422" s="1" t="s">
        <v>38</v>
      </c>
      <c r="E422" s="26" t="s">
        <v>39</v>
      </c>
      <c r="F422" s="27">
        <v>0.95238095238095233</v>
      </c>
      <c r="G422" s="33">
        <v>0.33333333333333331</v>
      </c>
      <c r="H422" s="41" t="s">
        <v>408</v>
      </c>
      <c r="I422" s="1" t="s">
        <v>409</v>
      </c>
      <c r="J422" s="26" t="s">
        <v>39</v>
      </c>
      <c r="K422" s="27">
        <v>0.94339622641509424</v>
      </c>
      <c r="L422" s="33">
        <v>0.33333333333333331</v>
      </c>
      <c r="M422" s="41" t="s">
        <v>410</v>
      </c>
      <c r="N422" s="1" t="s">
        <v>38</v>
      </c>
      <c r="O422" s="26" t="s">
        <v>42</v>
      </c>
      <c r="P422" s="27">
        <v>3.2258064516129035</v>
      </c>
      <c r="Q422" s="33">
        <v>0.33333333333333331</v>
      </c>
      <c r="R422" s="55" t="s">
        <v>37</v>
      </c>
      <c r="S422" s="26" t="s">
        <v>38</v>
      </c>
      <c r="T422" s="26" t="s">
        <v>39</v>
      </c>
      <c r="U422" s="27">
        <v>0.95238095238095233</v>
      </c>
      <c r="V422" s="33">
        <v>0.33333333333333331</v>
      </c>
      <c r="W422" s="26" t="s">
        <v>408</v>
      </c>
      <c r="X422" s="26" t="s">
        <v>409</v>
      </c>
      <c r="Y422" s="26" t="s">
        <v>39</v>
      </c>
      <c r="Z422" s="27">
        <v>0.94339622641509424</v>
      </c>
      <c r="AA422" s="33">
        <v>0.33333333333333331</v>
      </c>
      <c r="AB422" s="26" t="s">
        <v>411</v>
      </c>
      <c r="AC422" s="26" t="s">
        <v>38</v>
      </c>
      <c r="AD422" s="26" t="s">
        <v>42</v>
      </c>
      <c r="AE422" s="27">
        <v>2.5</v>
      </c>
      <c r="AF422" s="36">
        <v>0.33333333333333331</v>
      </c>
      <c r="AG422" s="31">
        <v>0</v>
      </c>
      <c r="AH422" t="s">
        <v>44</v>
      </c>
    </row>
    <row r="423" spans="1:34">
      <c r="A423" s="15" t="s">
        <v>481</v>
      </c>
      <c r="B423" s="8" t="s">
        <v>407</v>
      </c>
      <c r="C423" s="41" t="s">
        <v>37</v>
      </c>
      <c r="D423" s="1" t="s">
        <v>38</v>
      </c>
      <c r="E423" s="26" t="s">
        <v>39</v>
      </c>
      <c r="F423" s="27">
        <v>0.95238095238095233</v>
      </c>
      <c r="G423" s="33">
        <v>0.33333333333333331</v>
      </c>
      <c r="H423" s="41" t="s">
        <v>408</v>
      </c>
      <c r="I423" s="1" t="s">
        <v>409</v>
      </c>
      <c r="J423" s="26" t="s">
        <v>39</v>
      </c>
      <c r="K423" s="27">
        <v>0.94339622641509424</v>
      </c>
      <c r="L423" s="33">
        <v>0.33333333333333331</v>
      </c>
      <c r="M423" s="41" t="s">
        <v>410</v>
      </c>
      <c r="N423" s="1" t="s">
        <v>38</v>
      </c>
      <c r="O423" s="26" t="s">
        <v>42</v>
      </c>
      <c r="P423" s="27">
        <v>3.2258064516129035</v>
      </c>
      <c r="Q423" s="33">
        <v>0.33333333333333331</v>
      </c>
      <c r="R423" s="55" t="s">
        <v>37</v>
      </c>
      <c r="S423" s="26" t="s">
        <v>38</v>
      </c>
      <c r="T423" s="26" t="s">
        <v>39</v>
      </c>
      <c r="U423" s="27">
        <v>0.95238095238095233</v>
      </c>
      <c r="V423" s="33">
        <v>0.33333333333333331</v>
      </c>
      <c r="W423" s="26" t="s">
        <v>408</v>
      </c>
      <c r="X423" s="26" t="s">
        <v>409</v>
      </c>
      <c r="Y423" s="26" t="s">
        <v>39</v>
      </c>
      <c r="Z423" s="27">
        <v>0.94339622641509424</v>
      </c>
      <c r="AA423" s="33">
        <v>0.33333333333333331</v>
      </c>
      <c r="AB423" s="26" t="s">
        <v>411</v>
      </c>
      <c r="AC423" s="26" t="s">
        <v>38</v>
      </c>
      <c r="AD423" s="26" t="s">
        <v>42</v>
      </c>
      <c r="AE423" s="27">
        <v>2.5</v>
      </c>
      <c r="AF423" s="36">
        <v>0.33333333333333331</v>
      </c>
      <c r="AG423" s="31">
        <v>0</v>
      </c>
      <c r="AH423" t="s">
        <v>44</v>
      </c>
    </row>
    <row r="424" spans="1:34">
      <c r="A424" s="15" t="s">
        <v>482</v>
      </c>
      <c r="B424" s="8" t="s">
        <v>407</v>
      </c>
      <c r="C424" s="41" t="s">
        <v>37</v>
      </c>
      <c r="D424" s="1" t="s">
        <v>38</v>
      </c>
      <c r="E424" s="26" t="s">
        <v>39</v>
      </c>
      <c r="F424" s="27">
        <v>0.95238095238095233</v>
      </c>
      <c r="G424" s="33">
        <v>0.33333333333333331</v>
      </c>
      <c r="H424" s="41" t="s">
        <v>408</v>
      </c>
      <c r="I424" s="1" t="s">
        <v>409</v>
      </c>
      <c r="J424" s="26" t="s">
        <v>39</v>
      </c>
      <c r="K424" s="27">
        <v>0.94339622641509424</v>
      </c>
      <c r="L424" s="33">
        <v>0.33333333333333331</v>
      </c>
      <c r="M424" s="41" t="s">
        <v>410</v>
      </c>
      <c r="N424" s="1" t="s">
        <v>38</v>
      </c>
      <c r="O424" s="26" t="s">
        <v>42</v>
      </c>
      <c r="P424" s="27">
        <v>3.2258064516129035</v>
      </c>
      <c r="Q424" s="33">
        <v>0.33333333333333331</v>
      </c>
      <c r="R424" s="55" t="s">
        <v>37</v>
      </c>
      <c r="S424" s="26" t="s">
        <v>38</v>
      </c>
      <c r="T424" s="26" t="s">
        <v>39</v>
      </c>
      <c r="U424" s="27">
        <v>0.95238095238095233</v>
      </c>
      <c r="V424" s="33">
        <v>0.33333333333333331</v>
      </c>
      <c r="W424" s="26" t="s">
        <v>408</v>
      </c>
      <c r="X424" s="26" t="s">
        <v>409</v>
      </c>
      <c r="Y424" s="26" t="s">
        <v>39</v>
      </c>
      <c r="Z424" s="27">
        <v>0.94339622641509424</v>
      </c>
      <c r="AA424" s="33">
        <v>0.33333333333333331</v>
      </c>
      <c r="AB424" s="26" t="s">
        <v>411</v>
      </c>
      <c r="AC424" s="26" t="s">
        <v>38</v>
      </c>
      <c r="AD424" s="26" t="s">
        <v>42</v>
      </c>
      <c r="AE424" s="27">
        <v>2.5</v>
      </c>
      <c r="AF424" s="36">
        <v>0.33333333333333331</v>
      </c>
      <c r="AG424" s="31">
        <v>0</v>
      </c>
      <c r="AH424" t="s">
        <v>44</v>
      </c>
    </row>
    <row r="425" spans="1:34">
      <c r="A425" s="15" t="s">
        <v>483</v>
      </c>
      <c r="B425" s="8" t="s">
        <v>407</v>
      </c>
      <c r="C425" s="41" t="s">
        <v>37</v>
      </c>
      <c r="D425" s="1" t="s">
        <v>38</v>
      </c>
      <c r="E425" s="26" t="s">
        <v>39</v>
      </c>
      <c r="F425" s="27">
        <v>0.95238095238095233</v>
      </c>
      <c r="G425" s="33">
        <v>0.33333333333333331</v>
      </c>
      <c r="H425" s="41" t="s">
        <v>408</v>
      </c>
      <c r="I425" s="1" t="s">
        <v>409</v>
      </c>
      <c r="J425" s="26" t="s">
        <v>39</v>
      </c>
      <c r="K425" s="27">
        <v>0.94339622641509424</v>
      </c>
      <c r="L425" s="33">
        <v>0.33333333333333331</v>
      </c>
      <c r="M425" s="41" t="s">
        <v>410</v>
      </c>
      <c r="N425" s="1" t="s">
        <v>38</v>
      </c>
      <c r="O425" s="26" t="s">
        <v>42</v>
      </c>
      <c r="P425" s="27">
        <v>3.2258064516129035</v>
      </c>
      <c r="Q425" s="33">
        <v>0.33333333333333331</v>
      </c>
      <c r="R425" s="55" t="s">
        <v>37</v>
      </c>
      <c r="S425" s="26" t="s">
        <v>38</v>
      </c>
      <c r="T425" s="26" t="s">
        <v>39</v>
      </c>
      <c r="U425" s="27">
        <v>0.95238095238095233</v>
      </c>
      <c r="V425" s="33">
        <v>0.33333333333333331</v>
      </c>
      <c r="W425" s="26" t="s">
        <v>408</v>
      </c>
      <c r="X425" s="26" t="s">
        <v>409</v>
      </c>
      <c r="Y425" s="26" t="s">
        <v>39</v>
      </c>
      <c r="Z425" s="27">
        <v>0.94339622641509424</v>
      </c>
      <c r="AA425" s="33">
        <v>0.33333333333333331</v>
      </c>
      <c r="AB425" s="26" t="s">
        <v>411</v>
      </c>
      <c r="AC425" s="26" t="s">
        <v>38</v>
      </c>
      <c r="AD425" s="26" t="s">
        <v>42</v>
      </c>
      <c r="AE425" s="27">
        <v>2.5</v>
      </c>
      <c r="AF425" s="36">
        <v>0.33333333333333331</v>
      </c>
      <c r="AG425" s="31">
        <v>0</v>
      </c>
      <c r="AH425" t="s">
        <v>44</v>
      </c>
    </row>
    <row r="426" spans="1:34">
      <c r="A426" s="15" t="s">
        <v>484</v>
      </c>
      <c r="B426" s="8" t="s">
        <v>407</v>
      </c>
      <c r="C426" s="41" t="s">
        <v>37</v>
      </c>
      <c r="D426" s="1" t="s">
        <v>38</v>
      </c>
      <c r="E426" s="26" t="s">
        <v>39</v>
      </c>
      <c r="F426" s="27">
        <v>0.95238095238095233</v>
      </c>
      <c r="G426" s="33">
        <v>0.33333333333333331</v>
      </c>
      <c r="H426" s="41" t="s">
        <v>408</v>
      </c>
      <c r="I426" s="1" t="s">
        <v>409</v>
      </c>
      <c r="J426" s="26" t="s">
        <v>39</v>
      </c>
      <c r="K426" s="27">
        <v>0.94339622641509424</v>
      </c>
      <c r="L426" s="33">
        <v>0.33333333333333331</v>
      </c>
      <c r="M426" s="41" t="s">
        <v>410</v>
      </c>
      <c r="N426" s="1" t="s">
        <v>38</v>
      </c>
      <c r="O426" s="26" t="s">
        <v>42</v>
      </c>
      <c r="P426" s="27">
        <v>3.2258064516129035</v>
      </c>
      <c r="Q426" s="33">
        <v>0.33333333333333331</v>
      </c>
      <c r="R426" s="55" t="s">
        <v>37</v>
      </c>
      <c r="S426" s="26" t="s">
        <v>38</v>
      </c>
      <c r="T426" s="26" t="s">
        <v>39</v>
      </c>
      <c r="U426" s="27">
        <v>0.95238095238095233</v>
      </c>
      <c r="V426" s="33">
        <v>0.33333333333333331</v>
      </c>
      <c r="W426" s="26" t="s">
        <v>408</v>
      </c>
      <c r="X426" s="26" t="s">
        <v>409</v>
      </c>
      <c r="Y426" s="26" t="s">
        <v>39</v>
      </c>
      <c r="Z426" s="27">
        <v>0.94339622641509424</v>
      </c>
      <c r="AA426" s="33">
        <v>0.33333333333333331</v>
      </c>
      <c r="AB426" s="26" t="s">
        <v>411</v>
      </c>
      <c r="AC426" s="26" t="s">
        <v>38</v>
      </c>
      <c r="AD426" s="26" t="s">
        <v>42</v>
      </c>
      <c r="AE426" s="27">
        <v>2.5</v>
      </c>
      <c r="AF426" s="36">
        <v>0.33333333333333331</v>
      </c>
      <c r="AG426" s="31">
        <v>0</v>
      </c>
      <c r="AH426" t="s">
        <v>44</v>
      </c>
    </row>
    <row r="427" spans="1:34">
      <c r="A427" s="15" t="s">
        <v>485</v>
      </c>
      <c r="B427" s="8" t="s">
        <v>407</v>
      </c>
      <c r="C427" s="41" t="s">
        <v>37</v>
      </c>
      <c r="D427" s="1" t="s">
        <v>38</v>
      </c>
      <c r="E427" s="26" t="s">
        <v>39</v>
      </c>
      <c r="F427" s="27">
        <v>0.95238095238095233</v>
      </c>
      <c r="G427" s="33">
        <v>0.33333333333333331</v>
      </c>
      <c r="H427" s="41" t="s">
        <v>408</v>
      </c>
      <c r="I427" s="1" t="s">
        <v>409</v>
      </c>
      <c r="J427" s="26" t="s">
        <v>39</v>
      </c>
      <c r="K427" s="27">
        <v>0.94339622641509424</v>
      </c>
      <c r="L427" s="33">
        <v>0.33333333333333331</v>
      </c>
      <c r="M427" s="41" t="s">
        <v>410</v>
      </c>
      <c r="N427" s="1" t="s">
        <v>38</v>
      </c>
      <c r="O427" s="26" t="s">
        <v>42</v>
      </c>
      <c r="P427" s="27">
        <v>3.2258064516129035</v>
      </c>
      <c r="Q427" s="33">
        <v>0.33333333333333331</v>
      </c>
      <c r="R427" s="55" t="s">
        <v>37</v>
      </c>
      <c r="S427" s="26" t="s">
        <v>38</v>
      </c>
      <c r="T427" s="26" t="s">
        <v>39</v>
      </c>
      <c r="U427" s="27">
        <v>0.95238095238095233</v>
      </c>
      <c r="V427" s="33">
        <v>0.33333333333333331</v>
      </c>
      <c r="W427" s="26" t="s">
        <v>408</v>
      </c>
      <c r="X427" s="26" t="s">
        <v>409</v>
      </c>
      <c r="Y427" s="26" t="s">
        <v>39</v>
      </c>
      <c r="Z427" s="27">
        <v>0.94339622641509424</v>
      </c>
      <c r="AA427" s="33">
        <v>0.33333333333333331</v>
      </c>
      <c r="AB427" s="26" t="s">
        <v>411</v>
      </c>
      <c r="AC427" s="26" t="s">
        <v>38</v>
      </c>
      <c r="AD427" s="26" t="s">
        <v>42</v>
      </c>
      <c r="AE427" s="27">
        <v>2.5</v>
      </c>
      <c r="AF427" s="36">
        <v>0.33333333333333331</v>
      </c>
      <c r="AG427" s="31">
        <v>0</v>
      </c>
      <c r="AH427" t="s">
        <v>44</v>
      </c>
    </row>
    <row r="428" spans="1:34">
      <c r="A428" s="15" t="s">
        <v>486</v>
      </c>
      <c r="B428" s="8" t="s">
        <v>407</v>
      </c>
      <c r="C428" s="41" t="s">
        <v>37</v>
      </c>
      <c r="D428" s="1" t="s">
        <v>38</v>
      </c>
      <c r="E428" s="26" t="s">
        <v>39</v>
      </c>
      <c r="F428" s="27">
        <v>0.95238095238095233</v>
      </c>
      <c r="G428" s="33">
        <v>0.33333333333333331</v>
      </c>
      <c r="H428" s="41" t="s">
        <v>408</v>
      </c>
      <c r="I428" s="1" t="s">
        <v>409</v>
      </c>
      <c r="J428" s="26" t="s">
        <v>39</v>
      </c>
      <c r="K428" s="27">
        <v>0.94339622641509424</v>
      </c>
      <c r="L428" s="33">
        <v>0.33333333333333331</v>
      </c>
      <c r="M428" s="41" t="s">
        <v>410</v>
      </c>
      <c r="N428" s="1" t="s">
        <v>38</v>
      </c>
      <c r="O428" s="26" t="s">
        <v>42</v>
      </c>
      <c r="P428" s="27">
        <v>3.2258064516129035</v>
      </c>
      <c r="Q428" s="33">
        <v>0.33333333333333331</v>
      </c>
      <c r="R428" s="55" t="s">
        <v>37</v>
      </c>
      <c r="S428" s="26" t="s">
        <v>38</v>
      </c>
      <c r="T428" s="26" t="s">
        <v>39</v>
      </c>
      <c r="U428" s="27">
        <v>0.95238095238095233</v>
      </c>
      <c r="V428" s="33">
        <v>0.33333333333333331</v>
      </c>
      <c r="W428" s="26" t="s">
        <v>408</v>
      </c>
      <c r="X428" s="26" t="s">
        <v>409</v>
      </c>
      <c r="Y428" s="26" t="s">
        <v>39</v>
      </c>
      <c r="Z428" s="27">
        <v>0.94339622641509424</v>
      </c>
      <c r="AA428" s="33">
        <v>0.33333333333333331</v>
      </c>
      <c r="AB428" s="26" t="s">
        <v>411</v>
      </c>
      <c r="AC428" s="26" t="s">
        <v>38</v>
      </c>
      <c r="AD428" s="26" t="s">
        <v>42</v>
      </c>
      <c r="AE428" s="27">
        <v>2.5</v>
      </c>
      <c r="AF428" s="36">
        <v>0.33333333333333331</v>
      </c>
      <c r="AG428" s="31">
        <v>0</v>
      </c>
      <c r="AH428" t="s">
        <v>44</v>
      </c>
    </row>
    <row r="429" spans="1:34">
      <c r="A429" s="15" t="s">
        <v>487</v>
      </c>
      <c r="B429" s="8" t="s">
        <v>407</v>
      </c>
      <c r="C429" s="41" t="s">
        <v>37</v>
      </c>
      <c r="D429" s="1" t="s">
        <v>38</v>
      </c>
      <c r="E429" s="26" t="s">
        <v>39</v>
      </c>
      <c r="F429" s="27">
        <v>0.95238095238095233</v>
      </c>
      <c r="G429" s="33">
        <v>0.33333333333333331</v>
      </c>
      <c r="H429" s="41" t="s">
        <v>408</v>
      </c>
      <c r="I429" s="1" t="s">
        <v>409</v>
      </c>
      <c r="J429" s="26" t="s">
        <v>39</v>
      </c>
      <c r="K429" s="27">
        <v>0.94339622641509424</v>
      </c>
      <c r="L429" s="33">
        <v>0.33333333333333331</v>
      </c>
      <c r="M429" s="41" t="s">
        <v>410</v>
      </c>
      <c r="N429" s="1" t="s">
        <v>38</v>
      </c>
      <c r="O429" s="26" t="s">
        <v>42</v>
      </c>
      <c r="P429" s="27">
        <v>3.2258064516129035</v>
      </c>
      <c r="Q429" s="33">
        <v>0.33333333333333331</v>
      </c>
      <c r="R429" s="55" t="s">
        <v>37</v>
      </c>
      <c r="S429" s="26" t="s">
        <v>38</v>
      </c>
      <c r="T429" s="26" t="s">
        <v>39</v>
      </c>
      <c r="U429" s="27">
        <v>0.95238095238095233</v>
      </c>
      <c r="V429" s="33">
        <v>0.33333333333333331</v>
      </c>
      <c r="W429" s="26" t="s">
        <v>408</v>
      </c>
      <c r="X429" s="26" t="s">
        <v>409</v>
      </c>
      <c r="Y429" s="26" t="s">
        <v>39</v>
      </c>
      <c r="Z429" s="27">
        <v>0.94339622641509424</v>
      </c>
      <c r="AA429" s="33">
        <v>0.33333333333333331</v>
      </c>
      <c r="AB429" s="26" t="s">
        <v>411</v>
      </c>
      <c r="AC429" s="26" t="s">
        <v>38</v>
      </c>
      <c r="AD429" s="26" t="s">
        <v>42</v>
      </c>
      <c r="AE429" s="27">
        <v>2.5</v>
      </c>
      <c r="AF429" s="36">
        <v>0.33333333333333331</v>
      </c>
      <c r="AG429" s="31">
        <v>0</v>
      </c>
      <c r="AH429" t="s">
        <v>44</v>
      </c>
    </row>
    <row r="430" spans="1:34">
      <c r="A430" s="15" t="s">
        <v>488</v>
      </c>
      <c r="B430" s="8" t="s">
        <v>407</v>
      </c>
      <c r="C430" s="41" t="s">
        <v>37</v>
      </c>
      <c r="D430" s="1" t="s">
        <v>38</v>
      </c>
      <c r="E430" s="26" t="s">
        <v>39</v>
      </c>
      <c r="F430" s="27">
        <v>0.95238095238095233</v>
      </c>
      <c r="G430" s="33">
        <v>0.33333333333333331</v>
      </c>
      <c r="H430" s="41" t="s">
        <v>408</v>
      </c>
      <c r="I430" s="1" t="s">
        <v>409</v>
      </c>
      <c r="J430" s="26" t="s">
        <v>39</v>
      </c>
      <c r="K430" s="27">
        <v>0.94339622641509424</v>
      </c>
      <c r="L430" s="33">
        <v>0.33333333333333331</v>
      </c>
      <c r="M430" s="41" t="s">
        <v>410</v>
      </c>
      <c r="N430" s="1" t="s">
        <v>38</v>
      </c>
      <c r="O430" s="26" t="s">
        <v>42</v>
      </c>
      <c r="P430" s="27">
        <v>3.2258064516129035</v>
      </c>
      <c r="Q430" s="33">
        <v>0.33333333333333331</v>
      </c>
      <c r="R430" s="55" t="s">
        <v>37</v>
      </c>
      <c r="S430" s="26" t="s">
        <v>38</v>
      </c>
      <c r="T430" s="26" t="s">
        <v>39</v>
      </c>
      <c r="U430" s="27">
        <v>0.95238095238095233</v>
      </c>
      <c r="V430" s="33">
        <v>0.33333333333333331</v>
      </c>
      <c r="W430" s="26" t="s">
        <v>408</v>
      </c>
      <c r="X430" s="26" t="s">
        <v>409</v>
      </c>
      <c r="Y430" s="26" t="s">
        <v>39</v>
      </c>
      <c r="Z430" s="27">
        <v>0.94339622641509424</v>
      </c>
      <c r="AA430" s="33">
        <v>0.33333333333333331</v>
      </c>
      <c r="AB430" s="26" t="s">
        <v>411</v>
      </c>
      <c r="AC430" s="26" t="s">
        <v>38</v>
      </c>
      <c r="AD430" s="26" t="s">
        <v>42</v>
      </c>
      <c r="AE430" s="27">
        <v>2.5</v>
      </c>
      <c r="AF430" s="36">
        <v>0.33333333333333331</v>
      </c>
      <c r="AG430" s="31">
        <v>0</v>
      </c>
      <c r="AH430" t="s">
        <v>44</v>
      </c>
    </row>
    <row r="431" spans="1:34">
      <c r="A431" s="15" t="s">
        <v>489</v>
      </c>
      <c r="B431" s="8" t="s">
        <v>407</v>
      </c>
      <c r="C431" s="41" t="s">
        <v>37</v>
      </c>
      <c r="D431" s="1" t="s">
        <v>38</v>
      </c>
      <c r="E431" s="26" t="s">
        <v>39</v>
      </c>
      <c r="F431" s="27">
        <v>0.95238095238095233</v>
      </c>
      <c r="G431" s="33">
        <v>0.33333333333333331</v>
      </c>
      <c r="H431" s="41" t="s">
        <v>408</v>
      </c>
      <c r="I431" s="1" t="s">
        <v>409</v>
      </c>
      <c r="J431" s="26" t="s">
        <v>39</v>
      </c>
      <c r="K431" s="27">
        <v>0.94339622641509424</v>
      </c>
      <c r="L431" s="33">
        <v>0.33333333333333331</v>
      </c>
      <c r="M431" s="41" t="s">
        <v>410</v>
      </c>
      <c r="N431" s="1" t="s">
        <v>38</v>
      </c>
      <c r="O431" s="26" t="s">
        <v>42</v>
      </c>
      <c r="P431" s="27">
        <v>3.2258064516129035</v>
      </c>
      <c r="Q431" s="33">
        <v>0.33333333333333331</v>
      </c>
      <c r="R431" s="55" t="s">
        <v>37</v>
      </c>
      <c r="S431" s="26" t="s">
        <v>38</v>
      </c>
      <c r="T431" s="26" t="s">
        <v>39</v>
      </c>
      <c r="U431" s="27">
        <v>0.95238095238095233</v>
      </c>
      <c r="V431" s="33">
        <v>0.33333333333333331</v>
      </c>
      <c r="W431" s="26" t="s">
        <v>408</v>
      </c>
      <c r="X431" s="26" t="s">
        <v>409</v>
      </c>
      <c r="Y431" s="26" t="s">
        <v>39</v>
      </c>
      <c r="Z431" s="27">
        <v>0.94339622641509424</v>
      </c>
      <c r="AA431" s="33">
        <v>0.33333333333333331</v>
      </c>
      <c r="AB431" s="26" t="s">
        <v>411</v>
      </c>
      <c r="AC431" s="26" t="s">
        <v>38</v>
      </c>
      <c r="AD431" s="26" t="s">
        <v>42</v>
      </c>
      <c r="AE431" s="27">
        <v>2.5</v>
      </c>
      <c r="AF431" s="36">
        <v>0.33333333333333331</v>
      </c>
      <c r="AG431" s="31">
        <v>0</v>
      </c>
      <c r="AH431" t="s">
        <v>44</v>
      </c>
    </row>
    <row r="432" spans="1:34">
      <c r="A432" s="15" t="s">
        <v>490</v>
      </c>
      <c r="B432" s="8" t="s">
        <v>407</v>
      </c>
      <c r="C432" s="41" t="s">
        <v>37</v>
      </c>
      <c r="D432" s="1" t="s">
        <v>38</v>
      </c>
      <c r="E432" s="26" t="s">
        <v>39</v>
      </c>
      <c r="F432" s="27">
        <v>0.95238095238095233</v>
      </c>
      <c r="G432" s="33">
        <v>0.33333333333333331</v>
      </c>
      <c r="H432" s="41" t="s">
        <v>408</v>
      </c>
      <c r="I432" s="1" t="s">
        <v>409</v>
      </c>
      <c r="J432" s="26" t="s">
        <v>39</v>
      </c>
      <c r="K432" s="27">
        <v>0.94339622641509424</v>
      </c>
      <c r="L432" s="33">
        <v>0.33333333333333331</v>
      </c>
      <c r="M432" s="41" t="s">
        <v>410</v>
      </c>
      <c r="N432" s="1" t="s">
        <v>38</v>
      </c>
      <c r="O432" s="26" t="s">
        <v>42</v>
      </c>
      <c r="P432" s="27">
        <v>3.2258064516129035</v>
      </c>
      <c r="Q432" s="33">
        <v>0.33333333333333331</v>
      </c>
      <c r="R432" s="55" t="s">
        <v>37</v>
      </c>
      <c r="S432" s="26" t="s">
        <v>38</v>
      </c>
      <c r="T432" s="26" t="s">
        <v>39</v>
      </c>
      <c r="U432" s="27">
        <v>0.95238095238095233</v>
      </c>
      <c r="V432" s="33">
        <v>0.33333333333333331</v>
      </c>
      <c r="W432" s="26" t="s">
        <v>408</v>
      </c>
      <c r="X432" s="26" t="s">
        <v>409</v>
      </c>
      <c r="Y432" s="26" t="s">
        <v>39</v>
      </c>
      <c r="Z432" s="27">
        <v>0.94339622641509424</v>
      </c>
      <c r="AA432" s="33">
        <v>0.33333333333333331</v>
      </c>
      <c r="AB432" s="26" t="s">
        <v>411</v>
      </c>
      <c r="AC432" s="26" t="s">
        <v>38</v>
      </c>
      <c r="AD432" s="26" t="s">
        <v>42</v>
      </c>
      <c r="AE432" s="27">
        <v>2.5</v>
      </c>
      <c r="AF432" s="36">
        <v>0.33333333333333331</v>
      </c>
      <c r="AG432" s="31">
        <v>0</v>
      </c>
      <c r="AH432" t="s">
        <v>44</v>
      </c>
    </row>
    <row r="433" spans="1:34">
      <c r="A433" s="15" t="s">
        <v>491</v>
      </c>
      <c r="B433" s="8" t="s">
        <v>407</v>
      </c>
      <c r="C433" s="41" t="s">
        <v>37</v>
      </c>
      <c r="D433" s="1" t="s">
        <v>38</v>
      </c>
      <c r="E433" s="26" t="s">
        <v>39</v>
      </c>
      <c r="F433" s="27">
        <v>0.95238095238095233</v>
      </c>
      <c r="G433" s="33">
        <v>0.33333333333333331</v>
      </c>
      <c r="H433" s="41" t="s">
        <v>408</v>
      </c>
      <c r="I433" s="1" t="s">
        <v>409</v>
      </c>
      <c r="J433" s="26" t="s">
        <v>39</v>
      </c>
      <c r="K433" s="27">
        <v>0.94339622641509424</v>
      </c>
      <c r="L433" s="33">
        <v>0.33333333333333331</v>
      </c>
      <c r="M433" s="41" t="s">
        <v>410</v>
      </c>
      <c r="N433" s="1" t="s">
        <v>38</v>
      </c>
      <c r="O433" s="26" t="s">
        <v>42</v>
      </c>
      <c r="P433" s="27">
        <v>3.2258064516129035</v>
      </c>
      <c r="Q433" s="33">
        <v>0.33333333333333331</v>
      </c>
      <c r="R433" s="55" t="s">
        <v>37</v>
      </c>
      <c r="S433" s="26" t="s">
        <v>38</v>
      </c>
      <c r="T433" s="26" t="s">
        <v>39</v>
      </c>
      <c r="U433" s="27">
        <v>0.95238095238095233</v>
      </c>
      <c r="V433" s="33">
        <v>0.33333333333333331</v>
      </c>
      <c r="W433" s="26" t="s">
        <v>408</v>
      </c>
      <c r="X433" s="26" t="s">
        <v>409</v>
      </c>
      <c r="Y433" s="26" t="s">
        <v>39</v>
      </c>
      <c r="Z433" s="27">
        <v>0.94339622641509424</v>
      </c>
      <c r="AA433" s="33">
        <v>0.33333333333333331</v>
      </c>
      <c r="AB433" s="26" t="s">
        <v>411</v>
      </c>
      <c r="AC433" s="26" t="s">
        <v>38</v>
      </c>
      <c r="AD433" s="26" t="s">
        <v>42</v>
      </c>
      <c r="AE433" s="27">
        <v>2.5</v>
      </c>
      <c r="AF433" s="36">
        <v>0.33333333333333331</v>
      </c>
      <c r="AG433" s="31">
        <v>0</v>
      </c>
      <c r="AH433" t="s">
        <v>44</v>
      </c>
    </row>
    <row r="434" spans="1:34">
      <c r="A434" s="15" t="s">
        <v>492</v>
      </c>
      <c r="B434" s="8" t="s">
        <v>407</v>
      </c>
      <c r="C434" s="41" t="s">
        <v>37</v>
      </c>
      <c r="D434" s="1" t="s">
        <v>38</v>
      </c>
      <c r="E434" s="26" t="s">
        <v>39</v>
      </c>
      <c r="F434" s="27">
        <v>0.95238095238095233</v>
      </c>
      <c r="G434" s="33">
        <v>0.33333333333333331</v>
      </c>
      <c r="H434" s="41" t="s">
        <v>408</v>
      </c>
      <c r="I434" s="1" t="s">
        <v>409</v>
      </c>
      <c r="J434" s="26" t="s">
        <v>39</v>
      </c>
      <c r="K434" s="27">
        <v>0.94339622641509424</v>
      </c>
      <c r="L434" s="33">
        <v>0.33333333333333331</v>
      </c>
      <c r="M434" s="41" t="s">
        <v>410</v>
      </c>
      <c r="N434" s="1" t="s">
        <v>38</v>
      </c>
      <c r="O434" s="26" t="s">
        <v>42</v>
      </c>
      <c r="P434" s="27">
        <v>3.2258064516129035</v>
      </c>
      <c r="Q434" s="33">
        <v>0.33333333333333331</v>
      </c>
      <c r="R434" s="55" t="s">
        <v>37</v>
      </c>
      <c r="S434" s="26" t="s">
        <v>38</v>
      </c>
      <c r="T434" s="26" t="s">
        <v>39</v>
      </c>
      <c r="U434" s="27">
        <v>0.95238095238095233</v>
      </c>
      <c r="V434" s="33">
        <v>0.33333333333333331</v>
      </c>
      <c r="W434" s="26" t="s">
        <v>408</v>
      </c>
      <c r="X434" s="26" t="s">
        <v>409</v>
      </c>
      <c r="Y434" s="26" t="s">
        <v>39</v>
      </c>
      <c r="Z434" s="27">
        <v>0.94339622641509424</v>
      </c>
      <c r="AA434" s="33">
        <v>0.33333333333333331</v>
      </c>
      <c r="AB434" s="26" t="s">
        <v>411</v>
      </c>
      <c r="AC434" s="26" t="s">
        <v>38</v>
      </c>
      <c r="AD434" s="26" t="s">
        <v>42</v>
      </c>
      <c r="AE434" s="27">
        <v>2.5</v>
      </c>
      <c r="AF434" s="36">
        <v>0.33333333333333331</v>
      </c>
      <c r="AG434" s="31">
        <v>0</v>
      </c>
      <c r="AH434" t="s">
        <v>44</v>
      </c>
    </row>
    <row r="435" spans="1:34">
      <c r="A435" s="15" t="s">
        <v>493</v>
      </c>
      <c r="B435" s="8" t="s">
        <v>407</v>
      </c>
      <c r="C435" s="41" t="s">
        <v>37</v>
      </c>
      <c r="D435" s="1" t="s">
        <v>38</v>
      </c>
      <c r="E435" s="26" t="s">
        <v>39</v>
      </c>
      <c r="F435" s="27">
        <v>0.95238095238095233</v>
      </c>
      <c r="G435" s="33">
        <v>0.33333333333333331</v>
      </c>
      <c r="H435" s="41" t="s">
        <v>408</v>
      </c>
      <c r="I435" s="1" t="s">
        <v>409</v>
      </c>
      <c r="J435" s="26" t="s">
        <v>39</v>
      </c>
      <c r="K435" s="27">
        <v>0.94339622641509424</v>
      </c>
      <c r="L435" s="33">
        <v>0.33333333333333331</v>
      </c>
      <c r="M435" s="41" t="s">
        <v>410</v>
      </c>
      <c r="N435" s="1" t="s">
        <v>38</v>
      </c>
      <c r="O435" s="26" t="s">
        <v>42</v>
      </c>
      <c r="P435" s="27">
        <v>3.2258064516129035</v>
      </c>
      <c r="Q435" s="33">
        <v>0.33333333333333331</v>
      </c>
      <c r="R435" s="55" t="s">
        <v>37</v>
      </c>
      <c r="S435" s="26" t="s">
        <v>38</v>
      </c>
      <c r="T435" s="26" t="s">
        <v>39</v>
      </c>
      <c r="U435" s="27">
        <v>0.95238095238095233</v>
      </c>
      <c r="V435" s="33">
        <v>0.33333333333333331</v>
      </c>
      <c r="W435" s="26" t="s">
        <v>408</v>
      </c>
      <c r="X435" s="26" t="s">
        <v>409</v>
      </c>
      <c r="Y435" s="26" t="s">
        <v>39</v>
      </c>
      <c r="Z435" s="27">
        <v>0.94339622641509424</v>
      </c>
      <c r="AA435" s="33">
        <v>0.33333333333333331</v>
      </c>
      <c r="AB435" s="26" t="s">
        <v>411</v>
      </c>
      <c r="AC435" s="26" t="s">
        <v>38</v>
      </c>
      <c r="AD435" s="26" t="s">
        <v>42</v>
      </c>
      <c r="AE435" s="27">
        <v>2.5</v>
      </c>
      <c r="AF435" s="36">
        <v>0.33333333333333331</v>
      </c>
      <c r="AG435" s="31">
        <v>0</v>
      </c>
      <c r="AH435" t="s">
        <v>44</v>
      </c>
    </row>
    <row r="436" spans="1:34">
      <c r="A436" s="16" t="s">
        <v>494</v>
      </c>
      <c r="B436" s="8" t="s">
        <v>407</v>
      </c>
      <c r="C436" s="41" t="s">
        <v>37</v>
      </c>
      <c r="D436" s="1" t="s">
        <v>38</v>
      </c>
      <c r="E436" s="26" t="s">
        <v>39</v>
      </c>
      <c r="F436" s="27">
        <v>0.95238095238095233</v>
      </c>
      <c r="G436" s="33">
        <v>0.33333333333333331</v>
      </c>
      <c r="H436" s="41" t="s">
        <v>408</v>
      </c>
      <c r="I436" s="1" t="s">
        <v>409</v>
      </c>
      <c r="J436" s="26" t="s">
        <v>39</v>
      </c>
      <c r="K436" s="27">
        <v>0.94339622641509424</v>
      </c>
      <c r="L436" s="33">
        <v>0.33333333333333331</v>
      </c>
      <c r="M436" s="41" t="s">
        <v>410</v>
      </c>
      <c r="N436" s="1" t="s">
        <v>38</v>
      </c>
      <c r="O436" s="26" t="s">
        <v>42</v>
      </c>
      <c r="P436" s="27">
        <v>3.2258064516129035</v>
      </c>
      <c r="Q436" s="33">
        <v>0.33333333333333331</v>
      </c>
      <c r="R436" s="55" t="s">
        <v>37</v>
      </c>
      <c r="S436" s="26" t="s">
        <v>38</v>
      </c>
      <c r="T436" s="26" t="s">
        <v>39</v>
      </c>
      <c r="U436" s="27">
        <v>0.95238095238095233</v>
      </c>
      <c r="V436" s="33">
        <v>0.33333333333333331</v>
      </c>
      <c r="W436" s="26" t="s">
        <v>408</v>
      </c>
      <c r="X436" s="26" t="s">
        <v>409</v>
      </c>
      <c r="Y436" s="26" t="s">
        <v>39</v>
      </c>
      <c r="Z436" s="27">
        <v>0.94339622641509424</v>
      </c>
      <c r="AA436" s="33">
        <v>0.33333333333333331</v>
      </c>
      <c r="AB436" s="26" t="s">
        <v>411</v>
      </c>
      <c r="AC436" s="26" t="s">
        <v>38</v>
      </c>
      <c r="AD436" s="26" t="s">
        <v>42</v>
      </c>
      <c r="AE436" s="27">
        <v>2.5</v>
      </c>
      <c r="AF436" s="36">
        <v>0.33333333333333331</v>
      </c>
      <c r="AG436" s="31">
        <v>0</v>
      </c>
      <c r="AH436" t="s">
        <v>44</v>
      </c>
    </row>
    <row r="437" spans="1:34" s="6" customFormat="1">
      <c r="A437" s="15" t="s">
        <v>495</v>
      </c>
      <c r="B437" s="9" t="s">
        <v>496</v>
      </c>
      <c r="C437" s="45" t="s">
        <v>37</v>
      </c>
      <c r="D437" s="46" t="s">
        <v>38</v>
      </c>
      <c r="E437" s="47" t="s">
        <v>39</v>
      </c>
      <c r="F437" s="48">
        <v>0.95238095238095233</v>
      </c>
      <c r="G437" s="49">
        <v>0.33333333333333331</v>
      </c>
      <c r="H437" s="45" t="s">
        <v>408</v>
      </c>
      <c r="I437" s="46" t="s">
        <v>409</v>
      </c>
      <c r="J437" s="47" t="s">
        <v>39</v>
      </c>
      <c r="K437" s="48">
        <v>0.94339622641509424</v>
      </c>
      <c r="L437" s="49">
        <v>0.33333333333333331</v>
      </c>
      <c r="M437" s="45" t="s">
        <v>410</v>
      </c>
      <c r="N437" s="46" t="s">
        <v>38</v>
      </c>
      <c r="O437" s="47" t="s">
        <v>42</v>
      </c>
      <c r="P437" s="48">
        <v>3.2258064516129035</v>
      </c>
      <c r="Q437" s="49">
        <v>0.33333333333333331</v>
      </c>
      <c r="R437" s="54" t="s">
        <v>37</v>
      </c>
      <c r="S437" s="47" t="s">
        <v>38</v>
      </c>
      <c r="T437" s="47" t="s">
        <v>39</v>
      </c>
      <c r="U437" s="48">
        <v>0.95238095238095233</v>
      </c>
      <c r="V437" s="49">
        <v>0.33333333333333331</v>
      </c>
      <c r="W437" s="47" t="s">
        <v>408</v>
      </c>
      <c r="X437" s="47" t="s">
        <v>409</v>
      </c>
      <c r="Y437" s="47" t="s">
        <v>39</v>
      </c>
      <c r="Z437" s="48">
        <v>0.94339622641509424</v>
      </c>
      <c r="AA437" s="49">
        <v>0.33333333333333331</v>
      </c>
      <c r="AB437" s="47" t="s">
        <v>411</v>
      </c>
      <c r="AC437" s="47" t="s">
        <v>38</v>
      </c>
      <c r="AD437" s="47" t="s">
        <v>42</v>
      </c>
      <c r="AE437" s="48">
        <v>2.5</v>
      </c>
      <c r="AF437" s="50">
        <v>0.33333333333333331</v>
      </c>
      <c r="AG437" s="29">
        <v>0</v>
      </c>
      <c r="AH437" s="6" t="s">
        <v>44</v>
      </c>
    </row>
    <row r="438" spans="1:34">
      <c r="A438" s="15" t="s">
        <v>497</v>
      </c>
      <c r="B438" s="8" t="s">
        <v>496</v>
      </c>
      <c r="C438" s="41" t="s">
        <v>37</v>
      </c>
      <c r="D438" s="1" t="s">
        <v>38</v>
      </c>
      <c r="E438" s="26" t="s">
        <v>39</v>
      </c>
      <c r="F438" s="27">
        <v>0.95238095238095233</v>
      </c>
      <c r="G438" s="33">
        <v>0.33333333333333331</v>
      </c>
      <c r="H438" s="41" t="s">
        <v>408</v>
      </c>
      <c r="I438" s="1" t="s">
        <v>409</v>
      </c>
      <c r="J438" s="26" t="s">
        <v>39</v>
      </c>
      <c r="K438" s="27">
        <v>0.94339622641509424</v>
      </c>
      <c r="L438" s="33">
        <v>0.33333333333333331</v>
      </c>
      <c r="M438" s="41" t="s">
        <v>410</v>
      </c>
      <c r="N438" s="1" t="s">
        <v>38</v>
      </c>
      <c r="O438" s="26" t="s">
        <v>42</v>
      </c>
      <c r="P438" s="27">
        <v>3.2258064516129035</v>
      </c>
      <c r="Q438" s="33">
        <v>0.33333333333333331</v>
      </c>
      <c r="R438" s="55" t="s">
        <v>37</v>
      </c>
      <c r="S438" s="26" t="s">
        <v>38</v>
      </c>
      <c r="T438" s="26" t="s">
        <v>39</v>
      </c>
      <c r="U438" s="27">
        <v>0.95238095238095233</v>
      </c>
      <c r="V438" s="33">
        <v>0.33333333333333331</v>
      </c>
      <c r="W438" s="26" t="s">
        <v>408</v>
      </c>
      <c r="X438" s="26" t="s">
        <v>409</v>
      </c>
      <c r="Y438" s="26" t="s">
        <v>39</v>
      </c>
      <c r="Z438" s="27">
        <v>0.94339622641509424</v>
      </c>
      <c r="AA438" s="33">
        <v>0.33333333333333331</v>
      </c>
      <c r="AB438" s="26" t="s">
        <v>411</v>
      </c>
      <c r="AC438" s="26" t="s">
        <v>38</v>
      </c>
      <c r="AD438" s="26" t="s">
        <v>42</v>
      </c>
      <c r="AE438" s="27">
        <v>2.5</v>
      </c>
      <c r="AF438" s="36">
        <v>0.33333333333333331</v>
      </c>
      <c r="AG438" s="31">
        <v>0</v>
      </c>
      <c r="AH438" t="s">
        <v>44</v>
      </c>
    </row>
    <row r="439" spans="1:34">
      <c r="A439" s="15" t="s">
        <v>498</v>
      </c>
      <c r="B439" s="8" t="s">
        <v>496</v>
      </c>
      <c r="C439" s="41" t="s">
        <v>37</v>
      </c>
      <c r="D439" s="1" t="s">
        <v>38</v>
      </c>
      <c r="E439" s="26" t="s">
        <v>39</v>
      </c>
      <c r="F439" s="27">
        <v>0.95238095238095233</v>
      </c>
      <c r="G439" s="33">
        <v>0.33333333333333331</v>
      </c>
      <c r="H439" s="41" t="s">
        <v>408</v>
      </c>
      <c r="I439" s="1" t="s">
        <v>409</v>
      </c>
      <c r="J439" s="26" t="s">
        <v>39</v>
      </c>
      <c r="K439" s="27">
        <v>0.94339622641509424</v>
      </c>
      <c r="L439" s="33">
        <v>0.33333333333333331</v>
      </c>
      <c r="M439" s="41" t="s">
        <v>410</v>
      </c>
      <c r="N439" s="1" t="s">
        <v>38</v>
      </c>
      <c r="O439" s="26" t="s">
        <v>42</v>
      </c>
      <c r="P439" s="27">
        <v>3.2258064516129035</v>
      </c>
      <c r="Q439" s="33">
        <v>0.33333333333333331</v>
      </c>
      <c r="R439" s="55" t="s">
        <v>37</v>
      </c>
      <c r="S439" s="26" t="s">
        <v>38</v>
      </c>
      <c r="T439" s="26" t="s">
        <v>39</v>
      </c>
      <c r="U439" s="27">
        <v>0.95238095238095233</v>
      </c>
      <c r="V439" s="33">
        <v>0.33333333333333331</v>
      </c>
      <c r="W439" s="26" t="s">
        <v>408</v>
      </c>
      <c r="X439" s="26" t="s">
        <v>409</v>
      </c>
      <c r="Y439" s="26" t="s">
        <v>39</v>
      </c>
      <c r="Z439" s="27">
        <v>0.94339622641509424</v>
      </c>
      <c r="AA439" s="33">
        <v>0.33333333333333331</v>
      </c>
      <c r="AB439" s="26" t="s">
        <v>411</v>
      </c>
      <c r="AC439" s="26" t="s">
        <v>38</v>
      </c>
      <c r="AD439" s="26" t="s">
        <v>42</v>
      </c>
      <c r="AE439" s="27">
        <v>2.5</v>
      </c>
      <c r="AF439" s="36">
        <v>0.33333333333333331</v>
      </c>
      <c r="AG439" s="31">
        <v>0</v>
      </c>
      <c r="AH439" t="s">
        <v>44</v>
      </c>
    </row>
    <row r="440" spans="1:34">
      <c r="A440" s="15" t="s">
        <v>499</v>
      </c>
      <c r="B440" s="8" t="s">
        <v>496</v>
      </c>
      <c r="C440" s="41" t="s">
        <v>37</v>
      </c>
      <c r="D440" s="1" t="s">
        <v>38</v>
      </c>
      <c r="E440" s="26" t="s">
        <v>39</v>
      </c>
      <c r="F440" s="27">
        <v>0.95238095238095233</v>
      </c>
      <c r="G440" s="33">
        <v>0.33333333333333331</v>
      </c>
      <c r="H440" s="41" t="s">
        <v>408</v>
      </c>
      <c r="I440" s="1" t="s">
        <v>409</v>
      </c>
      <c r="J440" s="26" t="s">
        <v>39</v>
      </c>
      <c r="K440" s="27">
        <v>0.94339622641509424</v>
      </c>
      <c r="L440" s="33">
        <v>0.33333333333333331</v>
      </c>
      <c r="M440" s="41" t="s">
        <v>410</v>
      </c>
      <c r="N440" s="1" t="s">
        <v>38</v>
      </c>
      <c r="O440" s="26" t="s">
        <v>42</v>
      </c>
      <c r="P440" s="27">
        <v>3.2258064516129035</v>
      </c>
      <c r="Q440" s="33">
        <v>0.33333333333333331</v>
      </c>
      <c r="R440" s="55" t="s">
        <v>37</v>
      </c>
      <c r="S440" s="26" t="s">
        <v>38</v>
      </c>
      <c r="T440" s="26" t="s">
        <v>39</v>
      </c>
      <c r="U440" s="27">
        <v>0.95238095238095233</v>
      </c>
      <c r="V440" s="33">
        <v>0.33333333333333331</v>
      </c>
      <c r="W440" s="26" t="s">
        <v>408</v>
      </c>
      <c r="X440" s="26" t="s">
        <v>409</v>
      </c>
      <c r="Y440" s="26" t="s">
        <v>39</v>
      </c>
      <c r="Z440" s="27">
        <v>0.94339622641509424</v>
      </c>
      <c r="AA440" s="33">
        <v>0.33333333333333331</v>
      </c>
      <c r="AB440" s="26" t="s">
        <v>411</v>
      </c>
      <c r="AC440" s="26" t="s">
        <v>38</v>
      </c>
      <c r="AD440" s="26" t="s">
        <v>42</v>
      </c>
      <c r="AE440" s="27">
        <v>2.5</v>
      </c>
      <c r="AF440" s="36">
        <v>0.33333333333333331</v>
      </c>
      <c r="AG440" s="31">
        <v>0</v>
      </c>
      <c r="AH440" t="s">
        <v>44</v>
      </c>
    </row>
    <row r="441" spans="1:34">
      <c r="A441" s="15" t="s">
        <v>500</v>
      </c>
      <c r="B441" s="8" t="s">
        <v>496</v>
      </c>
      <c r="C441" s="41" t="s">
        <v>37</v>
      </c>
      <c r="D441" s="1" t="s">
        <v>38</v>
      </c>
      <c r="E441" s="26" t="s">
        <v>39</v>
      </c>
      <c r="F441" s="27">
        <v>0.95238095238095233</v>
      </c>
      <c r="G441" s="33">
        <v>0.33333333333333331</v>
      </c>
      <c r="H441" s="41" t="s">
        <v>408</v>
      </c>
      <c r="I441" s="1" t="s">
        <v>409</v>
      </c>
      <c r="J441" s="26" t="s">
        <v>39</v>
      </c>
      <c r="K441" s="27">
        <v>0.94339622641509424</v>
      </c>
      <c r="L441" s="33">
        <v>0.33333333333333331</v>
      </c>
      <c r="M441" s="41" t="s">
        <v>410</v>
      </c>
      <c r="N441" s="1" t="s">
        <v>38</v>
      </c>
      <c r="O441" s="26" t="s">
        <v>42</v>
      </c>
      <c r="P441" s="27">
        <v>3.2258064516129035</v>
      </c>
      <c r="Q441" s="33">
        <v>0.33333333333333331</v>
      </c>
      <c r="R441" s="55" t="s">
        <v>37</v>
      </c>
      <c r="S441" s="26" t="s">
        <v>38</v>
      </c>
      <c r="T441" s="26" t="s">
        <v>39</v>
      </c>
      <c r="U441" s="27">
        <v>0.95238095238095233</v>
      </c>
      <c r="V441" s="33">
        <v>0.33333333333333331</v>
      </c>
      <c r="W441" s="26" t="s">
        <v>408</v>
      </c>
      <c r="X441" s="26" t="s">
        <v>409</v>
      </c>
      <c r="Y441" s="26" t="s">
        <v>39</v>
      </c>
      <c r="Z441" s="27">
        <v>0.94339622641509424</v>
      </c>
      <c r="AA441" s="33">
        <v>0.33333333333333331</v>
      </c>
      <c r="AB441" s="26" t="s">
        <v>411</v>
      </c>
      <c r="AC441" s="26" t="s">
        <v>38</v>
      </c>
      <c r="AD441" s="26" t="s">
        <v>42</v>
      </c>
      <c r="AE441" s="27">
        <v>2.5</v>
      </c>
      <c r="AF441" s="36">
        <v>0.33333333333333331</v>
      </c>
      <c r="AG441" s="31">
        <v>0</v>
      </c>
      <c r="AH441" t="s">
        <v>44</v>
      </c>
    </row>
    <row r="442" spans="1:34">
      <c r="A442" s="15" t="s">
        <v>501</v>
      </c>
      <c r="B442" s="8" t="s">
        <v>496</v>
      </c>
      <c r="C442" s="41" t="s">
        <v>37</v>
      </c>
      <c r="D442" s="1" t="s">
        <v>38</v>
      </c>
      <c r="E442" s="26" t="s">
        <v>39</v>
      </c>
      <c r="F442" s="27">
        <v>0.95238095238095233</v>
      </c>
      <c r="G442" s="33">
        <v>0.33333333333333331</v>
      </c>
      <c r="H442" s="41" t="s">
        <v>408</v>
      </c>
      <c r="I442" s="1" t="s">
        <v>409</v>
      </c>
      <c r="J442" s="26" t="s">
        <v>39</v>
      </c>
      <c r="K442" s="27">
        <v>0.94339622641509424</v>
      </c>
      <c r="L442" s="33">
        <v>0.33333333333333331</v>
      </c>
      <c r="M442" s="41" t="s">
        <v>410</v>
      </c>
      <c r="N442" s="1" t="s">
        <v>38</v>
      </c>
      <c r="O442" s="26" t="s">
        <v>42</v>
      </c>
      <c r="P442" s="27">
        <v>3.2258064516129035</v>
      </c>
      <c r="Q442" s="33">
        <v>0.33333333333333331</v>
      </c>
      <c r="R442" s="55" t="s">
        <v>37</v>
      </c>
      <c r="S442" s="26" t="s">
        <v>38</v>
      </c>
      <c r="T442" s="26" t="s">
        <v>39</v>
      </c>
      <c r="U442" s="27">
        <v>0.95238095238095233</v>
      </c>
      <c r="V442" s="33">
        <v>0.33333333333333331</v>
      </c>
      <c r="W442" s="26" t="s">
        <v>408</v>
      </c>
      <c r="X442" s="26" t="s">
        <v>409</v>
      </c>
      <c r="Y442" s="26" t="s">
        <v>39</v>
      </c>
      <c r="Z442" s="27">
        <v>0.94339622641509424</v>
      </c>
      <c r="AA442" s="33">
        <v>0.33333333333333331</v>
      </c>
      <c r="AB442" s="26" t="s">
        <v>411</v>
      </c>
      <c r="AC442" s="26" t="s">
        <v>38</v>
      </c>
      <c r="AD442" s="26" t="s">
        <v>42</v>
      </c>
      <c r="AE442" s="27">
        <v>2.5</v>
      </c>
      <c r="AF442" s="36">
        <v>0.33333333333333331</v>
      </c>
      <c r="AG442" s="31">
        <v>0</v>
      </c>
      <c r="AH442" t="s">
        <v>44</v>
      </c>
    </row>
    <row r="443" spans="1:34">
      <c r="A443" s="15" t="s">
        <v>502</v>
      </c>
      <c r="B443" s="8" t="s">
        <v>496</v>
      </c>
      <c r="C443" s="41" t="s">
        <v>37</v>
      </c>
      <c r="D443" s="1" t="s">
        <v>38</v>
      </c>
      <c r="E443" s="26" t="s">
        <v>39</v>
      </c>
      <c r="F443" s="27">
        <v>0.95238095238095233</v>
      </c>
      <c r="G443" s="33">
        <v>0.33333333333333331</v>
      </c>
      <c r="H443" s="41" t="s">
        <v>408</v>
      </c>
      <c r="I443" s="1" t="s">
        <v>409</v>
      </c>
      <c r="J443" s="26" t="s">
        <v>39</v>
      </c>
      <c r="K443" s="27">
        <v>0.94339622641509424</v>
      </c>
      <c r="L443" s="33">
        <v>0.33333333333333331</v>
      </c>
      <c r="M443" s="41" t="s">
        <v>410</v>
      </c>
      <c r="N443" s="1" t="s">
        <v>38</v>
      </c>
      <c r="O443" s="26" t="s">
        <v>42</v>
      </c>
      <c r="P443" s="27">
        <v>3.2258064516129035</v>
      </c>
      <c r="Q443" s="33">
        <v>0.33333333333333331</v>
      </c>
      <c r="R443" s="55" t="s">
        <v>37</v>
      </c>
      <c r="S443" s="26" t="s">
        <v>38</v>
      </c>
      <c r="T443" s="26" t="s">
        <v>39</v>
      </c>
      <c r="U443" s="27">
        <v>0.95238095238095233</v>
      </c>
      <c r="V443" s="33">
        <v>0.33333333333333331</v>
      </c>
      <c r="W443" s="26" t="s">
        <v>408</v>
      </c>
      <c r="X443" s="26" t="s">
        <v>409</v>
      </c>
      <c r="Y443" s="26" t="s">
        <v>39</v>
      </c>
      <c r="Z443" s="27">
        <v>0.94339622641509424</v>
      </c>
      <c r="AA443" s="33">
        <v>0.33333333333333331</v>
      </c>
      <c r="AB443" s="26" t="s">
        <v>411</v>
      </c>
      <c r="AC443" s="26" t="s">
        <v>38</v>
      </c>
      <c r="AD443" s="26" t="s">
        <v>42</v>
      </c>
      <c r="AE443" s="27">
        <v>2.5</v>
      </c>
      <c r="AF443" s="36">
        <v>0.33333333333333331</v>
      </c>
      <c r="AG443" s="31">
        <v>0</v>
      </c>
      <c r="AH443" t="s">
        <v>44</v>
      </c>
    </row>
    <row r="444" spans="1:34">
      <c r="A444" s="15" t="s">
        <v>503</v>
      </c>
      <c r="B444" s="8" t="s">
        <v>496</v>
      </c>
      <c r="C444" s="41" t="s">
        <v>37</v>
      </c>
      <c r="D444" s="1" t="s">
        <v>38</v>
      </c>
      <c r="E444" s="26" t="s">
        <v>39</v>
      </c>
      <c r="F444" s="27">
        <v>0.95238095238095233</v>
      </c>
      <c r="G444" s="33">
        <v>0.33333333333333331</v>
      </c>
      <c r="H444" s="41" t="s">
        <v>408</v>
      </c>
      <c r="I444" s="1" t="s">
        <v>409</v>
      </c>
      <c r="J444" s="26" t="s">
        <v>39</v>
      </c>
      <c r="K444" s="27">
        <v>0.94339622641509424</v>
      </c>
      <c r="L444" s="33">
        <v>0.33333333333333331</v>
      </c>
      <c r="M444" s="41" t="s">
        <v>410</v>
      </c>
      <c r="N444" s="1" t="s">
        <v>38</v>
      </c>
      <c r="O444" s="26" t="s">
        <v>42</v>
      </c>
      <c r="P444" s="27">
        <v>3.2258064516129035</v>
      </c>
      <c r="Q444" s="33">
        <v>0.33333333333333331</v>
      </c>
      <c r="R444" s="55" t="s">
        <v>37</v>
      </c>
      <c r="S444" s="26" t="s">
        <v>38</v>
      </c>
      <c r="T444" s="26" t="s">
        <v>39</v>
      </c>
      <c r="U444" s="27">
        <v>0.95238095238095233</v>
      </c>
      <c r="V444" s="33">
        <v>0.33333333333333331</v>
      </c>
      <c r="W444" s="26" t="s">
        <v>408</v>
      </c>
      <c r="X444" s="26" t="s">
        <v>409</v>
      </c>
      <c r="Y444" s="26" t="s">
        <v>39</v>
      </c>
      <c r="Z444" s="27">
        <v>0.94339622641509424</v>
      </c>
      <c r="AA444" s="33">
        <v>0.33333333333333331</v>
      </c>
      <c r="AB444" s="26" t="s">
        <v>411</v>
      </c>
      <c r="AC444" s="26" t="s">
        <v>38</v>
      </c>
      <c r="AD444" s="26" t="s">
        <v>42</v>
      </c>
      <c r="AE444" s="27">
        <v>2.5</v>
      </c>
      <c r="AF444" s="36">
        <v>0.33333333333333331</v>
      </c>
      <c r="AG444" s="31">
        <v>0</v>
      </c>
      <c r="AH444" t="s">
        <v>44</v>
      </c>
    </row>
    <row r="445" spans="1:34">
      <c r="A445" s="15" t="s">
        <v>504</v>
      </c>
      <c r="B445" s="8" t="s">
        <v>496</v>
      </c>
      <c r="C445" s="41" t="s">
        <v>37</v>
      </c>
      <c r="D445" s="1" t="s">
        <v>38</v>
      </c>
      <c r="E445" s="26" t="s">
        <v>39</v>
      </c>
      <c r="F445" s="27">
        <v>0.95238095238095233</v>
      </c>
      <c r="G445" s="33">
        <v>0.33333333333333331</v>
      </c>
      <c r="H445" s="41" t="s">
        <v>408</v>
      </c>
      <c r="I445" s="1" t="s">
        <v>409</v>
      </c>
      <c r="J445" s="26" t="s">
        <v>39</v>
      </c>
      <c r="K445" s="27">
        <v>0.94339622641509424</v>
      </c>
      <c r="L445" s="33">
        <v>0.33333333333333331</v>
      </c>
      <c r="M445" s="41" t="s">
        <v>410</v>
      </c>
      <c r="N445" s="1" t="s">
        <v>38</v>
      </c>
      <c r="O445" s="26" t="s">
        <v>42</v>
      </c>
      <c r="P445" s="27">
        <v>3.2258064516129035</v>
      </c>
      <c r="Q445" s="33">
        <v>0.33333333333333331</v>
      </c>
      <c r="R445" s="55" t="s">
        <v>37</v>
      </c>
      <c r="S445" s="26" t="s">
        <v>38</v>
      </c>
      <c r="T445" s="26" t="s">
        <v>39</v>
      </c>
      <c r="U445" s="27">
        <v>0.95238095238095233</v>
      </c>
      <c r="V445" s="33">
        <v>0.33333333333333331</v>
      </c>
      <c r="W445" s="26" t="s">
        <v>408</v>
      </c>
      <c r="X445" s="26" t="s">
        <v>409</v>
      </c>
      <c r="Y445" s="26" t="s">
        <v>39</v>
      </c>
      <c r="Z445" s="27">
        <v>0.94339622641509424</v>
      </c>
      <c r="AA445" s="33">
        <v>0.33333333333333331</v>
      </c>
      <c r="AB445" s="26" t="s">
        <v>411</v>
      </c>
      <c r="AC445" s="26" t="s">
        <v>38</v>
      </c>
      <c r="AD445" s="26" t="s">
        <v>42</v>
      </c>
      <c r="AE445" s="27">
        <v>2.5</v>
      </c>
      <c r="AF445" s="36">
        <v>0.33333333333333331</v>
      </c>
      <c r="AG445" s="31">
        <v>0</v>
      </c>
      <c r="AH445" t="s">
        <v>44</v>
      </c>
    </row>
    <row r="446" spans="1:34">
      <c r="A446" s="15" t="s">
        <v>505</v>
      </c>
      <c r="B446" s="8" t="s">
        <v>496</v>
      </c>
      <c r="C446" s="41" t="s">
        <v>37</v>
      </c>
      <c r="D446" s="1" t="s">
        <v>38</v>
      </c>
      <c r="E446" s="26" t="s">
        <v>39</v>
      </c>
      <c r="F446" s="27">
        <v>0.95238095238095233</v>
      </c>
      <c r="G446" s="33">
        <v>0.33333333333333331</v>
      </c>
      <c r="H446" s="41" t="s">
        <v>408</v>
      </c>
      <c r="I446" s="1" t="s">
        <v>409</v>
      </c>
      <c r="J446" s="26" t="s">
        <v>39</v>
      </c>
      <c r="K446" s="27">
        <v>0.94339622641509424</v>
      </c>
      <c r="L446" s="33">
        <v>0.33333333333333331</v>
      </c>
      <c r="M446" s="41" t="s">
        <v>410</v>
      </c>
      <c r="N446" s="1" t="s">
        <v>38</v>
      </c>
      <c r="O446" s="26" t="s">
        <v>42</v>
      </c>
      <c r="P446" s="27">
        <v>3.2258064516129035</v>
      </c>
      <c r="Q446" s="33">
        <v>0.33333333333333331</v>
      </c>
      <c r="R446" s="55" t="s">
        <v>37</v>
      </c>
      <c r="S446" s="26" t="s">
        <v>38</v>
      </c>
      <c r="T446" s="26" t="s">
        <v>39</v>
      </c>
      <c r="U446" s="27">
        <v>0.95238095238095233</v>
      </c>
      <c r="V446" s="33">
        <v>0.33333333333333331</v>
      </c>
      <c r="W446" s="26" t="s">
        <v>408</v>
      </c>
      <c r="X446" s="26" t="s">
        <v>409</v>
      </c>
      <c r="Y446" s="26" t="s">
        <v>39</v>
      </c>
      <c r="Z446" s="27">
        <v>0.94339622641509424</v>
      </c>
      <c r="AA446" s="33">
        <v>0.33333333333333331</v>
      </c>
      <c r="AB446" s="26" t="s">
        <v>411</v>
      </c>
      <c r="AC446" s="26" t="s">
        <v>38</v>
      </c>
      <c r="AD446" s="26" t="s">
        <v>42</v>
      </c>
      <c r="AE446" s="27">
        <v>2.5</v>
      </c>
      <c r="AF446" s="36">
        <v>0.33333333333333331</v>
      </c>
      <c r="AG446" s="31">
        <v>0</v>
      </c>
      <c r="AH446" t="s">
        <v>44</v>
      </c>
    </row>
    <row r="447" spans="1:34">
      <c r="A447" s="15" t="s">
        <v>506</v>
      </c>
      <c r="B447" s="8" t="s">
        <v>496</v>
      </c>
      <c r="C447" s="41" t="s">
        <v>37</v>
      </c>
      <c r="D447" s="1" t="s">
        <v>38</v>
      </c>
      <c r="E447" s="26" t="s">
        <v>39</v>
      </c>
      <c r="F447" s="27">
        <v>0.95238095238095233</v>
      </c>
      <c r="G447" s="33">
        <v>0.33333333333333331</v>
      </c>
      <c r="H447" s="41" t="s">
        <v>408</v>
      </c>
      <c r="I447" s="1" t="s">
        <v>409</v>
      </c>
      <c r="J447" s="26" t="s">
        <v>39</v>
      </c>
      <c r="K447" s="27">
        <v>0.94339622641509424</v>
      </c>
      <c r="L447" s="33">
        <v>0.33333333333333331</v>
      </c>
      <c r="M447" s="41" t="s">
        <v>410</v>
      </c>
      <c r="N447" s="1" t="s">
        <v>38</v>
      </c>
      <c r="O447" s="26" t="s">
        <v>42</v>
      </c>
      <c r="P447" s="27">
        <v>3.2258064516129035</v>
      </c>
      <c r="Q447" s="33">
        <v>0.33333333333333331</v>
      </c>
      <c r="R447" s="55" t="s">
        <v>37</v>
      </c>
      <c r="S447" s="26" t="s">
        <v>38</v>
      </c>
      <c r="T447" s="26" t="s">
        <v>39</v>
      </c>
      <c r="U447" s="27">
        <v>0.95238095238095233</v>
      </c>
      <c r="V447" s="33">
        <v>0.33333333333333331</v>
      </c>
      <c r="W447" s="26" t="s">
        <v>408</v>
      </c>
      <c r="X447" s="26" t="s">
        <v>409</v>
      </c>
      <c r="Y447" s="26" t="s">
        <v>39</v>
      </c>
      <c r="Z447" s="27">
        <v>0.94339622641509424</v>
      </c>
      <c r="AA447" s="33">
        <v>0.33333333333333331</v>
      </c>
      <c r="AB447" s="26" t="s">
        <v>411</v>
      </c>
      <c r="AC447" s="26" t="s">
        <v>38</v>
      </c>
      <c r="AD447" s="26" t="s">
        <v>42</v>
      </c>
      <c r="AE447" s="27">
        <v>2.5</v>
      </c>
      <c r="AF447" s="36">
        <v>0.33333333333333331</v>
      </c>
      <c r="AG447" s="31">
        <v>0</v>
      </c>
      <c r="AH447" t="s">
        <v>44</v>
      </c>
    </row>
    <row r="448" spans="1:34">
      <c r="A448" s="15" t="s">
        <v>507</v>
      </c>
      <c r="B448" s="8" t="s">
        <v>496</v>
      </c>
      <c r="C448" s="41" t="s">
        <v>37</v>
      </c>
      <c r="D448" s="1" t="s">
        <v>38</v>
      </c>
      <c r="E448" s="26" t="s">
        <v>39</v>
      </c>
      <c r="F448" s="27">
        <v>0.95238095238095233</v>
      </c>
      <c r="G448" s="33">
        <v>0.33333333333333331</v>
      </c>
      <c r="H448" s="41" t="s">
        <v>408</v>
      </c>
      <c r="I448" s="1" t="s">
        <v>409</v>
      </c>
      <c r="J448" s="26" t="s">
        <v>39</v>
      </c>
      <c r="K448" s="27">
        <v>0.94339622641509424</v>
      </c>
      <c r="L448" s="33">
        <v>0.33333333333333331</v>
      </c>
      <c r="M448" s="41" t="s">
        <v>410</v>
      </c>
      <c r="N448" s="1" t="s">
        <v>38</v>
      </c>
      <c r="O448" s="26" t="s">
        <v>42</v>
      </c>
      <c r="P448" s="27">
        <v>3.2258064516129035</v>
      </c>
      <c r="Q448" s="33">
        <v>0.33333333333333331</v>
      </c>
      <c r="R448" s="55" t="s">
        <v>37</v>
      </c>
      <c r="S448" s="26" t="s">
        <v>38</v>
      </c>
      <c r="T448" s="26" t="s">
        <v>39</v>
      </c>
      <c r="U448" s="27">
        <v>0.95238095238095233</v>
      </c>
      <c r="V448" s="33">
        <v>0.33333333333333331</v>
      </c>
      <c r="W448" s="26" t="s">
        <v>408</v>
      </c>
      <c r="X448" s="26" t="s">
        <v>409</v>
      </c>
      <c r="Y448" s="26" t="s">
        <v>39</v>
      </c>
      <c r="Z448" s="27">
        <v>0.94339622641509424</v>
      </c>
      <c r="AA448" s="33">
        <v>0.33333333333333331</v>
      </c>
      <c r="AB448" s="26" t="s">
        <v>411</v>
      </c>
      <c r="AC448" s="26" t="s">
        <v>38</v>
      </c>
      <c r="AD448" s="26" t="s">
        <v>42</v>
      </c>
      <c r="AE448" s="27">
        <v>2.5</v>
      </c>
      <c r="AF448" s="36">
        <v>0.33333333333333331</v>
      </c>
      <c r="AG448" s="31">
        <v>0</v>
      </c>
      <c r="AH448" t="s">
        <v>44</v>
      </c>
    </row>
    <row r="449" spans="1:34">
      <c r="A449" s="15" t="s">
        <v>508</v>
      </c>
      <c r="B449" s="8" t="s">
        <v>496</v>
      </c>
      <c r="C449" s="41" t="s">
        <v>37</v>
      </c>
      <c r="D449" s="1" t="s">
        <v>38</v>
      </c>
      <c r="E449" s="26" t="s">
        <v>39</v>
      </c>
      <c r="F449" s="27">
        <v>0.95238095238095233</v>
      </c>
      <c r="G449" s="33">
        <v>0.33333333333333331</v>
      </c>
      <c r="H449" s="41" t="s">
        <v>408</v>
      </c>
      <c r="I449" s="1" t="s">
        <v>409</v>
      </c>
      <c r="J449" s="26" t="s">
        <v>39</v>
      </c>
      <c r="K449" s="27">
        <v>0.94339622641509424</v>
      </c>
      <c r="L449" s="33">
        <v>0.33333333333333331</v>
      </c>
      <c r="M449" s="41" t="s">
        <v>410</v>
      </c>
      <c r="N449" s="1" t="s">
        <v>38</v>
      </c>
      <c r="O449" s="26" t="s">
        <v>42</v>
      </c>
      <c r="P449" s="27">
        <v>3.2258064516129035</v>
      </c>
      <c r="Q449" s="33">
        <v>0.33333333333333331</v>
      </c>
      <c r="R449" s="55" t="s">
        <v>37</v>
      </c>
      <c r="S449" s="26" t="s">
        <v>38</v>
      </c>
      <c r="T449" s="26" t="s">
        <v>39</v>
      </c>
      <c r="U449" s="27">
        <v>0.95238095238095233</v>
      </c>
      <c r="V449" s="33">
        <v>0.33333333333333331</v>
      </c>
      <c r="W449" s="26" t="s">
        <v>408</v>
      </c>
      <c r="X449" s="26" t="s">
        <v>409</v>
      </c>
      <c r="Y449" s="26" t="s">
        <v>39</v>
      </c>
      <c r="Z449" s="27">
        <v>0.94339622641509424</v>
      </c>
      <c r="AA449" s="33">
        <v>0.33333333333333331</v>
      </c>
      <c r="AB449" s="26" t="s">
        <v>411</v>
      </c>
      <c r="AC449" s="26" t="s">
        <v>38</v>
      </c>
      <c r="AD449" s="26" t="s">
        <v>42</v>
      </c>
      <c r="AE449" s="27">
        <v>2.5</v>
      </c>
      <c r="AF449" s="36">
        <v>0.33333333333333331</v>
      </c>
      <c r="AG449" s="31">
        <v>0</v>
      </c>
      <c r="AH449" t="s">
        <v>44</v>
      </c>
    </row>
    <row r="450" spans="1:34">
      <c r="A450" s="15" t="s">
        <v>509</v>
      </c>
      <c r="B450" s="8" t="s">
        <v>496</v>
      </c>
      <c r="C450" s="41" t="s">
        <v>37</v>
      </c>
      <c r="D450" s="1" t="s">
        <v>38</v>
      </c>
      <c r="E450" s="26" t="s">
        <v>39</v>
      </c>
      <c r="F450" s="27">
        <v>0.95238095238095233</v>
      </c>
      <c r="G450" s="33">
        <v>0.33333333333333331</v>
      </c>
      <c r="H450" s="41" t="s">
        <v>408</v>
      </c>
      <c r="I450" s="1" t="s">
        <v>409</v>
      </c>
      <c r="J450" s="26" t="s">
        <v>39</v>
      </c>
      <c r="K450" s="27">
        <v>0.94339622641509424</v>
      </c>
      <c r="L450" s="33">
        <v>0.33333333333333331</v>
      </c>
      <c r="M450" s="41" t="s">
        <v>410</v>
      </c>
      <c r="N450" s="1" t="s">
        <v>38</v>
      </c>
      <c r="O450" s="26" t="s">
        <v>42</v>
      </c>
      <c r="P450" s="27">
        <v>3.2258064516129035</v>
      </c>
      <c r="Q450" s="33">
        <v>0.33333333333333331</v>
      </c>
      <c r="R450" s="55" t="s">
        <v>37</v>
      </c>
      <c r="S450" s="26" t="s">
        <v>38</v>
      </c>
      <c r="T450" s="26" t="s">
        <v>39</v>
      </c>
      <c r="U450" s="27">
        <v>0.95238095238095233</v>
      </c>
      <c r="V450" s="33">
        <v>0.33333333333333331</v>
      </c>
      <c r="W450" s="26" t="s">
        <v>408</v>
      </c>
      <c r="X450" s="26" t="s">
        <v>409</v>
      </c>
      <c r="Y450" s="26" t="s">
        <v>39</v>
      </c>
      <c r="Z450" s="27">
        <v>0.94339622641509424</v>
      </c>
      <c r="AA450" s="33">
        <v>0.33333333333333331</v>
      </c>
      <c r="AB450" s="26" t="s">
        <v>411</v>
      </c>
      <c r="AC450" s="26" t="s">
        <v>38</v>
      </c>
      <c r="AD450" s="26" t="s">
        <v>42</v>
      </c>
      <c r="AE450" s="27">
        <v>2.5</v>
      </c>
      <c r="AF450" s="36">
        <v>0.33333333333333331</v>
      </c>
      <c r="AG450" s="31">
        <v>0</v>
      </c>
      <c r="AH450" t="s">
        <v>44</v>
      </c>
    </row>
    <row r="451" spans="1:34">
      <c r="A451" s="15" t="s">
        <v>510</v>
      </c>
      <c r="B451" s="8" t="s">
        <v>496</v>
      </c>
      <c r="C451" s="41" t="s">
        <v>37</v>
      </c>
      <c r="D451" s="1" t="s">
        <v>38</v>
      </c>
      <c r="E451" s="26" t="s">
        <v>39</v>
      </c>
      <c r="F451" s="27">
        <v>0.95238095238095233</v>
      </c>
      <c r="G451" s="33">
        <v>0.33333333333333331</v>
      </c>
      <c r="H451" s="41" t="s">
        <v>408</v>
      </c>
      <c r="I451" s="1" t="s">
        <v>409</v>
      </c>
      <c r="J451" s="26" t="s">
        <v>39</v>
      </c>
      <c r="K451" s="27">
        <v>0.94339622641509424</v>
      </c>
      <c r="L451" s="33">
        <v>0.33333333333333331</v>
      </c>
      <c r="M451" s="41" t="s">
        <v>410</v>
      </c>
      <c r="N451" s="1" t="s">
        <v>38</v>
      </c>
      <c r="O451" s="26" t="s">
        <v>42</v>
      </c>
      <c r="P451" s="27">
        <v>3.2258064516129035</v>
      </c>
      <c r="Q451" s="33">
        <v>0.33333333333333331</v>
      </c>
      <c r="R451" s="55" t="s">
        <v>37</v>
      </c>
      <c r="S451" s="26" t="s">
        <v>38</v>
      </c>
      <c r="T451" s="26" t="s">
        <v>39</v>
      </c>
      <c r="U451" s="27">
        <v>0.95238095238095233</v>
      </c>
      <c r="V451" s="33">
        <v>0.33333333333333331</v>
      </c>
      <c r="W451" s="26" t="s">
        <v>408</v>
      </c>
      <c r="X451" s="26" t="s">
        <v>409</v>
      </c>
      <c r="Y451" s="26" t="s">
        <v>39</v>
      </c>
      <c r="Z451" s="27">
        <v>0.94339622641509424</v>
      </c>
      <c r="AA451" s="33">
        <v>0.33333333333333331</v>
      </c>
      <c r="AB451" s="26" t="s">
        <v>411</v>
      </c>
      <c r="AC451" s="26" t="s">
        <v>38</v>
      </c>
      <c r="AD451" s="26" t="s">
        <v>42</v>
      </c>
      <c r="AE451" s="27">
        <v>2.5</v>
      </c>
      <c r="AF451" s="36">
        <v>0.33333333333333331</v>
      </c>
      <c r="AG451" s="31">
        <v>0</v>
      </c>
      <c r="AH451" t="s">
        <v>44</v>
      </c>
    </row>
    <row r="452" spans="1:34">
      <c r="A452" s="15" t="s">
        <v>511</v>
      </c>
      <c r="B452" s="8" t="s">
        <v>496</v>
      </c>
      <c r="C452" s="41" t="s">
        <v>37</v>
      </c>
      <c r="D452" s="1" t="s">
        <v>38</v>
      </c>
      <c r="E452" s="26" t="s">
        <v>39</v>
      </c>
      <c r="F452" s="27">
        <v>0.95238095238095233</v>
      </c>
      <c r="G452" s="33">
        <v>0.33333333333333331</v>
      </c>
      <c r="H452" s="41" t="s">
        <v>408</v>
      </c>
      <c r="I452" s="1" t="s">
        <v>409</v>
      </c>
      <c r="J452" s="26" t="s">
        <v>39</v>
      </c>
      <c r="K452" s="27">
        <v>0.94339622641509424</v>
      </c>
      <c r="L452" s="33">
        <v>0.33333333333333331</v>
      </c>
      <c r="M452" s="41" t="s">
        <v>410</v>
      </c>
      <c r="N452" s="1" t="s">
        <v>38</v>
      </c>
      <c r="O452" s="26" t="s">
        <v>42</v>
      </c>
      <c r="P452" s="27">
        <v>3.2258064516129035</v>
      </c>
      <c r="Q452" s="33">
        <v>0.33333333333333331</v>
      </c>
      <c r="R452" s="55" t="s">
        <v>37</v>
      </c>
      <c r="S452" s="26" t="s">
        <v>38</v>
      </c>
      <c r="T452" s="26" t="s">
        <v>39</v>
      </c>
      <c r="U452" s="27">
        <v>0.95238095238095233</v>
      </c>
      <c r="V452" s="33">
        <v>0.33333333333333331</v>
      </c>
      <c r="W452" s="26" t="s">
        <v>408</v>
      </c>
      <c r="X452" s="26" t="s">
        <v>409</v>
      </c>
      <c r="Y452" s="26" t="s">
        <v>39</v>
      </c>
      <c r="Z452" s="27">
        <v>0.94339622641509424</v>
      </c>
      <c r="AA452" s="33">
        <v>0.33333333333333331</v>
      </c>
      <c r="AB452" s="26" t="s">
        <v>411</v>
      </c>
      <c r="AC452" s="26" t="s">
        <v>38</v>
      </c>
      <c r="AD452" s="26" t="s">
        <v>42</v>
      </c>
      <c r="AE452" s="27">
        <v>2.5</v>
      </c>
      <c r="AF452" s="36">
        <v>0.33333333333333331</v>
      </c>
      <c r="AG452" s="31">
        <v>0</v>
      </c>
      <c r="AH452" t="s">
        <v>44</v>
      </c>
    </row>
    <row r="453" spans="1:34">
      <c r="A453" s="15" t="s">
        <v>512</v>
      </c>
      <c r="B453" s="8" t="s">
        <v>496</v>
      </c>
      <c r="C453" s="41" t="s">
        <v>37</v>
      </c>
      <c r="D453" s="1" t="s">
        <v>38</v>
      </c>
      <c r="E453" s="26" t="s">
        <v>39</v>
      </c>
      <c r="F453" s="27">
        <v>0.95238095238095233</v>
      </c>
      <c r="G453" s="33">
        <v>0.33333333333333331</v>
      </c>
      <c r="H453" s="41" t="s">
        <v>408</v>
      </c>
      <c r="I453" s="1" t="s">
        <v>409</v>
      </c>
      <c r="J453" s="26" t="s">
        <v>39</v>
      </c>
      <c r="K453" s="27">
        <v>0.94339622641509424</v>
      </c>
      <c r="L453" s="33">
        <v>0.33333333333333331</v>
      </c>
      <c r="M453" s="41" t="s">
        <v>410</v>
      </c>
      <c r="N453" s="1" t="s">
        <v>38</v>
      </c>
      <c r="O453" s="26" t="s">
        <v>42</v>
      </c>
      <c r="P453" s="27">
        <v>3.2258064516129035</v>
      </c>
      <c r="Q453" s="33">
        <v>0.33333333333333331</v>
      </c>
      <c r="R453" s="55" t="s">
        <v>37</v>
      </c>
      <c r="S453" s="26" t="s">
        <v>38</v>
      </c>
      <c r="T453" s="26" t="s">
        <v>39</v>
      </c>
      <c r="U453" s="27">
        <v>0.95238095238095233</v>
      </c>
      <c r="V453" s="33">
        <v>0.33333333333333331</v>
      </c>
      <c r="W453" s="26" t="s">
        <v>408</v>
      </c>
      <c r="X453" s="26" t="s">
        <v>409</v>
      </c>
      <c r="Y453" s="26" t="s">
        <v>39</v>
      </c>
      <c r="Z453" s="27">
        <v>0.94339622641509424</v>
      </c>
      <c r="AA453" s="33">
        <v>0.33333333333333331</v>
      </c>
      <c r="AB453" s="26" t="s">
        <v>411</v>
      </c>
      <c r="AC453" s="26" t="s">
        <v>38</v>
      </c>
      <c r="AD453" s="26" t="s">
        <v>42</v>
      </c>
      <c r="AE453" s="27">
        <v>2.5</v>
      </c>
      <c r="AF453" s="36">
        <v>0.33333333333333331</v>
      </c>
      <c r="AG453" s="31">
        <v>0</v>
      </c>
      <c r="AH453" t="s">
        <v>44</v>
      </c>
    </row>
    <row r="454" spans="1:34">
      <c r="A454" s="15" t="s">
        <v>513</v>
      </c>
      <c r="B454" s="8" t="s">
        <v>496</v>
      </c>
      <c r="C454" s="41" t="s">
        <v>37</v>
      </c>
      <c r="D454" s="1" t="s">
        <v>38</v>
      </c>
      <c r="E454" s="26" t="s">
        <v>39</v>
      </c>
      <c r="F454" s="27">
        <v>0.95238095238095233</v>
      </c>
      <c r="G454" s="33">
        <v>0.33333333333333331</v>
      </c>
      <c r="H454" s="41" t="s">
        <v>408</v>
      </c>
      <c r="I454" s="1" t="s">
        <v>409</v>
      </c>
      <c r="J454" s="26" t="s">
        <v>39</v>
      </c>
      <c r="K454" s="27">
        <v>0.94339622641509424</v>
      </c>
      <c r="L454" s="33">
        <v>0.33333333333333331</v>
      </c>
      <c r="M454" s="41" t="s">
        <v>410</v>
      </c>
      <c r="N454" s="1" t="s">
        <v>38</v>
      </c>
      <c r="O454" s="26" t="s">
        <v>42</v>
      </c>
      <c r="P454" s="27">
        <v>3.2258064516129035</v>
      </c>
      <c r="Q454" s="33">
        <v>0.33333333333333331</v>
      </c>
      <c r="R454" s="55" t="s">
        <v>37</v>
      </c>
      <c r="S454" s="26" t="s">
        <v>38</v>
      </c>
      <c r="T454" s="26" t="s">
        <v>39</v>
      </c>
      <c r="U454" s="27">
        <v>0.95238095238095233</v>
      </c>
      <c r="V454" s="33">
        <v>0.33333333333333331</v>
      </c>
      <c r="W454" s="26" t="s">
        <v>408</v>
      </c>
      <c r="X454" s="26" t="s">
        <v>409</v>
      </c>
      <c r="Y454" s="26" t="s">
        <v>39</v>
      </c>
      <c r="Z454" s="27">
        <v>0.94339622641509424</v>
      </c>
      <c r="AA454" s="33">
        <v>0.33333333333333331</v>
      </c>
      <c r="AB454" s="26" t="s">
        <v>411</v>
      </c>
      <c r="AC454" s="26" t="s">
        <v>38</v>
      </c>
      <c r="AD454" s="26" t="s">
        <v>42</v>
      </c>
      <c r="AE454" s="27">
        <v>2.5</v>
      </c>
      <c r="AF454" s="36">
        <v>0.33333333333333331</v>
      </c>
      <c r="AG454" s="31">
        <v>0</v>
      </c>
      <c r="AH454" t="s">
        <v>44</v>
      </c>
    </row>
    <row r="455" spans="1:34">
      <c r="A455" s="15" t="s">
        <v>514</v>
      </c>
      <c r="B455" s="8" t="s">
        <v>496</v>
      </c>
      <c r="C455" s="41" t="s">
        <v>37</v>
      </c>
      <c r="D455" s="1" t="s">
        <v>38</v>
      </c>
      <c r="E455" s="26" t="s">
        <v>39</v>
      </c>
      <c r="F455" s="27">
        <v>0.95238095238095233</v>
      </c>
      <c r="G455" s="33">
        <v>0.33333333333333331</v>
      </c>
      <c r="H455" s="41" t="s">
        <v>408</v>
      </c>
      <c r="I455" s="1" t="s">
        <v>409</v>
      </c>
      <c r="J455" s="26" t="s">
        <v>39</v>
      </c>
      <c r="K455" s="27">
        <v>0.94339622641509424</v>
      </c>
      <c r="L455" s="33">
        <v>0.33333333333333331</v>
      </c>
      <c r="M455" s="41" t="s">
        <v>410</v>
      </c>
      <c r="N455" s="1" t="s">
        <v>38</v>
      </c>
      <c r="O455" s="26" t="s">
        <v>42</v>
      </c>
      <c r="P455" s="27">
        <v>3.2258064516129035</v>
      </c>
      <c r="Q455" s="33">
        <v>0.33333333333333331</v>
      </c>
      <c r="R455" s="55" t="s">
        <v>37</v>
      </c>
      <c r="S455" s="26" t="s">
        <v>38</v>
      </c>
      <c r="T455" s="26" t="s">
        <v>39</v>
      </c>
      <c r="U455" s="27">
        <v>0.95238095238095233</v>
      </c>
      <c r="V455" s="33">
        <v>0.33333333333333331</v>
      </c>
      <c r="W455" s="26" t="s">
        <v>408</v>
      </c>
      <c r="X455" s="26" t="s">
        <v>409</v>
      </c>
      <c r="Y455" s="26" t="s">
        <v>39</v>
      </c>
      <c r="Z455" s="27">
        <v>0.94339622641509424</v>
      </c>
      <c r="AA455" s="33">
        <v>0.33333333333333331</v>
      </c>
      <c r="AB455" s="26" t="s">
        <v>411</v>
      </c>
      <c r="AC455" s="26" t="s">
        <v>38</v>
      </c>
      <c r="AD455" s="26" t="s">
        <v>42</v>
      </c>
      <c r="AE455" s="27">
        <v>2.5</v>
      </c>
      <c r="AF455" s="36">
        <v>0.33333333333333331</v>
      </c>
      <c r="AG455" s="31">
        <v>0</v>
      </c>
      <c r="AH455" t="s">
        <v>44</v>
      </c>
    </row>
    <row r="456" spans="1:34">
      <c r="A456" s="15" t="s">
        <v>515</v>
      </c>
      <c r="B456" s="8" t="s">
        <v>496</v>
      </c>
      <c r="C456" s="41" t="s">
        <v>37</v>
      </c>
      <c r="D456" s="1" t="s">
        <v>38</v>
      </c>
      <c r="E456" s="26" t="s">
        <v>39</v>
      </c>
      <c r="F456" s="27">
        <v>0.95238095238095233</v>
      </c>
      <c r="G456" s="33">
        <v>0.33333333333333331</v>
      </c>
      <c r="H456" s="41" t="s">
        <v>408</v>
      </c>
      <c r="I456" s="1" t="s">
        <v>409</v>
      </c>
      <c r="J456" s="26" t="s">
        <v>39</v>
      </c>
      <c r="K456" s="27">
        <v>0.94339622641509424</v>
      </c>
      <c r="L456" s="33">
        <v>0.33333333333333331</v>
      </c>
      <c r="M456" s="41" t="s">
        <v>410</v>
      </c>
      <c r="N456" s="1" t="s">
        <v>38</v>
      </c>
      <c r="O456" s="26" t="s">
        <v>42</v>
      </c>
      <c r="P456" s="27">
        <v>3.2258064516129035</v>
      </c>
      <c r="Q456" s="33">
        <v>0.33333333333333331</v>
      </c>
      <c r="R456" s="55" t="s">
        <v>37</v>
      </c>
      <c r="S456" s="26" t="s">
        <v>38</v>
      </c>
      <c r="T456" s="26" t="s">
        <v>39</v>
      </c>
      <c r="U456" s="27">
        <v>0.95238095238095233</v>
      </c>
      <c r="V456" s="33">
        <v>0.33333333333333331</v>
      </c>
      <c r="W456" s="26" t="s">
        <v>408</v>
      </c>
      <c r="X456" s="26" t="s">
        <v>409</v>
      </c>
      <c r="Y456" s="26" t="s">
        <v>39</v>
      </c>
      <c r="Z456" s="27">
        <v>0.94339622641509424</v>
      </c>
      <c r="AA456" s="33">
        <v>0.33333333333333331</v>
      </c>
      <c r="AB456" s="26" t="s">
        <v>411</v>
      </c>
      <c r="AC456" s="26" t="s">
        <v>38</v>
      </c>
      <c r="AD456" s="26" t="s">
        <v>42</v>
      </c>
      <c r="AE456" s="27">
        <v>2.5</v>
      </c>
      <c r="AF456" s="36">
        <v>0.33333333333333331</v>
      </c>
      <c r="AG456" s="31">
        <v>0</v>
      </c>
      <c r="AH456" t="s">
        <v>44</v>
      </c>
    </row>
    <row r="457" spans="1:34">
      <c r="A457" s="15" t="s">
        <v>516</v>
      </c>
      <c r="B457" s="8" t="s">
        <v>496</v>
      </c>
      <c r="C457" s="41" t="s">
        <v>37</v>
      </c>
      <c r="D457" s="1" t="s">
        <v>38</v>
      </c>
      <c r="E457" s="26" t="s">
        <v>39</v>
      </c>
      <c r="F457" s="27">
        <v>0.95238095238095233</v>
      </c>
      <c r="G457" s="33">
        <v>0.33333333333333331</v>
      </c>
      <c r="H457" s="41" t="s">
        <v>408</v>
      </c>
      <c r="I457" s="1" t="s">
        <v>409</v>
      </c>
      <c r="J457" s="26" t="s">
        <v>39</v>
      </c>
      <c r="K457" s="27">
        <v>0.94339622641509424</v>
      </c>
      <c r="L457" s="33">
        <v>0.33333333333333331</v>
      </c>
      <c r="M457" s="41" t="s">
        <v>410</v>
      </c>
      <c r="N457" s="1" t="s">
        <v>38</v>
      </c>
      <c r="O457" s="26" t="s">
        <v>42</v>
      </c>
      <c r="P457" s="27">
        <v>3.2258064516129035</v>
      </c>
      <c r="Q457" s="33">
        <v>0.33333333333333331</v>
      </c>
      <c r="R457" s="55" t="s">
        <v>37</v>
      </c>
      <c r="S457" s="26" t="s">
        <v>38</v>
      </c>
      <c r="T457" s="26" t="s">
        <v>39</v>
      </c>
      <c r="U457" s="27">
        <v>0.95238095238095233</v>
      </c>
      <c r="V457" s="33">
        <v>0.33333333333333331</v>
      </c>
      <c r="W457" s="26" t="s">
        <v>408</v>
      </c>
      <c r="X457" s="26" t="s">
        <v>409</v>
      </c>
      <c r="Y457" s="26" t="s">
        <v>39</v>
      </c>
      <c r="Z457" s="27">
        <v>0.94339622641509424</v>
      </c>
      <c r="AA457" s="33">
        <v>0.33333333333333331</v>
      </c>
      <c r="AB457" s="26" t="s">
        <v>411</v>
      </c>
      <c r="AC457" s="26" t="s">
        <v>38</v>
      </c>
      <c r="AD457" s="26" t="s">
        <v>42</v>
      </c>
      <c r="AE457" s="27">
        <v>2.5</v>
      </c>
      <c r="AF457" s="36">
        <v>0.33333333333333331</v>
      </c>
      <c r="AG457" s="31">
        <v>0</v>
      </c>
      <c r="AH457" t="s">
        <v>44</v>
      </c>
    </row>
    <row r="458" spans="1:34">
      <c r="A458" s="15" t="s">
        <v>517</v>
      </c>
      <c r="B458" s="8" t="s">
        <v>496</v>
      </c>
      <c r="C458" s="41" t="s">
        <v>37</v>
      </c>
      <c r="D458" s="1" t="s">
        <v>38</v>
      </c>
      <c r="E458" s="26" t="s">
        <v>39</v>
      </c>
      <c r="F458" s="27">
        <v>0.95238095238095233</v>
      </c>
      <c r="G458" s="33">
        <v>0.33333333333333331</v>
      </c>
      <c r="H458" s="41" t="s">
        <v>408</v>
      </c>
      <c r="I458" s="1" t="s">
        <v>409</v>
      </c>
      <c r="J458" s="26" t="s">
        <v>39</v>
      </c>
      <c r="K458" s="27">
        <v>0.94339622641509424</v>
      </c>
      <c r="L458" s="33">
        <v>0.33333333333333331</v>
      </c>
      <c r="M458" s="41" t="s">
        <v>410</v>
      </c>
      <c r="N458" s="1" t="s">
        <v>38</v>
      </c>
      <c r="O458" s="26" t="s">
        <v>42</v>
      </c>
      <c r="P458" s="27">
        <v>3.2258064516129035</v>
      </c>
      <c r="Q458" s="33">
        <v>0.33333333333333331</v>
      </c>
      <c r="R458" s="55" t="s">
        <v>37</v>
      </c>
      <c r="S458" s="26" t="s">
        <v>38</v>
      </c>
      <c r="T458" s="26" t="s">
        <v>39</v>
      </c>
      <c r="U458" s="27">
        <v>0.95238095238095233</v>
      </c>
      <c r="V458" s="33">
        <v>0.33333333333333331</v>
      </c>
      <c r="W458" s="26" t="s">
        <v>408</v>
      </c>
      <c r="X458" s="26" t="s">
        <v>409</v>
      </c>
      <c r="Y458" s="26" t="s">
        <v>39</v>
      </c>
      <c r="Z458" s="27">
        <v>0.94339622641509424</v>
      </c>
      <c r="AA458" s="33">
        <v>0.33333333333333331</v>
      </c>
      <c r="AB458" s="26" t="s">
        <v>411</v>
      </c>
      <c r="AC458" s="26" t="s">
        <v>38</v>
      </c>
      <c r="AD458" s="26" t="s">
        <v>42</v>
      </c>
      <c r="AE458" s="27">
        <v>2.5</v>
      </c>
      <c r="AF458" s="36">
        <v>0.33333333333333331</v>
      </c>
      <c r="AG458" s="31">
        <v>0</v>
      </c>
      <c r="AH458" t="s">
        <v>44</v>
      </c>
    </row>
    <row r="459" spans="1:34">
      <c r="A459" s="15" t="s">
        <v>518</v>
      </c>
      <c r="B459" s="8" t="s">
        <v>496</v>
      </c>
      <c r="C459" s="41" t="s">
        <v>37</v>
      </c>
      <c r="D459" s="1" t="s">
        <v>38</v>
      </c>
      <c r="E459" s="26" t="s">
        <v>39</v>
      </c>
      <c r="F459" s="27">
        <v>0.95238095238095233</v>
      </c>
      <c r="G459" s="33">
        <v>0.33333333333333331</v>
      </c>
      <c r="H459" s="41" t="s">
        <v>408</v>
      </c>
      <c r="I459" s="1" t="s">
        <v>409</v>
      </c>
      <c r="J459" s="26" t="s">
        <v>39</v>
      </c>
      <c r="K459" s="27">
        <v>0.94339622641509424</v>
      </c>
      <c r="L459" s="33">
        <v>0.33333333333333331</v>
      </c>
      <c r="M459" s="41" t="s">
        <v>410</v>
      </c>
      <c r="N459" s="1" t="s">
        <v>38</v>
      </c>
      <c r="O459" s="26" t="s">
        <v>42</v>
      </c>
      <c r="P459" s="27">
        <v>3.2258064516129035</v>
      </c>
      <c r="Q459" s="33">
        <v>0.33333333333333331</v>
      </c>
      <c r="R459" s="55" t="s">
        <v>37</v>
      </c>
      <c r="S459" s="26" t="s">
        <v>38</v>
      </c>
      <c r="T459" s="26" t="s">
        <v>39</v>
      </c>
      <c r="U459" s="27">
        <v>0.95238095238095233</v>
      </c>
      <c r="V459" s="33">
        <v>0.33333333333333331</v>
      </c>
      <c r="W459" s="26" t="s">
        <v>408</v>
      </c>
      <c r="X459" s="26" t="s">
        <v>409</v>
      </c>
      <c r="Y459" s="26" t="s">
        <v>39</v>
      </c>
      <c r="Z459" s="27">
        <v>0.94339622641509424</v>
      </c>
      <c r="AA459" s="33">
        <v>0.33333333333333331</v>
      </c>
      <c r="AB459" s="26" t="s">
        <v>411</v>
      </c>
      <c r="AC459" s="26" t="s">
        <v>38</v>
      </c>
      <c r="AD459" s="26" t="s">
        <v>42</v>
      </c>
      <c r="AE459" s="27">
        <v>2.5</v>
      </c>
      <c r="AF459" s="36">
        <v>0.33333333333333331</v>
      </c>
      <c r="AG459" s="31">
        <v>0</v>
      </c>
      <c r="AH459" t="s">
        <v>44</v>
      </c>
    </row>
    <row r="460" spans="1:34">
      <c r="A460" s="15" t="s">
        <v>519</v>
      </c>
      <c r="B460" s="8" t="s">
        <v>496</v>
      </c>
      <c r="C460" s="41" t="s">
        <v>37</v>
      </c>
      <c r="D460" s="1" t="s">
        <v>38</v>
      </c>
      <c r="E460" s="26" t="s">
        <v>39</v>
      </c>
      <c r="F460" s="27">
        <v>0.95238095238095233</v>
      </c>
      <c r="G460" s="33">
        <v>0.33333333333333331</v>
      </c>
      <c r="H460" s="41" t="s">
        <v>408</v>
      </c>
      <c r="I460" s="1" t="s">
        <v>409</v>
      </c>
      <c r="J460" s="26" t="s">
        <v>39</v>
      </c>
      <c r="K460" s="27">
        <v>0.94339622641509424</v>
      </c>
      <c r="L460" s="33">
        <v>0.33333333333333331</v>
      </c>
      <c r="M460" s="41" t="s">
        <v>410</v>
      </c>
      <c r="N460" s="1" t="s">
        <v>38</v>
      </c>
      <c r="O460" s="26" t="s">
        <v>42</v>
      </c>
      <c r="P460" s="27">
        <v>3.2258064516129035</v>
      </c>
      <c r="Q460" s="33">
        <v>0.33333333333333331</v>
      </c>
      <c r="R460" s="55" t="s">
        <v>37</v>
      </c>
      <c r="S460" s="26" t="s">
        <v>38</v>
      </c>
      <c r="T460" s="26" t="s">
        <v>39</v>
      </c>
      <c r="U460" s="27">
        <v>0.95238095238095233</v>
      </c>
      <c r="V460" s="33">
        <v>0.33333333333333331</v>
      </c>
      <c r="W460" s="26" t="s">
        <v>408</v>
      </c>
      <c r="X460" s="26" t="s">
        <v>409</v>
      </c>
      <c r="Y460" s="26" t="s">
        <v>39</v>
      </c>
      <c r="Z460" s="27">
        <v>0.94339622641509424</v>
      </c>
      <c r="AA460" s="33">
        <v>0.33333333333333331</v>
      </c>
      <c r="AB460" s="26" t="s">
        <v>411</v>
      </c>
      <c r="AC460" s="26" t="s">
        <v>38</v>
      </c>
      <c r="AD460" s="26" t="s">
        <v>42</v>
      </c>
      <c r="AE460" s="27">
        <v>2.5</v>
      </c>
      <c r="AF460" s="36">
        <v>0.33333333333333331</v>
      </c>
      <c r="AG460" s="31">
        <v>0</v>
      </c>
      <c r="AH460" t="s">
        <v>44</v>
      </c>
    </row>
    <row r="461" spans="1:34">
      <c r="A461" s="15" t="s">
        <v>520</v>
      </c>
      <c r="B461" s="8" t="s">
        <v>496</v>
      </c>
      <c r="C461" s="41" t="s">
        <v>37</v>
      </c>
      <c r="D461" s="1" t="s">
        <v>38</v>
      </c>
      <c r="E461" s="26" t="s">
        <v>39</v>
      </c>
      <c r="F461" s="27">
        <v>0.95238095238095233</v>
      </c>
      <c r="G461" s="33">
        <v>0.33333333333333331</v>
      </c>
      <c r="H461" s="41" t="s">
        <v>408</v>
      </c>
      <c r="I461" s="1" t="s">
        <v>409</v>
      </c>
      <c r="J461" s="26" t="s">
        <v>39</v>
      </c>
      <c r="K461" s="27">
        <v>0.94339622641509424</v>
      </c>
      <c r="L461" s="33">
        <v>0.33333333333333331</v>
      </c>
      <c r="M461" s="41" t="s">
        <v>410</v>
      </c>
      <c r="N461" s="1" t="s">
        <v>38</v>
      </c>
      <c r="O461" s="26" t="s">
        <v>42</v>
      </c>
      <c r="P461" s="27">
        <v>3.2258064516129035</v>
      </c>
      <c r="Q461" s="33">
        <v>0.33333333333333331</v>
      </c>
      <c r="R461" s="55" t="s">
        <v>37</v>
      </c>
      <c r="S461" s="26" t="s">
        <v>38</v>
      </c>
      <c r="T461" s="26" t="s">
        <v>39</v>
      </c>
      <c r="U461" s="27">
        <v>0.95238095238095233</v>
      </c>
      <c r="V461" s="33">
        <v>0.33333333333333331</v>
      </c>
      <c r="W461" s="26" t="s">
        <v>408</v>
      </c>
      <c r="X461" s="26" t="s">
        <v>409</v>
      </c>
      <c r="Y461" s="26" t="s">
        <v>39</v>
      </c>
      <c r="Z461" s="27">
        <v>0.94339622641509424</v>
      </c>
      <c r="AA461" s="33">
        <v>0.33333333333333331</v>
      </c>
      <c r="AB461" s="26" t="s">
        <v>411</v>
      </c>
      <c r="AC461" s="26" t="s">
        <v>38</v>
      </c>
      <c r="AD461" s="26" t="s">
        <v>42</v>
      </c>
      <c r="AE461" s="27">
        <v>2.5</v>
      </c>
      <c r="AF461" s="36">
        <v>0.33333333333333331</v>
      </c>
      <c r="AG461" s="31">
        <v>0</v>
      </c>
      <c r="AH461" t="s">
        <v>44</v>
      </c>
    </row>
    <row r="462" spans="1:34">
      <c r="A462" s="15" t="s">
        <v>521</v>
      </c>
      <c r="B462" s="8" t="s">
        <v>496</v>
      </c>
      <c r="C462" s="41" t="s">
        <v>37</v>
      </c>
      <c r="D462" s="1" t="s">
        <v>38</v>
      </c>
      <c r="E462" s="26" t="s">
        <v>39</v>
      </c>
      <c r="F462" s="27">
        <v>0.95238095238095233</v>
      </c>
      <c r="G462" s="33">
        <v>0.33333333333333331</v>
      </c>
      <c r="H462" s="41" t="s">
        <v>408</v>
      </c>
      <c r="I462" s="1" t="s">
        <v>409</v>
      </c>
      <c r="J462" s="26" t="s">
        <v>39</v>
      </c>
      <c r="K462" s="27">
        <v>0.94339622641509424</v>
      </c>
      <c r="L462" s="33">
        <v>0.33333333333333331</v>
      </c>
      <c r="M462" s="41" t="s">
        <v>410</v>
      </c>
      <c r="N462" s="1" t="s">
        <v>38</v>
      </c>
      <c r="O462" s="26" t="s">
        <v>42</v>
      </c>
      <c r="P462" s="27">
        <v>3.2258064516129035</v>
      </c>
      <c r="Q462" s="33">
        <v>0.33333333333333331</v>
      </c>
      <c r="R462" s="55" t="s">
        <v>37</v>
      </c>
      <c r="S462" s="26" t="s">
        <v>38</v>
      </c>
      <c r="T462" s="26" t="s">
        <v>39</v>
      </c>
      <c r="U462" s="27">
        <v>0.95238095238095233</v>
      </c>
      <c r="V462" s="33">
        <v>0.33333333333333331</v>
      </c>
      <c r="W462" s="26" t="s">
        <v>408</v>
      </c>
      <c r="X462" s="26" t="s">
        <v>409</v>
      </c>
      <c r="Y462" s="26" t="s">
        <v>39</v>
      </c>
      <c r="Z462" s="27">
        <v>0.94339622641509424</v>
      </c>
      <c r="AA462" s="33">
        <v>0.33333333333333331</v>
      </c>
      <c r="AB462" s="26" t="s">
        <v>411</v>
      </c>
      <c r="AC462" s="26" t="s">
        <v>38</v>
      </c>
      <c r="AD462" s="26" t="s">
        <v>42</v>
      </c>
      <c r="AE462" s="27">
        <v>2.5</v>
      </c>
      <c r="AF462" s="36">
        <v>0.33333333333333331</v>
      </c>
      <c r="AG462" s="31">
        <v>0</v>
      </c>
      <c r="AH462" t="s">
        <v>44</v>
      </c>
    </row>
    <row r="463" spans="1:34">
      <c r="A463" s="15" t="s">
        <v>522</v>
      </c>
      <c r="B463" s="8" t="s">
        <v>496</v>
      </c>
      <c r="C463" s="41" t="s">
        <v>37</v>
      </c>
      <c r="D463" s="1" t="s">
        <v>38</v>
      </c>
      <c r="E463" s="26" t="s">
        <v>39</v>
      </c>
      <c r="F463" s="27">
        <v>0.95238095238095233</v>
      </c>
      <c r="G463" s="33">
        <v>0.33333333333333331</v>
      </c>
      <c r="H463" s="41" t="s">
        <v>408</v>
      </c>
      <c r="I463" s="1" t="s">
        <v>409</v>
      </c>
      <c r="J463" s="26" t="s">
        <v>39</v>
      </c>
      <c r="K463" s="27">
        <v>0.94339622641509424</v>
      </c>
      <c r="L463" s="33">
        <v>0.33333333333333331</v>
      </c>
      <c r="M463" s="41" t="s">
        <v>410</v>
      </c>
      <c r="N463" s="1" t="s">
        <v>38</v>
      </c>
      <c r="O463" s="26" t="s">
        <v>42</v>
      </c>
      <c r="P463" s="27">
        <v>3.2258064516129035</v>
      </c>
      <c r="Q463" s="33">
        <v>0.33333333333333331</v>
      </c>
      <c r="R463" s="55" t="s">
        <v>37</v>
      </c>
      <c r="S463" s="26" t="s">
        <v>38</v>
      </c>
      <c r="T463" s="26" t="s">
        <v>39</v>
      </c>
      <c r="U463" s="27">
        <v>0.95238095238095233</v>
      </c>
      <c r="V463" s="33">
        <v>0.33333333333333331</v>
      </c>
      <c r="W463" s="26" t="s">
        <v>408</v>
      </c>
      <c r="X463" s="26" t="s">
        <v>409</v>
      </c>
      <c r="Y463" s="26" t="s">
        <v>39</v>
      </c>
      <c r="Z463" s="27">
        <v>0.94339622641509424</v>
      </c>
      <c r="AA463" s="33">
        <v>0.33333333333333331</v>
      </c>
      <c r="AB463" s="26" t="s">
        <v>411</v>
      </c>
      <c r="AC463" s="26" t="s">
        <v>38</v>
      </c>
      <c r="AD463" s="26" t="s">
        <v>42</v>
      </c>
      <c r="AE463" s="27">
        <v>2.5</v>
      </c>
      <c r="AF463" s="36">
        <v>0.33333333333333331</v>
      </c>
      <c r="AG463" s="31">
        <v>0</v>
      </c>
      <c r="AH463" t="s">
        <v>44</v>
      </c>
    </row>
    <row r="464" spans="1:34">
      <c r="A464" s="15" t="s">
        <v>523</v>
      </c>
      <c r="B464" s="8" t="s">
        <v>496</v>
      </c>
      <c r="C464" s="41" t="s">
        <v>37</v>
      </c>
      <c r="D464" s="1" t="s">
        <v>38</v>
      </c>
      <c r="E464" s="26" t="s">
        <v>39</v>
      </c>
      <c r="F464" s="27">
        <v>0.95238095238095233</v>
      </c>
      <c r="G464" s="33">
        <v>0.33333333333333331</v>
      </c>
      <c r="H464" s="41" t="s">
        <v>408</v>
      </c>
      <c r="I464" s="1" t="s">
        <v>409</v>
      </c>
      <c r="J464" s="26" t="s">
        <v>39</v>
      </c>
      <c r="K464" s="27">
        <v>0.94339622641509424</v>
      </c>
      <c r="L464" s="33">
        <v>0.33333333333333331</v>
      </c>
      <c r="M464" s="41" t="s">
        <v>410</v>
      </c>
      <c r="N464" s="1" t="s">
        <v>38</v>
      </c>
      <c r="O464" s="26" t="s">
        <v>42</v>
      </c>
      <c r="P464" s="27">
        <v>3.2258064516129035</v>
      </c>
      <c r="Q464" s="33">
        <v>0.33333333333333331</v>
      </c>
      <c r="R464" s="55" t="s">
        <v>37</v>
      </c>
      <c r="S464" s="26" t="s">
        <v>38</v>
      </c>
      <c r="T464" s="26" t="s">
        <v>39</v>
      </c>
      <c r="U464" s="27">
        <v>0.95238095238095233</v>
      </c>
      <c r="V464" s="33">
        <v>0.33333333333333331</v>
      </c>
      <c r="W464" s="26" t="s">
        <v>408</v>
      </c>
      <c r="X464" s="26" t="s">
        <v>409</v>
      </c>
      <c r="Y464" s="26" t="s">
        <v>39</v>
      </c>
      <c r="Z464" s="27">
        <v>0.94339622641509424</v>
      </c>
      <c r="AA464" s="33">
        <v>0.33333333333333331</v>
      </c>
      <c r="AB464" s="26" t="s">
        <v>411</v>
      </c>
      <c r="AC464" s="26" t="s">
        <v>38</v>
      </c>
      <c r="AD464" s="26" t="s">
        <v>42</v>
      </c>
      <c r="AE464" s="27">
        <v>2.5</v>
      </c>
      <c r="AF464" s="36">
        <v>0.33333333333333331</v>
      </c>
      <c r="AG464" s="31">
        <v>0</v>
      </c>
      <c r="AH464" t="s">
        <v>44</v>
      </c>
    </row>
    <row r="465" spans="1:34">
      <c r="A465" s="15" t="s">
        <v>524</v>
      </c>
      <c r="B465" s="8" t="s">
        <v>496</v>
      </c>
      <c r="C465" s="41" t="s">
        <v>37</v>
      </c>
      <c r="D465" s="1" t="s">
        <v>38</v>
      </c>
      <c r="E465" s="26" t="s">
        <v>39</v>
      </c>
      <c r="F465" s="27">
        <v>0.95238095238095233</v>
      </c>
      <c r="G465" s="33">
        <v>0.33333333333333331</v>
      </c>
      <c r="H465" s="41" t="s">
        <v>408</v>
      </c>
      <c r="I465" s="1" t="s">
        <v>409</v>
      </c>
      <c r="J465" s="26" t="s">
        <v>39</v>
      </c>
      <c r="K465" s="27">
        <v>0.94339622641509424</v>
      </c>
      <c r="L465" s="33">
        <v>0.33333333333333331</v>
      </c>
      <c r="M465" s="41" t="s">
        <v>410</v>
      </c>
      <c r="N465" s="1" t="s">
        <v>38</v>
      </c>
      <c r="O465" s="26" t="s">
        <v>42</v>
      </c>
      <c r="P465" s="27">
        <v>3.2258064516129035</v>
      </c>
      <c r="Q465" s="33">
        <v>0.33333333333333331</v>
      </c>
      <c r="R465" s="55" t="s">
        <v>37</v>
      </c>
      <c r="S465" s="26" t="s">
        <v>38</v>
      </c>
      <c r="T465" s="26" t="s">
        <v>39</v>
      </c>
      <c r="U465" s="27">
        <v>0.95238095238095233</v>
      </c>
      <c r="V465" s="33">
        <v>0.33333333333333331</v>
      </c>
      <c r="W465" s="26" t="s">
        <v>408</v>
      </c>
      <c r="X465" s="26" t="s">
        <v>409</v>
      </c>
      <c r="Y465" s="26" t="s">
        <v>39</v>
      </c>
      <c r="Z465" s="27">
        <v>0.94339622641509424</v>
      </c>
      <c r="AA465" s="33">
        <v>0.33333333333333331</v>
      </c>
      <c r="AB465" s="26" t="s">
        <v>411</v>
      </c>
      <c r="AC465" s="26" t="s">
        <v>38</v>
      </c>
      <c r="AD465" s="26" t="s">
        <v>42</v>
      </c>
      <c r="AE465" s="27">
        <v>2.5</v>
      </c>
      <c r="AF465" s="36">
        <v>0.33333333333333331</v>
      </c>
      <c r="AG465" s="31">
        <v>0</v>
      </c>
      <c r="AH465" t="s">
        <v>44</v>
      </c>
    </row>
    <row r="466" spans="1:34">
      <c r="A466" s="15" t="s">
        <v>525</v>
      </c>
      <c r="B466" s="8" t="s">
        <v>496</v>
      </c>
      <c r="C466" s="41" t="s">
        <v>37</v>
      </c>
      <c r="D466" s="1" t="s">
        <v>38</v>
      </c>
      <c r="E466" s="26" t="s">
        <v>39</v>
      </c>
      <c r="F466" s="27">
        <v>0.95238095238095233</v>
      </c>
      <c r="G466" s="33">
        <v>0.33333333333333331</v>
      </c>
      <c r="H466" s="41" t="s">
        <v>408</v>
      </c>
      <c r="I466" s="1" t="s">
        <v>409</v>
      </c>
      <c r="J466" s="26" t="s">
        <v>39</v>
      </c>
      <c r="K466" s="27">
        <v>0.94339622641509424</v>
      </c>
      <c r="L466" s="33">
        <v>0.33333333333333331</v>
      </c>
      <c r="M466" s="41" t="s">
        <v>410</v>
      </c>
      <c r="N466" s="1" t="s">
        <v>38</v>
      </c>
      <c r="O466" s="26" t="s">
        <v>42</v>
      </c>
      <c r="P466" s="27">
        <v>3.2258064516129035</v>
      </c>
      <c r="Q466" s="33">
        <v>0.33333333333333331</v>
      </c>
      <c r="R466" s="55" t="s">
        <v>37</v>
      </c>
      <c r="S466" s="26" t="s">
        <v>38</v>
      </c>
      <c r="T466" s="26" t="s">
        <v>39</v>
      </c>
      <c r="U466" s="27">
        <v>0.95238095238095233</v>
      </c>
      <c r="V466" s="33">
        <v>0.33333333333333331</v>
      </c>
      <c r="W466" s="26" t="s">
        <v>408</v>
      </c>
      <c r="X466" s="26" t="s">
        <v>409</v>
      </c>
      <c r="Y466" s="26" t="s">
        <v>39</v>
      </c>
      <c r="Z466" s="27">
        <v>0.94339622641509424</v>
      </c>
      <c r="AA466" s="33">
        <v>0.33333333333333331</v>
      </c>
      <c r="AB466" s="26" t="s">
        <v>411</v>
      </c>
      <c r="AC466" s="26" t="s">
        <v>38</v>
      </c>
      <c r="AD466" s="26" t="s">
        <v>42</v>
      </c>
      <c r="AE466" s="27">
        <v>2.5</v>
      </c>
      <c r="AF466" s="36">
        <v>0.33333333333333331</v>
      </c>
      <c r="AG466" s="31">
        <v>0</v>
      </c>
      <c r="AH466" t="s">
        <v>44</v>
      </c>
    </row>
    <row r="467" spans="1:34">
      <c r="A467" s="15" t="s">
        <v>526</v>
      </c>
      <c r="B467" s="8" t="s">
        <v>496</v>
      </c>
      <c r="C467" s="41" t="s">
        <v>37</v>
      </c>
      <c r="D467" s="1" t="s">
        <v>38</v>
      </c>
      <c r="E467" s="26" t="s">
        <v>39</v>
      </c>
      <c r="F467" s="27">
        <v>0.95238095238095233</v>
      </c>
      <c r="G467" s="33">
        <v>0.33333333333333331</v>
      </c>
      <c r="H467" s="41" t="s">
        <v>408</v>
      </c>
      <c r="I467" s="1" t="s">
        <v>409</v>
      </c>
      <c r="J467" s="26" t="s">
        <v>39</v>
      </c>
      <c r="K467" s="27">
        <v>0.94339622641509424</v>
      </c>
      <c r="L467" s="33">
        <v>0.33333333333333331</v>
      </c>
      <c r="M467" s="41" t="s">
        <v>410</v>
      </c>
      <c r="N467" s="1" t="s">
        <v>38</v>
      </c>
      <c r="O467" s="26" t="s">
        <v>42</v>
      </c>
      <c r="P467" s="27">
        <v>3.2258064516129035</v>
      </c>
      <c r="Q467" s="33">
        <v>0.33333333333333331</v>
      </c>
      <c r="R467" s="55" t="s">
        <v>37</v>
      </c>
      <c r="S467" s="26" t="s">
        <v>38</v>
      </c>
      <c r="T467" s="26" t="s">
        <v>39</v>
      </c>
      <c r="U467" s="27">
        <v>0.95238095238095233</v>
      </c>
      <c r="V467" s="33">
        <v>0.33333333333333331</v>
      </c>
      <c r="W467" s="26" t="s">
        <v>408</v>
      </c>
      <c r="X467" s="26" t="s">
        <v>409</v>
      </c>
      <c r="Y467" s="26" t="s">
        <v>39</v>
      </c>
      <c r="Z467" s="27">
        <v>0.94339622641509424</v>
      </c>
      <c r="AA467" s="33">
        <v>0.33333333333333331</v>
      </c>
      <c r="AB467" s="26" t="s">
        <v>411</v>
      </c>
      <c r="AC467" s="26" t="s">
        <v>38</v>
      </c>
      <c r="AD467" s="26" t="s">
        <v>42</v>
      </c>
      <c r="AE467" s="27">
        <v>2.5</v>
      </c>
      <c r="AF467" s="36">
        <v>0.33333333333333331</v>
      </c>
      <c r="AG467" s="31">
        <v>0</v>
      </c>
      <c r="AH467" t="s">
        <v>44</v>
      </c>
    </row>
    <row r="468" spans="1:34">
      <c r="A468" s="15" t="s">
        <v>527</v>
      </c>
      <c r="B468" s="8" t="s">
        <v>496</v>
      </c>
      <c r="C468" s="41" t="s">
        <v>37</v>
      </c>
      <c r="D468" s="1" t="s">
        <v>38</v>
      </c>
      <c r="E468" s="26" t="s">
        <v>39</v>
      </c>
      <c r="F468" s="27">
        <v>0.95238095238095233</v>
      </c>
      <c r="G468" s="33">
        <v>0.33333333333333331</v>
      </c>
      <c r="H468" s="41" t="s">
        <v>408</v>
      </c>
      <c r="I468" s="1" t="s">
        <v>409</v>
      </c>
      <c r="J468" s="26" t="s">
        <v>39</v>
      </c>
      <c r="K468" s="27">
        <v>0.94339622641509424</v>
      </c>
      <c r="L468" s="33">
        <v>0.33333333333333331</v>
      </c>
      <c r="M468" s="41" t="s">
        <v>410</v>
      </c>
      <c r="N468" s="1" t="s">
        <v>38</v>
      </c>
      <c r="O468" s="26" t="s">
        <v>42</v>
      </c>
      <c r="P468" s="27">
        <v>3.2258064516129035</v>
      </c>
      <c r="Q468" s="33">
        <v>0.33333333333333331</v>
      </c>
      <c r="R468" s="55" t="s">
        <v>37</v>
      </c>
      <c r="S468" s="26" t="s">
        <v>38</v>
      </c>
      <c r="T468" s="26" t="s">
        <v>39</v>
      </c>
      <c r="U468" s="27">
        <v>0.95238095238095233</v>
      </c>
      <c r="V468" s="33">
        <v>0.33333333333333331</v>
      </c>
      <c r="W468" s="26" t="s">
        <v>408</v>
      </c>
      <c r="X468" s="26" t="s">
        <v>409</v>
      </c>
      <c r="Y468" s="26" t="s">
        <v>39</v>
      </c>
      <c r="Z468" s="27">
        <v>0.94339622641509424</v>
      </c>
      <c r="AA468" s="33">
        <v>0.33333333333333331</v>
      </c>
      <c r="AB468" s="26" t="s">
        <v>411</v>
      </c>
      <c r="AC468" s="26" t="s">
        <v>38</v>
      </c>
      <c r="AD468" s="26" t="s">
        <v>42</v>
      </c>
      <c r="AE468" s="27">
        <v>2.5</v>
      </c>
      <c r="AF468" s="36">
        <v>0.33333333333333331</v>
      </c>
      <c r="AG468" s="31">
        <v>0</v>
      </c>
      <c r="AH468" t="s">
        <v>44</v>
      </c>
    </row>
    <row r="469" spans="1:34">
      <c r="A469" s="15" t="s">
        <v>528</v>
      </c>
      <c r="B469" s="8" t="s">
        <v>496</v>
      </c>
      <c r="C469" s="41" t="s">
        <v>37</v>
      </c>
      <c r="D469" s="1" t="s">
        <v>38</v>
      </c>
      <c r="E469" s="26" t="s">
        <v>39</v>
      </c>
      <c r="F469" s="27">
        <v>0.95238095238095233</v>
      </c>
      <c r="G469" s="33">
        <v>0.33333333333333331</v>
      </c>
      <c r="H469" s="41" t="s">
        <v>408</v>
      </c>
      <c r="I469" s="1" t="s">
        <v>409</v>
      </c>
      <c r="J469" s="26" t="s">
        <v>39</v>
      </c>
      <c r="K469" s="27">
        <v>0.94339622641509424</v>
      </c>
      <c r="L469" s="33">
        <v>0.33333333333333331</v>
      </c>
      <c r="M469" s="41" t="s">
        <v>410</v>
      </c>
      <c r="N469" s="1" t="s">
        <v>38</v>
      </c>
      <c r="O469" s="26" t="s">
        <v>42</v>
      </c>
      <c r="P469" s="27">
        <v>3.2258064516129035</v>
      </c>
      <c r="Q469" s="33">
        <v>0.33333333333333331</v>
      </c>
      <c r="R469" s="55" t="s">
        <v>37</v>
      </c>
      <c r="S469" s="26" t="s">
        <v>38</v>
      </c>
      <c r="T469" s="26" t="s">
        <v>39</v>
      </c>
      <c r="U469" s="27">
        <v>0.95238095238095233</v>
      </c>
      <c r="V469" s="33">
        <v>0.33333333333333331</v>
      </c>
      <c r="W469" s="26" t="s">
        <v>408</v>
      </c>
      <c r="X469" s="26" t="s">
        <v>409</v>
      </c>
      <c r="Y469" s="26" t="s">
        <v>39</v>
      </c>
      <c r="Z469" s="27">
        <v>0.94339622641509424</v>
      </c>
      <c r="AA469" s="33">
        <v>0.33333333333333331</v>
      </c>
      <c r="AB469" s="26" t="s">
        <v>411</v>
      </c>
      <c r="AC469" s="26" t="s">
        <v>38</v>
      </c>
      <c r="AD469" s="26" t="s">
        <v>42</v>
      </c>
      <c r="AE469" s="27">
        <v>2.5</v>
      </c>
      <c r="AF469" s="36">
        <v>0.33333333333333331</v>
      </c>
      <c r="AG469" s="31">
        <v>0</v>
      </c>
      <c r="AH469" t="s">
        <v>44</v>
      </c>
    </row>
    <row r="470" spans="1:34">
      <c r="A470" s="15" t="s">
        <v>529</v>
      </c>
      <c r="B470" s="8" t="s">
        <v>496</v>
      </c>
      <c r="C470" s="41" t="s">
        <v>37</v>
      </c>
      <c r="D470" s="1" t="s">
        <v>38</v>
      </c>
      <c r="E470" s="26" t="s">
        <v>39</v>
      </c>
      <c r="F470" s="27">
        <v>0.95238095238095233</v>
      </c>
      <c r="G470" s="33">
        <v>0.33333333333333331</v>
      </c>
      <c r="H470" s="41" t="s">
        <v>408</v>
      </c>
      <c r="I470" s="1" t="s">
        <v>409</v>
      </c>
      <c r="J470" s="26" t="s">
        <v>39</v>
      </c>
      <c r="K470" s="27">
        <v>0.94339622641509424</v>
      </c>
      <c r="L470" s="33">
        <v>0.33333333333333331</v>
      </c>
      <c r="M470" s="41" t="s">
        <v>410</v>
      </c>
      <c r="N470" s="1" t="s">
        <v>38</v>
      </c>
      <c r="O470" s="26" t="s">
        <v>42</v>
      </c>
      <c r="P470" s="27">
        <v>3.2258064516129035</v>
      </c>
      <c r="Q470" s="33">
        <v>0.33333333333333331</v>
      </c>
      <c r="R470" s="55" t="s">
        <v>37</v>
      </c>
      <c r="S470" s="26" t="s">
        <v>38</v>
      </c>
      <c r="T470" s="26" t="s">
        <v>39</v>
      </c>
      <c r="U470" s="27">
        <v>0.95238095238095233</v>
      </c>
      <c r="V470" s="33">
        <v>0.33333333333333331</v>
      </c>
      <c r="W470" s="26" t="s">
        <v>408</v>
      </c>
      <c r="X470" s="26" t="s">
        <v>409</v>
      </c>
      <c r="Y470" s="26" t="s">
        <v>39</v>
      </c>
      <c r="Z470" s="27">
        <v>0.94339622641509424</v>
      </c>
      <c r="AA470" s="33">
        <v>0.33333333333333331</v>
      </c>
      <c r="AB470" s="26" t="s">
        <v>411</v>
      </c>
      <c r="AC470" s="26" t="s">
        <v>38</v>
      </c>
      <c r="AD470" s="26" t="s">
        <v>42</v>
      </c>
      <c r="AE470" s="27">
        <v>2.5</v>
      </c>
      <c r="AF470" s="36">
        <v>0.33333333333333331</v>
      </c>
      <c r="AG470" s="31">
        <v>0</v>
      </c>
      <c r="AH470" t="s">
        <v>44</v>
      </c>
    </row>
    <row r="471" spans="1:34">
      <c r="A471" s="15" t="s">
        <v>530</v>
      </c>
      <c r="B471" s="8" t="s">
        <v>496</v>
      </c>
      <c r="C471" s="41" t="s">
        <v>37</v>
      </c>
      <c r="D471" s="1" t="s">
        <v>38</v>
      </c>
      <c r="E471" s="26" t="s">
        <v>39</v>
      </c>
      <c r="F471" s="27">
        <v>0.95238095238095233</v>
      </c>
      <c r="G471" s="33">
        <v>0.33333333333333331</v>
      </c>
      <c r="H471" s="41" t="s">
        <v>408</v>
      </c>
      <c r="I471" s="1" t="s">
        <v>409</v>
      </c>
      <c r="J471" s="26" t="s">
        <v>39</v>
      </c>
      <c r="K471" s="27">
        <v>0.94339622641509424</v>
      </c>
      <c r="L471" s="33">
        <v>0.33333333333333331</v>
      </c>
      <c r="M471" s="41" t="s">
        <v>410</v>
      </c>
      <c r="N471" s="1" t="s">
        <v>38</v>
      </c>
      <c r="O471" s="26" t="s">
        <v>42</v>
      </c>
      <c r="P471" s="27">
        <v>3.2258064516129035</v>
      </c>
      <c r="Q471" s="33">
        <v>0.33333333333333331</v>
      </c>
      <c r="R471" s="55" t="s">
        <v>37</v>
      </c>
      <c r="S471" s="26" t="s">
        <v>38</v>
      </c>
      <c r="T471" s="26" t="s">
        <v>39</v>
      </c>
      <c r="U471" s="27">
        <v>0.95238095238095233</v>
      </c>
      <c r="V471" s="33">
        <v>0.33333333333333331</v>
      </c>
      <c r="W471" s="26" t="s">
        <v>408</v>
      </c>
      <c r="X471" s="26" t="s">
        <v>409</v>
      </c>
      <c r="Y471" s="26" t="s">
        <v>39</v>
      </c>
      <c r="Z471" s="27">
        <v>0.94339622641509424</v>
      </c>
      <c r="AA471" s="33">
        <v>0.33333333333333331</v>
      </c>
      <c r="AB471" s="26" t="s">
        <v>411</v>
      </c>
      <c r="AC471" s="26" t="s">
        <v>38</v>
      </c>
      <c r="AD471" s="26" t="s">
        <v>42</v>
      </c>
      <c r="AE471" s="27">
        <v>2.5</v>
      </c>
      <c r="AF471" s="36">
        <v>0.33333333333333331</v>
      </c>
      <c r="AG471" s="31">
        <v>0</v>
      </c>
      <c r="AH471" t="s">
        <v>44</v>
      </c>
    </row>
    <row r="472" spans="1:34">
      <c r="A472" s="15" t="s">
        <v>531</v>
      </c>
      <c r="B472" s="8" t="s">
        <v>496</v>
      </c>
      <c r="C472" s="41" t="s">
        <v>37</v>
      </c>
      <c r="D472" s="1" t="s">
        <v>38</v>
      </c>
      <c r="E472" s="26" t="s">
        <v>39</v>
      </c>
      <c r="F472" s="27">
        <v>0.95238095238095233</v>
      </c>
      <c r="G472" s="33">
        <v>0.33333333333333331</v>
      </c>
      <c r="H472" s="41" t="s">
        <v>408</v>
      </c>
      <c r="I472" s="1" t="s">
        <v>409</v>
      </c>
      <c r="J472" s="26" t="s">
        <v>39</v>
      </c>
      <c r="K472" s="27">
        <v>0.94339622641509424</v>
      </c>
      <c r="L472" s="33">
        <v>0.33333333333333331</v>
      </c>
      <c r="M472" s="41" t="s">
        <v>410</v>
      </c>
      <c r="N472" s="1" t="s">
        <v>38</v>
      </c>
      <c r="O472" s="26" t="s">
        <v>42</v>
      </c>
      <c r="P472" s="27">
        <v>3.2258064516129035</v>
      </c>
      <c r="Q472" s="33">
        <v>0.33333333333333331</v>
      </c>
      <c r="R472" s="55" t="s">
        <v>37</v>
      </c>
      <c r="S472" s="26" t="s">
        <v>38</v>
      </c>
      <c r="T472" s="26" t="s">
        <v>39</v>
      </c>
      <c r="U472" s="27">
        <v>0.95238095238095233</v>
      </c>
      <c r="V472" s="33">
        <v>0.33333333333333331</v>
      </c>
      <c r="W472" s="26" t="s">
        <v>408</v>
      </c>
      <c r="X472" s="26" t="s">
        <v>409</v>
      </c>
      <c r="Y472" s="26" t="s">
        <v>39</v>
      </c>
      <c r="Z472" s="27">
        <v>0.94339622641509424</v>
      </c>
      <c r="AA472" s="33">
        <v>0.33333333333333331</v>
      </c>
      <c r="AB472" s="26" t="s">
        <v>411</v>
      </c>
      <c r="AC472" s="26" t="s">
        <v>38</v>
      </c>
      <c r="AD472" s="26" t="s">
        <v>42</v>
      </c>
      <c r="AE472" s="27">
        <v>2.5</v>
      </c>
      <c r="AF472" s="36">
        <v>0.33333333333333331</v>
      </c>
      <c r="AG472" s="31">
        <v>0</v>
      </c>
      <c r="AH472" t="s">
        <v>44</v>
      </c>
    </row>
    <row r="473" spans="1:34">
      <c r="A473" s="15" t="s">
        <v>532</v>
      </c>
      <c r="B473" s="8" t="s">
        <v>496</v>
      </c>
      <c r="C473" s="41" t="s">
        <v>37</v>
      </c>
      <c r="D473" s="1" t="s">
        <v>38</v>
      </c>
      <c r="E473" s="26" t="s">
        <v>39</v>
      </c>
      <c r="F473" s="27">
        <v>0.95238095238095233</v>
      </c>
      <c r="G473" s="33">
        <v>0.33333333333333331</v>
      </c>
      <c r="H473" s="41" t="s">
        <v>408</v>
      </c>
      <c r="I473" s="1" t="s">
        <v>409</v>
      </c>
      <c r="J473" s="26" t="s">
        <v>39</v>
      </c>
      <c r="K473" s="27">
        <v>0.94339622641509424</v>
      </c>
      <c r="L473" s="33">
        <v>0.33333333333333331</v>
      </c>
      <c r="M473" s="41" t="s">
        <v>410</v>
      </c>
      <c r="N473" s="1" t="s">
        <v>38</v>
      </c>
      <c r="O473" s="26" t="s">
        <v>42</v>
      </c>
      <c r="P473" s="27">
        <v>3.2258064516129035</v>
      </c>
      <c r="Q473" s="33">
        <v>0.33333333333333331</v>
      </c>
      <c r="R473" s="55" t="s">
        <v>37</v>
      </c>
      <c r="S473" s="26" t="s">
        <v>38</v>
      </c>
      <c r="T473" s="26" t="s">
        <v>39</v>
      </c>
      <c r="U473" s="27">
        <v>0.95238095238095233</v>
      </c>
      <c r="V473" s="33">
        <v>0.33333333333333331</v>
      </c>
      <c r="W473" s="26" t="s">
        <v>408</v>
      </c>
      <c r="X473" s="26" t="s">
        <v>409</v>
      </c>
      <c r="Y473" s="26" t="s">
        <v>39</v>
      </c>
      <c r="Z473" s="27">
        <v>0.94339622641509424</v>
      </c>
      <c r="AA473" s="33">
        <v>0.33333333333333331</v>
      </c>
      <c r="AB473" s="26" t="s">
        <v>411</v>
      </c>
      <c r="AC473" s="26" t="s">
        <v>38</v>
      </c>
      <c r="AD473" s="26" t="s">
        <v>42</v>
      </c>
      <c r="AE473" s="27">
        <v>2.5</v>
      </c>
      <c r="AF473" s="36">
        <v>0.33333333333333331</v>
      </c>
      <c r="AG473" s="31">
        <v>0</v>
      </c>
      <c r="AH473" t="s">
        <v>44</v>
      </c>
    </row>
    <row r="474" spans="1:34">
      <c r="A474" s="15" t="s">
        <v>533</v>
      </c>
      <c r="B474" s="8" t="s">
        <v>496</v>
      </c>
      <c r="C474" s="41" t="s">
        <v>37</v>
      </c>
      <c r="D474" s="1" t="s">
        <v>38</v>
      </c>
      <c r="E474" s="26" t="s">
        <v>39</v>
      </c>
      <c r="F474" s="27">
        <v>0.95238095238095233</v>
      </c>
      <c r="G474" s="33">
        <v>0.33333333333333331</v>
      </c>
      <c r="H474" s="41" t="s">
        <v>408</v>
      </c>
      <c r="I474" s="1" t="s">
        <v>409</v>
      </c>
      <c r="J474" s="26" t="s">
        <v>39</v>
      </c>
      <c r="K474" s="27">
        <v>0.94339622641509424</v>
      </c>
      <c r="L474" s="33">
        <v>0.33333333333333331</v>
      </c>
      <c r="M474" s="41" t="s">
        <v>410</v>
      </c>
      <c r="N474" s="1" t="s">
        <v>38</v>
      </c>
      <c r="O474" s="26" t="s">
        <v>42</v>
      </c>
      <c r="P474" s="27">
        <v>3.2258064516129035</v>
      </c>
      <c r="Q474" s="33">
        <v>0.33333333333333331</v>
      </c>
      <c r="R474" s="55" t="s">
        <v>37</v>
      </c>
      <c r="S474" s="26" t="s">
        <v>38</v>
      </c>
      <c r="T474" s="26" t="s">
        <v>39</v>
      </c>
      <c r="U474" s="27">
        <v>0.95238095238095233</v>
      </c>
      <c r="V474" s="33">
        <v>0.33333333333333331</v>
      </c>
      <c r="W474" s="26" t="s">
        <v>408</v>
      </c>
      <c r="X474" s="26" t="s">
        <v>409</v>
      </c>
      <c r="Y474" s="26" t="s">
        <v>39</v>
      </c>
      <c r="Z474" s="27">
        <v>0.94339622641509424</v>
      </c>
      <c r="AA474" s="33">
        <v>0.33333333333333331</v>
      </c>
      <c r="AB474" s="26" t="s">
        <v>411</v>
      </c>
      <c r="AC474" s="26" t="s">
        <v>38</v>
      </c>
      <c r="AD474" s="26" t="s">
        <v>42</v>
      </c>
      <c r="AE474" s="27">
        <v>2.5</v>
      </c>
      <c r="AF474" s="36">
        <v>0.33333333333333331</v>
      </c>
      <c r="AG474" s="31">
        <v>0</v>
      </c>
      <c r="AH474" t="s">
        <v>44</v>
      </c>
    </row>
    <row r="475" spans="1:34">
      <c r="A475" s="15" t="s">
        <v>534</v>
      </c>
      <c r="B475" s="8" t="s">
        <v>496</v>
      </c>
      <c r="C475" s="41" t="s">
        <v>37</v>
      </c>
      <c r="D475" s="1" t="s">
        <v>38</v>
      </c>
      <c r="E475" s="26" t="s">
        <v>39</v>
      </c>
      <c r="F475" s="27">
        <v>0.95238095238095233</v>
      </c>
      <c r="G475" s="33">
        <v>0.33333333333333331</v>
      </c>
      <c r="H475" s="41" t="s">
        <v>408</v>
      </c>
      <c r="I475" s="1" t="s">
        <v>409</v>
      </c>
      <c r="J475" s="26" t="s">
        <v>39</v>
      </c>
      <c r="K475" s="27">
        <v>0.94339622641509424</v>
      </c>
      <c r="L475" s="33">
        <v>0.33333333333333331</v>
      </c>
      <c r="M475" s="41" t="s">
        <v>410</v>
      </c>
      <c r="N475" s="1" t="s">
        <v>38</v>
      </c>
      <c r="O475" s="26" t="s">
        <v>42</v>
      </c>
      <c r="P475" s="27">
        <v>3.2258064516129035</v>
      </c>
      <c r="Q475" s="33">
        <v>0.33333333333333331</v>
      </c>
      <c r="R475" s="55" t="s">
        <v>37</v>
      </c>
      <c r="S475" s="26" t="s">
        <v>38</v>
      </c>
      <c r="T475" s="26" t="s">
        <v>39</v>
      </c>
      <c r="U475" s="27">
        <v>0.95238095238095233</v>
      </c>
      <c r="V475" s="33">
        <v>0.33333333333333331</v>
      </c>
      <c r="W475" s="26" t="s">
        <v>408</v>
      </c>
      <c r="X475" s="26" t="s">
        <v>409</v>
      </c>
      <c r="Y475" s="26" t="s">
        <v>39</v>
      </c>
      <c r="Z475" s="27">
        <v>0.94339622641509424</v>
      </c>
      <c r="AA475" s="33">
        <v>0.33333333333333331</v>
      </c>
      <c r="AB475" s="26" t="s">
        <v>411</v>
      </c>
      <c r="AC475" s="26" t="s">
        <v>38</v>
      </c>
      <c r="AD475" s="26" t="s">
        <v>42</v>
      </c>
      <c r="AE475" s="27">
        <v>2.5</v>
      </c>
      <c r="AF475" s="36">
        <v>0.33333333333333331</v>
      </c>
      <c r="AG475" s="31">
        <v>0</v>
      </c>
      <c r="AH475" t="s">
        <v>44</v>
      </c>
    </row>
    <row r="476" spans="1:34">
      <c r="A476" s="15" t="s">
        <v>535</v>
      </c>
      <c r="B476" s="8" t="s">
        <v>496</v>
      </c>
      <c r="C476" s="41" t="s">
        <v>37</v>
      </c>
      <c r="D476" s="1" t="s">
        <v>38</v>
      </c>
      <c r="E476" s="26" t="s">
        <v>39</v>
      </c>
      <c r="F476" s="27">
        <v>0.95238095238095233</v>
      </c>
      <c r="G476" s="33">
        <v>0.33333333333333331</v>
      </c>
      <c r="H476" s="41" t="s">
        <v>408</v>
      </c>
      <c r="I476" s="1" t="s">
        <v>409</v>
      </c>
      <c r="J476" s="26" t="s">
        <v>39</v>
      </c>
      <c r="K476" s="27">
        <v>0.94339622641509424</v>
      </c>
      <c r="L476" s="33">
        <v>0.33333333333333331</v>
      </c>
      <c r="M476" s="41" t="s">
        <v>410</v>
      </c>
      <c r="N476" s="1" t="s">
        <v>38</v>
      </c>
      <c r="O476" s="26" t="s">
        <v>42</v>
      </c>
      <c r="P476" s="27">
        <v>3.2258064516129035</v>
      </c>
      <c r="Q476" s="33">
        <v>0.33333333333333331</v>
      </c>
      <c r="R476" s="55" t="s">
        <v>37</v>
      </c>
      <c r="S476" s="26" t="s">
        <v>38</v>
      </c>
      <c r="T476" s="26" t="s">
        <v>39</v>
      </c>
      <c r="U476" s="27">
        <v>0.95238095238095233</v>
      </c>
      <c r="V476" s="33">
        <v>0.33333333333333331</v>
      </c>
      <c r="W476" s="26" t="s">
        <v>408</v>
      </c>
      <c r="X476" s="26" t="s">
        <v>409</v>
      </c>
      <c r="Y476" s="26" t="s">
        <v>39</v>
      </c>
      <c r="Z476" s="27">
        <v>0.94339622641509424</v>
      </c>
      <c r="AA476" s="33">
        <v>0.33333333333333331</v>
      </c>
      <c r="AB476" s="26" t="s">
        <v>411</v>
      </c>
      <c r="AC476" s="26" t="s">
        <v>38</v>
      </c>
      <c r="AD476" s="26" t="s">
        <v>42</v>
      </c>
      <c r="AE476" s="27">
        <v>2.5</v>
      </c>
      <c r="AF476" s="36">
        <v>0.33333333333333331</v>
      </c>
      <c r="AG476" s="31">
        <v>0</v>
      </c>
      <c r="AH476" t="s">
        <v>44</v>
      </c>
    </row>
    <row r="477" spans="1:34">
      <c r="A477" s="15" t="s">
        <v>536</v>
      </c>
      <c r="B477" s="8" t="s">
        <v>496</v>
      </c>
      <c r="C477" s="41" t="s">
        <v>37</v>
      </c>
      <c r="D477" s="1" t="s">
        <v>38</v>
      </c>
      <c r="E477" s="26" t="s">
        <v>39</v>
      </c>
      <c r="F477" s="27">
        <v>0.95238095238095233</v>
      </c>
      <c r="G477" s="33">
        <v>0.33333333333333331</v>
      </c>
      <c r="H477" s="41" t="s">
        <v>408</v>
      </c>
      <c r="I477" s="1" t="s">
        <v>409</v>
      </c>
      <c r="J477" s="26" t="s">
        <v>39</v>
      </c>
      <c r="K477" s="27">
        <v>0.94339622641509424</v>
      </c>
      <c r="L477" s="33">
        <v>0.33333333333333331</v>
      </c>
      <c r="M477" s="41" t="s">
        <v>410</v>
      </c>
      <c r="N477" s="1" t="s">
        <v>38</v>
      </c>
      <c r="O477" s="26" t="s">
        <v>42</v>
      </c>
      <c r="P477" s="27">
        <v>3.2258064516129035</v>
      </c>
      <c r="Q477" s="33">
        <v>0.33333333333333331</v>
      </c>
      <c r="R477" s="55" t="s">
        <v>37</v>
      </c>
      <c r="S477" s="26" t="s">
        <v>38</v>
      </c>
      <c r="T477" s="26" t="s">
        <v>39</v>
      </c>
      <c r="U477" s="27">
        <v>0.95238095238095233</v>
      </c>
      <c r="V477" s="33">
        <v>0.33333333333333331</v>
      </c>
      <c r="W477" s="26" t="s">
        <v>408</v>
      </c>
      <c r="X477" s="26" t="s">
        <v>409</v>
      </c>
      <c r="Y477" s="26" t="s">
        <v>39</v>
      </c>
      <c r="Z477" s="27">
        <v>0.94339622641509424</v>
      </c>
      <c r="AA477" s="33">
        <v>0.33333333333333331</v>
      </c>
      <c r="AB477" s="26" t="s">
        <v>411</v>
      </c>
      <c r="AC477" s="26" t="s">
        <v>38</v>
      </c>
      <c r="AD477" s="26" t="s">
        <v>42</v>
      </c>
      <c r="AE477" s="27">
        <v>2.5</v>
      </c>
      <c r="AF477" s="36">
        <v>0.33333333333333331</v>
      </c>
      <c r="AG477" s="31">
        <v>0</v>
      </c>
      <c r="AH477" t="s">
        <v>44</v>
      </c>
    </row>
    <row r="478" spans="1:34">
      <c r="A478" s="15" t="s">
        <v>537</v>
      </c>
      <c r="B478" s="8" t="s">
        <v>496</v>
      </c>
      <c r="C478" s="41" t="s">
        <v>37</v>
      </c>
      <c r="D478" s="1" t="s">
        <v>38</v>
      </c>
      <c r="E478" s="26" t="s">
        <v>39</v>
      </c>
      <c r="F478" s="27">
        <v>0.95238095238095233</v>
      </c>
      <c r="G478" s="33">
        <v>0.33333333333333331</v>
      </c>
      <c r="H478" s="41" t="s">
        <v>408</v>
      </c>
      <c r="I478" s="1" t="s">
        <v>409</v>
      </c>
      <c r="J478" s="26" t="s">
        <v>39</v>
      </c>
      <c r="K478" s="27">
        <v>0.94339622641509424</v>
      </c>
      <c r="L478" s="33">
        <v>0.33333333333333331</v>
      </c>
      <c r="M478" s="41" t="s">
        <v>410</v>
      </c>
      <c r="N478" s="1" t="s">
        <v>38</v>
      </c>
      <c r="O478" s="26" t="s">
        <v>42</v>
      </c>
      <c r="P478" s="27">
        <v>3.2258064516129035</v>
      </c>
      <c r="Q478" s="33">
        <v>0.33333333333333331</v>
      </c>
      <c r="R478" s="55" t="s">
        <v>37</v>
      </c>
      <c r="S478" s="26" t="s">
        <v>38</v>
      </c>
      <c r="T478" s="26" t="s">
        <v>39</v>
      </c>
      <c r="U478" s="27">
        <v>0.95238095238095233</v>
      </c>
      <c r="V478" s="33">
        <v>0.33333333333333331</v>
      </c>
      <c r="W478" s="26" t="s">
        <v>408</v>
      </c>
      <c r="X478" s="26" t="s">
        <v>409</v>
      </c>
      <c r="Y478" s="26" t="s">
        <v>39</v>
      </c>
      <c r="Z478" s="27">
        <v>0.94339622641509424</v>
      </c>
      <c r="AA478" s="33">
        <v>0.33333333333333331</v>
      </c>
      <c r="AB478" s="26" t="s">
        <v>411</v>
      </c>
      <c r="AC478" s="26" t="s">
        <v>38</v>
      </c>
      <c r="AD478" s="26" t="s">
        <v>42</v>
      </c>
      <c r="AE478" s="27">
        <v>2.5</v>
      </c>
      <c r="AF478" s="36">
        <v>0.33333333333333331</v>
      </c>
      <c r="AG478" s="31">
        <v>0</v>
      </c>
      <c r="AH478" t="s">
        <v>44</v>
      </c>
    </row>
    <row r="479" spans="1:34">
      <c r="A479" s="15" t="s">
        <v>538</v>
      </c>
      <c r="B479" s="8" t="s">
        <v>496</v>
      </c>
      <c r="C479" s="41" t="s">
        <v>37</v>
      </c>
      <c r="D479" s="1" t="s">
        <v>38</v>
      </c>
      <c r="E479" s="26" t="s">
        <v>39</v>
      </c>
      <c r="F479" s="27">
        <v>0.95238095238095233</v>
      </c>
      <c r="G479" s="33">
        <v>0.33333333333333331</v>
      </c>
      <c r="H479" s="41" t="s">
        <v>408</v>
      </c>
      <c r="I479" s="1" t="s">
        <v>409</v>
      </c>
      <c r="J479" s="26" t="s">
        <v>39</v>
      </c>
      <c r="K479" s="27">
        <v>0.94339622641509424</v>
      </c>
      <c r="L479" s="33">
        <v>0.33333333333333331</v>
      </c>
      <c r="M479" s="41" t="s">
        <v>410</v>
      </c>
      <c r="N479" s="1" t="s">
        <v>38</v>
      </c>
      <c r="O479" s="26" t="s">
        <v>42</v>
      </c>
      <c r="P479" s="27">
        <v>3.2258064516129035</v>
      </c>
      <c r="Q479" s="33">
        <v>0.33333333333333331</v>
      </c>
      <c r="R479" s="55" t="s">
        <v>37</v>
      </c>
      <c r="S479" s="26" t="s">
        <v>38</v>
      </c>
      <c r="T479" s="26" t="s">
        <v>39</v>
      </c>
      <c r="U479" s="27">
        <v>0.95238095238095233</v>
      </c>
      <c r="V479" s="33">
        <v>0.33333333333333331</v>
      </c>
      <c r="W479" s="26" t="s">
        <v>408</v>
      </c>
      <c r="X479" s="26" t="s">
        <v>409</v>
      </c>
      <c r="Y479" s="26" t="s">
        <v>39</v>
      </c>
      <c r="Z479" s="27">
        <v>0.94339622641509424</v>
      </c>
      <c r="AA479" s="33">
        <v>0.33333333333333331</v>
      </c>
      <c r="AB479" s="26" t="s">
        <v>411</v>
      </c>
      <c r="AC479" s="26" t="s">
        <v>38</v>
      </c>
      <c r="AD479" s="26" t="s">
        <v>42</v>
      </c>
      <c r="AE479" s="27">
        <v>2.5</v>
      </c>
      <c r="AF479" s="36">
        <v>0.33333333333333331</v>
      </c>
      <c r="AG479" s="31">
        <v>1</v>
      </c>
      <c r="AH479" s="1" t="s">
        <v>73</v>
      </c>
    </row>
    <row r="480" spans="1:34">
      <c r="A480" s="15" t="s">
        <v>539</v>
      </c>
      <c r="B480" s="8" t="s">
        <v>496</v>
      </c>
      <c r="C480" s="41" t="s">
        <v>37</v>
      </c>
      <c r="D480" s="1" t="s">
        <v>38</v>
      </c>
      <c r="E480" s="26" t="s">
        <v>39</v>
      </c>
      <c r="F480" s="27">
        <v>0.95238095238095233</v>
      </c>
      <c r="G480" s="33">
        <v>0.33333333333333331</v>
      </c>
      <c r="H480" s="41" t="s">
        <v>408</v>
      </c>
      <c r="I480" s="1" t="s">
        <v>409</v>
      </c>
      <c r="J480" s="26" t="s">
        <v>39</v>
      </c>
      <c r="K480" s="27">
        <v>0.94339622641509424</v>
      </c>
      <c r="L480" s="33">
        <v>0.33333333333333331</v>
      </c>
      <c r="M480" s="41" t="s">
        <v>410</v>
      </c>
      <c r="N480" s="1" t="s">
        <v>38</v>
      </c>
      <c r="O480" s="26" t="s">
        <v>42</v>
      </c>
      <c r="P480" s="27">
        <v>3.2258064516129035</v>
      </c>
      <c r="Q480" s="33">
        <v>0.33333333333333331</v>
      </c>
      <c r="R480" s="55" t="s">
        <v>37</v>
      </c>
      <c r="S480" s="26" t="s">
        <v>38</v>
      </c>
      <c r="T480" s="26" t="s">
        <v>39</v>
      </c>
      <c r="U480" s="27">
        <v>0.95238095238095233</v>
      </c>
      <c r="V480" s="33">
        <v>0.33333333333333331</v>
      </c>
      <c r="W480" s="26" t="s">
        <v>408</v>
      </c>
      <c r="X480" s="26" t="s">
        <v>409</v>
      </c>
      <c r="Y480" s="26" t="s">
        <v>39</v>
      </c>
      <c r="Z480" s="27">
        <v>0.94339622641509424</v>
      </c>
      <c r="AA480" s="33">
        <v>0.33333333333333331</v>
      </c>
      <c r="AB480" s="26" t="s">
        <v>411</v>
      </c>
      <c r="AC480" s="26" t="s">
        <v>38</v>
      </c>
      <c r="AD480" s="26" t="s">
        <v>42</v>
      </c>
      <c r="AE480" s="27">
        <v>2.5</v>
      </c>
      <c r="AF480" s="36">
        <v>0.33333333333333331</v>
      </c>
      <c r="AG480" s="31">
        <v>1</v>
      </c>
      <c r="AH480" s="1" t="s">
        <v>73</v>
      </c>
    </row>
    <row r="481" spans="1:34">
      <c r="A481" s="15" t="s">
        <v>540</v>
      </c>
      <c r="B481" s="8" t="s">
        <v>496</v>
      </c>
      <c r="C481" s="41" t="s">
        <v>37</v>
      </c>
      <c r="D481" s="1" t="s">
        <v>38</v>
      </c>
      <c r="E481" s="26" t="s">
        <v>39</v>
      </c>
      <c r="F481" s="27">
        <v>0.95238095238095233</v>
      </c>
      <c r="G481" s="33">
        <v>0.33333333333333331</v>
      </c>
      <c r="H481" s="41" t="s">
        <v>408</v>
      </c>
      <c r="I481" s="1" t="s">
        <v>409</v>
      </c>
      <c r="J481" s="26" t="s">
        <v>39</v>
      </c>
      <c r="K481" s="27">
        <v>0.94339622641509424</v>
      </c>
      <c r="L481" s="33">
        <v>0.33333333333333331</v>
      </c>
      <c r="M481" s="41" t="s">
        <v>410</v>
      </c>
      <c r="N481" s="1" t="s">
        <v>38</v>
      </c>
      <c r="O481" s="26" t="s">
        <v>42</v>
      </c>
      <c r="P481" s="27">
        <v>3.2258064516129035</v>
      </c>
      <c r="Q481" s="33">
        <v>0.33333333333333331</v>
      </c>
      <c r="R481" s="55" t="s">
        <v>37</v>
      </c>
      <c r="S481" s="26" t="s">
        <v>38</v>
      </c>
      <c r="T481" s="26" t="s">
        <v>39</v>
      </c>
      <c r="U481" s="27">
        <v>0.95238095238095233</v>
      </c>
      <c r="V481" s="33">
        <v>0.33333333333333331</v>
      </c>
      <c r="W481" s="26" t="s">
        <v>408</v>
      </c>
      <c r="X481" s="26" t="s">
        <v>409</v>
      </c>
      <c r="Y481" s="26" t="s">
        <v>39</v>
      </c>
      <c r="Z481" s="27">
        <v>0.94339622641509424</v>
      </c>
      <c r="AA481" s="33">
        <v>0.33333333333333331</v>
      </c>
      <c r="AB481" s="26" t="s">
        <v>411</v>
      </c>
      <c r="AC481" s="26" t="s">
        <v>38</v>
      </c>
      <c r="AD481" s="26" t="s">
        <v>42</v>
      </c>
      <c r="AE481" s="27">
        <v>2.5</v>
      </c>
      <c r="AF481" s="36">
        <v>0.33333333333333331</v>
      </c>
      <c r="AG481" s="31">
        <v>1</v>
      </c>
      <c r="AH481" s="1" t="s">
        <v>73</v>
      </c>
    </row>
    <row r="482" spans="1:34">
      <c r="A482" s="15" t="s">
        <v>541</v>
      </c>
      <c r="B482" s="8" t="s">
        <v>496</v>
      </c>
      <c r="C482" s="41" t="s">
        <v>37</v>
      </c>
      <c r="D482" s="1" t="s">
        <v>38</v>
      </c>
      <c r="E482" s="26" t="s">
        <v>39</v>
      </c>
      <c r="F482" s="27">
        <v>0.95238095238095233</v>
      </c>
      <c r="G482" s="33">
        <v>0.33333333333333331</v>
      </c>
      <c r="H482" s="41" t="s">
        <v>408</v>
      </c>
      <c r="I482" s="1" t="s">
        <v>409</v>
      </c>
      <c r="J482" s="26" t="s">
        <v>39</v>
      </c>
      <c r="K482" s="27">
        <v>0.94339622641509424</v>
      </c>
      <c r="L482" s="33">
        <v>0.33333333333333331</v>
      </c>
      <c r="M482" s="41" t="s">
        <v>410</v>
      </c>
      <c r="N482" s="1" t="s">
        <v>38</v>
      </c>
      <c r="O482" s="26" t="s">
        <v>42</v>
      </c>
      <c r="P482" s="27">
        <v>3.2258064516129035</v>
      </c>
      <c r="Q482" s="33">
        <v>0.33333333333333331</v>
      </c>
      <c r="R482" s="55" t="s">
        <v>37</v>
      </c>
      <c r="S482" s="26" t="s">
        <v>38</v>
      </c>
      <c r="T482" s="26" t="s">
        <v>39</v>
      </c>
      <c r="U482" s="27">
        <v>0.95238095238095233</v>
      </c>
      <c r="V482" s="33">
        <v>0.33333333333333331</v>
      </c>
      <c r="W482" s="26" t="s">
        <v>408</v>
      </c>
      <c r="X482" s="26" t="s">
        <v>409</v>
      </c>
      <c r="Y482" s="26" t="s">
        <v>39</v>
      </c>
      <c r="Z482" s="27">
        <v>0.94339622641509424</v>
      </c>
      <c r="AA482" s="33">
        <v>0.33333333333333331</v>
      </c>
      <c r="AB482" s="26" t="s">
        <v>411</v>
      </c>
      <c r="AC482" s="26" t="s">
        <v>38</v>
      </c>
      <c r="AD482" s="26" t="s">
        <v>42</v>
      </c>
      <c r="AE482" s="27">
        <v>2.5</v>
      </c>
      <c r="AF482" s="36">
        <v>0.33333333333333331</v>
      </c>
      <c r="AG482" s="31">
        <v>1</v>
      </c>
      <c r="AH482" s="1" t="s">
        <v>73</v>
      </c>
    </row>
    <row r="483" spans="1:34">
      <c r="A483" s="15" t="s">
        <v>542</v>
      </c>
      <c r="B483" s="8" t="s">
        <v>496</v>
      </c>
      <c r="C483" s="41" t="s">
        <v>37</v>
      </c>
      <c r="D483" s="1" t="s">
        <v>38</v>
      </c>
      <c r="E483" s="26" t="s">
        <v>39</v>
      </c>
      <c r="F483" s="27">
        <v>0.95238095238095233</v>
      </c>
      <c r="G483" s="33">
        <v>0.33333333333333331</v>
      </c>
      <c r="H483" s="41" t="s">
        <v>408</v>
      </c>
      <c r="I483" s="1" t="s">
        <v>409</v>
      </c>
      <c r="J483" s="26" t="s">
        <v>39</v>
      </c>
      <c r="K483" s="27">
        <v>0.94339622641509424</v>
      </c>
      <c r="L483" s="33">
        <v>0.33333333333333331</v>
      </c>
      <c r="M483" s="41" t="s">
        <v>410</v>
      </c>
      <c r="N483" s="1" t="s">
        <v>38</v>
      </c>
      <c r="O483" s="26" t="s">
        <v>42</v>
      </c>
      <c r="P483" s="27">
        <v>3.2258064516129035</v>
      </c>
      <c r="Q483" s="33">
        <v>0.33333333333333331</v>
      </c>
      <c r="R483" s="55" t="s">
        <v>37</v>
      </c>
      <c r="S483" s="26" t="s">
        <v>38</v>
      </c>
      <c r="T483" s="26" t="s">
        <v>39</v>
      </c>
      <c r="U483" s="27">
        <v>0.95238095238095233</v>
      </c>
      <c r="V483" s="33">
        <v>0.33333333333333331</v>
      </c>
      <c r="W483" s="26" t="s">
        <v>408</v>
      </c>
      <c r="X483" s="26" t="s">
        <v>409</v>
      </c>
      <c r="Y483" s="26" t="s">
        <v>39</v>
      </c>
      <c r="Z483" s="27">
        <v>0.94339622641509424</v>
      </c>
      <c r="AA483" s="33">
        <v>0.33333333333333331</v>
      </c>
      <c r="AB483" s="26" t="s">
        <v>411</v>
      </c>
      <c r="AC483" s="26" t="s">
        <v>38</v>
      </c>
      <c r="AD483" s="26" t="s">
        <v>42</v>
      </c>
      <c r="AE483" s="27">
        <v>2.5</v>
      </c>
      <c r="AF483" s="36">
        <v>0.33333333333333331</v>
      </c>
      <c r="AG483" s="31">
        <v>1</v>
      </c>
      <c r="AH483" s="1" t="s">
        <v>73</v>
      </c>
    </row>
    <row r="484" spans="1:34">
      <c r="A484" s="15" t="s">
        <v>543</v>
      </c>
      <c r="B484" s="8" t="s">
        <v>496</v>
      </c>
      <c r="C484" s="41" t="s">
        <v>37</v>
      </c>
      <c r="D484" s="1" t="s">
        <v>38</v>
      </c>
      <c r="E484" s="26" t="s">
        <v>39</v>
      </c>
      <c r="F484" s="27">
        <v>0.95238095238095233</v>
      </c>
      <c r="G484" s="33">
        <v>0.33333333333333331</v>
      </c>
      <c r="H484" s="41" t="s">
        <v>408</v>
      </c>
      <c r="I484" s="1" t="s">
        <v>409</v>
      </c>
      <c r="J484" s="26" t="s">
        <v>39</v>
      </c>
      <c r="K484" s="27">
        <v>0.94339622641509424</v>
      </c>
      <c r="L484" s="33">
        <v>0.33333333333333331</v>
      </c>
      <c r="M484" s="41" t="s">
        <v>410</v>
      </c>
      <c r="N484" s="1" t="s">
        <v>38</v>
      </c>
      <c r="O484" s="26" t="s">
        <v>42</v>
      </c>
      <c r="P484" s="27">
        <v>3.2258064516129035</v>
      </c>
      <c r="Q484" s="33">
        <v>0.33333333333333331</v>
      </c>
      <c r="R484" s="55" t="s">
        <v>37</v>
      </c>
      <c r="S484" s="26" t="s">
        <v>38</v>
      </c>
      <c r="T484" s="26" t="s">
        <v>39</v>
      </c>
      <c r="U484" s="27">
        <v>0.95238095238095233</v>
      </c>
      <c r="V484" s="33">
        <v>0.33333333333333331</v>
      </c>
      <c r="W484" s="26" t="s">
        <v>408</v>
      </c>
      <c r="X484" s="26" t="s">
        <v>409</v>
      </c>
      <c r="Y484" s="26" t="s">
        <v>39</v>
      </c>
      <c r="Z484" s="27">
        <v>0.94339622641509424</v>
      </c>
      <c r="AA484" s="33">
        <v>0.33333333333333331</v>
      </c>
      <c r="AB484" s="26" t="s">
        <v>411</v>
      </c>
      <c r="AC484" s="26" t="s">
        <v>38</v>
      </c>
      <c r="AD484" s="26" t="s">
        <v>42</v>
      </c>
      <c r="AE484" s="27">
        <v>2.5</v>
      </c>
      <c r="AF484" s="36">
        <v>0.33333333333333331</v>
      </c>
      <c r="AG484" s="31">
        <v>1</v>
      </c>
      <c r="AH484" s="1" t="s">
        <v>73</v>
      </c>
    </row>
    <row r="485" spans="1:34">
      <c r="A485" s="15" t="s">
        <v>544</v>
      </c>
      <c r="B485" s="8" t="s">
        <v>496</v>
      </c>
      <c r="C485" s="41" t="s">
        <v>37</v>
      </c>
      <c r="D485" s="1" t="s">
        <v>38</v>
      </c>
      <c r="E485" s="26" t="s">
        <v>39</v>
      </c>
      <c r="F485" s="27">
        <v>0.95238095238095233</v>
      </c>
      <c r="G485" s="33">
        <v>0.33333333333333331</v>
      </c>
      <c r="H485" s="41" t="s">
        <v>408</v>
      </c>
      <c r="I485" s="1" t="s">
        <v>409</v>
      </c>
      <c r="J485" s="26" t="s">
        <v>39</v>
      </c>
      <c r="K485" s="27">
        <v>0.94339622641509424</v>
      </c>
      <c r="L485" s="33">
        <v>0.33333333333333331</v>
      </c>
      <c r="M485" s="41" t="s">
        <v>410</v>
      </c>
      <c r="N485" s="1" t="s">
        <v>38</v>
      </c>
      <c r="O485" s="26" t="s">
        <v>42</v>
      </c>
      <c r="P485" s="27">
        <v>3.2258064516129035</v>
      </c>
      <c r="Q485" s="33">
        <v>0.33333333333333331</v>
      </c>
      <c r="R485" s="55" t="s">
        <v>37</v>
      </c>
      <c r="S485" s="26" t="s">
        <v>38</v>
      </c>
      <c r="T485" s="26" t="s">
        <v>39</v>
      </c>
      <c r="U485" s="27">
        <v>0.95238095238095233</v>
      </c>
      <c r="V485" s="33">
        <v>0.33333333333333331</v>
      </c>
      <c r="W485" s="26" t="s">
        <v>408</v>
      </c>
      <c r="X485" s="26" t="s">
        <v>409</v>
      </c>
      <c r="Y485" s="26" t="s">
        <v>39</v>
      </c>
      <c r="Z485" s="27">
        <v>0.94339622641509424</v>
      </c>
      <c r="AA485" s="33">
        <v>0.33333333333333331</v>
      </c>
      <c r="AB485" s="26" t="s">
        <v>411</v>
      </c>
      <c r="AC485" s="26" t="s">
        <v>38</v>
      </c>
      <c r="AD485" s="26" t="s">
        <v>42</v>
      </c>
      <c r="AE485" s="27">
        <v>2.5</v>
      </c>
      <c r="AF485" s="36">
        <v>0.33333333333333331</v>
      </c>
      <c r="AG485" s="31">
        <v>1</v>
      </c>
      <c r="AH485" s="1" t="s">
        <v>73</v>
      </c>
    </row>
    <row r="486" spans="1:34">
      <c r="A486" s="15" t="s">
        <v>545</v>
      </c>
      <c r="B486" s="8" t="s">
        <v>496</v>
      </c>
      <c r="C486" s="41" t="s">
        <v>37</v>
      </c>
      <c r="D486" s="1" t="s">
        <v>38</v>
      </c>
      <c r="E486" s="26" t="s">
        <v>39</v>
      </c>
      <c r="F486" s="27">
        <v>0.95238095238095233</v>
      </c>
      <c r="G486" s="33">
        <v>0.33333333333333331</v>
      </c>
      <c r="H486" s="41" t="s">
        <v>408</v>
      </c>
      <c r="I486" s="1" t="s">
        <v>409</v>
      </c>
      <c r="J486" s="26" t="s">
        <v>39</v>
      </c>
      <c r="K486" s="27">
        <v>0.94339622641509424</v>
      </c>
      <c r="L486" s="33">
        <v>0.33333333333333331</v>
      </c>
      <c r="M486" s="41" t="s">
        <v>410</v>
      </c>
      <c r="N486" s="1" t="s">
        <v>38</v>
      </c>
      <c r="O486" s="26" t="s">
        <v>42</v>
      </c>
      <c r="P486" s="27">
        <v>3.2258064516129035</v>
      </c>
      <c r="Q486" s="33">
        <v>0.33333333333333331</v>
      </c>
      <c r="R486" s="55" t="s">
        <v>37</v>
      </c>
      <c r="S486" s="26" t="s">
        <v>38</v>
      </c>
      <c r="T486" s="26" t="s">
        <v>39</v>
      </c>
      <c r="U486" s="27">
        <v>0.95238095238095233</v>
      </c>
      <c r="V486" s="33">
        <v>0.33333333333333331</v>
      </c>
      <c r="W486" s="26" t="s">
        <v>408</v>
      </c>
      <c r="X486" s="26" t="s">
        <v>409</v>
      </c>
      <c r="Y486" s="26" t="s">
        <v>39</v>
      </c>
      <c r="Z486" s="27">
        <v>0.94339622641509424</v>
      </c>
      <c r="AA486" s="33">
        <v>0.33333333333333331</v>
      </c>
      <c r="AB486" s="26" t="s">
        <v>411</v>
      </c>
      <c r="AC486" s="26" t="s">
        <v>38</v>
      </c>
      <c r="AD486" s="26" t="s">
        <v>42</v>
      </c>
      <c r="AE486" s="27">
        <v>2.5</v>
      </c>
      <c r="AF486" s="36">
        <v>0.33333333333333331</v>
      </c>
      <c r="AG486" s="31">
        <v>1</v>
      </c>
      <c r="AH486" s="1" t="s">
        <v>73</v>
      </c>
    </row>
    <row r="487" spans="1:34">
      <c r="A487" s="15" t="s">
        <v>546</v>
      </c>
      <c r="B487" s="8" t="s">
        <v>496</v>
      </c>
      <c r="C487" s="41" t="s">
        <v>37</v>
      </c>
      <c r="D487" s="1" t="s">
        <v>38</v>
      </c>
      <c r="E487" s="26" t="s">
        <v>39</v>
      </c>
      <c r="F487" s="27">
        <v>0.95238095238095233</v>
      </c>
      <c r="G487" s="33">
        <v>0.33333333333333331</v>
      </c>
      <c r="H487" s="41" t="s">
        <v>408</v>
      </c>
      <c r="I487" s="1" t="s">
        <v>409</v>
      </c>
      <c r="J487" s="26" t="s">
        <v>39</v>
      </c>
      <c r="K487" s="27">
        <v>0.94339622641509424</v>
      </c>
      <c r="L487" s="33">
        <v>0.33333333333333331</v>
      </c>
      <c r="M487" s="41" t="s">
        <v>410</v>
      </c>
      <c r="N487" s="1" t="s">
        <v>38</v>
      </c>
      <c r="O487" s="26" t="s">
        <v>42</v>
      </c>
      <c r="P487" s="27">
        <v>3.2258064516129035</v>
      </c>
      <c r="Q487" s="33">
        <v>0.33333333333333331</v>
      </c>
      <c r="R487" s="55" t="s">
        <v>37</v>
      </c>
      <c r="S487" s="26" t="s">
        <v>38</v>
      </c>
      <c r="T487" s="26" t="s">
        <v>39</v>
      </c>
      <c r="U487" s="27">
        <v>0.95238095238095233</v>
      </c>
      <c r="V487" s="33">
        <v>0.33333333333333331</v>
      </c>
      <c r="W487" s="26" t="s">
        <v>408</v>
      </c>
      <c r="X487" s="26" t="s">
        <v>409</v>
      </c>
      <c r="Y487" s="26" t="s">
        <v>39</v>
      </c>
      <c r="Z487" s="27">
        <v>0.94339622641509424</v>
      </c>
      <c r="AA487" s="33">
        <v>0.33333333333333331</v>
      </c>
      <c r="AB487" s="26" t="s">
        <v>411</v>
      </c>
      <c r="AC487" s="26" t="s">
        <v>38</v>
      </c>
      <c r="AD487" s="26" t="s">
        <v>42</v>
      </c>
      <c r="AE487" s="27">
        <v>2.5</v>
      </c>
      <c r="AF487" s="36">
        <v>0.33333333333333331</v>
      </c>
      <c r="AG487" s="31">
        <v>1</v>
      </c>
      <c r="AH487" s="1" t="s">
        <v>73</v>
      </c>
    </row>
    <row r="488" spans="1:34">
      <c r="A488" s="15" t="s">
        <v>547</v>
      </c>
      <c r="B488" s="8" t="s">
        <v>496</v>
      </c>
      <c r="C488" s="41" t="s">
        <v>37</v>
      </c>
      <c r="D488" s="1" t="s">
        <v>38</v>
      </c>
      <c r="E488" s="26" t="s">
        <v>39</v>
      </c>
      <c r="F488" s="27">
        <v>0.95238095238095233</v>
      </c>
      <c r="G488" s="33">
        <v>0.33333333333333331</v>
      </c>
      <c r="H488" s="41" t="s">
        <v>408</v>
      </c>
      <c r="I488" s="1" t="s">
        <v>409</v>
      </c>
      <c r="J488" s="26" t="s">
        <v>39</v>
      </c>
      <c r="K488" s="27">
        <v>0.94339622641509424</v>
      </c>
      <c r="L488" s="33">
        <v>0.33333333333333331</v>
      </c>
      <c r="M488" s="41" t="s">
        <v>410</v>
      </c>
      <c r="N488" s="1" t="s">
        <v>38</v>
      </c>
      <c r="O488" s="26" t="s">
        <v>42</v>
      </c>
      <c r="P488" s="27">
        <v>3.2258064516129035</v>
      </c>
      <c r="Q488" s="33">
        <v>0.33333333333333331</v>
      </c>
      <c r="R488" s="55" t="s">
        <v>37</v>
      </c>
      <c r="S488" s="26" t="s">
        <v>38</v>
      </c>
      <c r="T488" s="26" t="s">
        <v>39</v>
      </c>
      <c r="U488" s="27">
        <v>0.95238095238095233</v>
      </c>
      <c r="V488" s="33">
        <v>0.33333333333333331</v>
      </c>
      <c r="W488" s="26" t="s">
        <v>408</v>
      </c>
      <c r="X488" s="26" t="s">
        <v>409</v>
      </c>
      <c r="Y488" s="26" t="s">
        <v>39</v>
      </c>
      <c r="Z488" s="27">
        <v>0.94339622641509424</v>
      </c>
      <c r="AA488" s="33">
        <v>0.33333333333333331</v>
      </c>
      <c r="AB488" s="26" t="s">
        <v>411</v>
      </c>
      <c r="AC488" s="26" t="s">
        <v>38</v>
      </c>
      <c r="AD488" s="26" t="s">
        <v>42</v>
      </c>
      <c r="AE488" s="27">
        <v>2.5</v>
      </c>
      <c r="AF488" s="36">
        <v>0.33333333333333331</v>
      </c>
      <c r="AG488" s="31">
        <v>1</v>
      </c>
      <c r="AH488" s="1" t="s">
        <v>73</v>
      </c>
    </row>
    <row r="489" spans="1:34">
      <c r="A489" s="15" t="s">
        <v>548</v>
      </c>
      <c r="B489" s="8" t="s">
        <v>496</v>
      </c>
      <c r="C489" s="41" t="s">
        <v>37</v>
      </c>
      <c r="D489" s="1" t="s">
        <v>38</v>
      </c>
      <c r="E489" s="26" t="s">
        <v>39</v>
      </c>
      <c r="F489" s="27">
        <v>0.95238095238095233</v>
      </c>
      <c r="G489" s="33">
        <v>0.33333333333333331</v>
      </c>
      <c r="H489" s="41" t="s">
        <v>408</v>
      </c>
      <c r="I489" s="1" t="s">
        <v>409</v>
      </c>
      <c r="J489" s="26" t="s">
        <v>39</v>
      </c>
      <c r="K489" s="27">
        <v>0.94339622641509424</v>
      </c>
      <c r="L489" s="33">
        <v>0.33333333333333331</v>
      </c>
      <c r="M489" s="41" t="s">
        <v>410</v>
      </c>
      <c r="N489" s="1" t="s">
        <v>38</v>
      </c>
      <c r="O489" s="26" t="s">
        <v>42</v>
      </c>
      <c r="P489" s="27">
        <v>3.2258064516129035</v>
      </c>
      <c r="Q489" s="33">
        <v>0.33333333333333331</v>
      </c>
      <c r="R489" s="55" t="s">
        <v>37</v>
      </c>
      <c r="S489" s="26" t="s">
        <v>38</v>
      </c>
      <c r="T489" s="26" t="s">
        <v>39</v>
      </c>
      <c r="U489" s="27">
        <v>0.95238095238095233</v>
      </c>
      <c r="V489" s="33">
        <v>0.33333333333333331</v>
      </c>
      <c r="W489" s="26" t="s">
        <v>408</v>
      </c>
      <c r="X489" s="26" t="s">
        <v>409</v>
      </c>
      <c r="Y489" s="26" t="s">
        <v>39</v>
      </c>
      <c r="Z489" s="27">
        <v>0.94339622641509424</v>
      </c>
      <c r="AA489" s="33">
        <v>0.33333333333333331</v>
      </c>
      <c r="AB489" s="26" t="s">
        <v>411</v>
      </c>
      <c r="AC489" s="26" t="s">
        <v>38</v>
      </c>
      <c r="AD489" s="26" t="s">
        <v>42</v>
      </c>
      <c r="AE489" s="27">
        <v>2.5</v>
      </c>
      <c r="AF489" s="36">
        <v>0.33333333333333331</v>
      </c>
      <c r="AG489" s="31">
        <v>1</v>
      </c>
      <c r="AH489" s="1" t="s">
        <v>73</v>
      </c>
    </row>
    <row r="490" spans="1:34">
      <c r="A490" s="15" t="s">
        <v>549</v>
      </c>
      <c r="B490" s="8" t="s">
        <v>496</v>
      </c>
      <c r="C490" s="41" t="s">
        <v>37</v>
      </c>
      <c r="D490" s="1" t="s">
        <v>38</v>
      </c>
      <c r="E490" s="26" t="s">
        <v>39</v>
      </c>
      <c r="F490" s="27">
        <v>0.95238095238095233</v>
      </c>
      <c r="G490" s="33">
        <v>0.33333333333333331</v>
      </c>
      <c r="H490" s="41" t="s">
        <v>408</v>
      </c>
      <c r="I490" s="1" t="s">
        <v>409</v>
      </c>
      <c r="J490" s="26" t="s">
        <v>39</v>
      </c>
      <c r="K490" s="27">
        <v>0.94339622641509424</v>
      </c>
      <c r="L490" s="33">
        <v>0.33333333333333331</v>
      </c>
      <c r="M490" s="41" t="s">
        <v>410</v>
      </c>
      <c r="N490" s="1" t="s">
        <v>38</v>
      </c>
      <c r="O490" s="26" t="s">
        <v>42</v>
      </c>
      <c r="P490" s="27">
        <v>3.2258064516129035</v>
      </c>
      <c r="Q490" s="33">
        <v>0.33333333333333331</v>
      </c>
      <c r="R490" s="55" t="s">
        <v>37</v>
      </c>
      <c r="S490" s="26" t="s">
        <v>38</v>
      </c>
      <c r="T490" s="26" t="s">
        <v>39</v>
      </c>
      <c r="U490" s="27">
        <v>0.95238095238095233</v>
      </c>
      <c r="V490" s="33">
        <v>0.33333333333333331</v>
      </c>
      <c r="W490" s="26" t="s">
        <v>408</v>
      </c>
      <c r="X490" s="26" t="s">
        <v>409</v>
      </c>
      <c r="Y490" s="26" t="s">
        <v>39</v>
      </c>
      <c r="Z490" s="27">
        <v>0.94339622641509424</v>
      </c>
      <c r="AA490" s="33">
        <v>0.33333333333333331</v>
      </c>
      <c r="AB490" s="26" t="s">
        <v>411</v>
      </c>
      <c r="AC490" s="26" t="s">
        <v>38</v>
      </c>
      <c r="AD490" s="26" t="s">
        <v>42</v>
      </c>
      <c r="AE490" s="27">
        <v>2.5</v>
      </c>
      <c r="AF490" s="36">
        <v>0.33333333333333331</v>
      </c>
      <c r="AG490" s="31">
        <v>1</v>
      </c>
      <c r="AH490" s="1" t="s">
        <v>73</v>
      </c>
    </row>
    <row r="491" spans="1:34">
      <c r="A491" s="15" t="s">
        <v>550</v>
      </c>
      <c r="B491" s="8" t="s">
        <v>496</v>
      </c>
      <c r="C491" s="41" t="s">
        <v>37</v>
      </c>
      <c r="D491" s="1" t="s">
        <v>38</v>
      </c>
      <c r="E491" s="26" t="s">
        <v>39</v>
      </c>
      <c r="F491" s="27">
        <v>0.95238095238095233</v>
      </c>
      <c r="G491" s="33">
        <v>0.33333333333333331</v>
      </c>
      <c r="H491" s="41" t="s">
        <v>408</v>
      </c>
      <c r="I491" s="1" t="s">
        <v>409</v>
      </c>
      <c r="J491" s="26" t="s">
        <v>39</v>
      </c>
      <c r="K491" s="27">
        <v>0.94339622641509424</v>
      </c>
      <c r="L491" s="33">
        <v>0.33333333333333331</v>
      </c>
      <c r="M491" s="41" t="s">
        <v>410</v>
      </c>
      <c r="N491" s="1" t="s">
        <v>38</v>
      </c>
      <c r="O491" s="26" t="s">
        <v>42</v>
      </c>
      <c r="P491" s="27">
        <v>3.2258064516129035</v>
      </c>
      <c r="Q491" s="33">
        <v>0.33333333333333331</v>
      </c>
      <c r="R491" s="55" t="s">
        <v>37</v>
      </c>
      <c r="S491" s="26" t="s">
        <v>38</v>
      </c>
      <c r="T491" s="26" t="s">
        <v>39</v>
      </c>
      <c r="U491" s="27">
        <v>0.95238095238095233</v>
      </c>
      <c r="V491" s="33">
        <v>0.33333333333333331</v>
      </c>
      <c r="W491" s="26" t="s">
        <v>408</v>
      </c>
      <c r="X491" s="26" t="s">
        <v>409</v>
      </c>
      <c r="Y491" s="26" t="s">
        <v>39</v>
      </c>
      <c r="Z491" s="27">
        <v>0.94339622641509424</v>
      </c>
      <c r="AA491" s="33">
        <v>0.33333333333333331</v>
      </c>
      <c r="AB491" s="26" t="s">
        <v>411</v>
      </c>
      <c r="AC491" s="26" t="s">
        <v>38</v>
      </c>
      <c r="AD491" s="26" t="s">
        <v>42</v>
      </c>
      <c r="AE491" s="27">
        <v>2.5</v>
      </c>
      <c r="AF491" s="36">
        <v>0.33333333333333331</v>
      </c>
      <c r="AG491" s="31">
        <v>1</v>
      </c>
      <c r="AH491" s="1" t="s">
        <v>73</v>
      </c>
    </row>
    <row r="492" spans="1:34">
      <c r="A492" s="15" t="s">
        <v>551</v>
      </c>
      <c r="B492" s="8" t="s">
        <v>496</v>
      </c>
      <c r="C492" s="41" t="s">
        <v>37</v>
      </c>
      <c r="D492" s="1" t="s">
        <v>38</v>
      </c>
      <c r="E492" s="26" t="s">
        <v>39</v>
      </c>
      <c r="F492" s="27">
        <v>0.95238095238095233</v>
      </c>
      <c r="G492" s="33">
        <v>0.33333333333333331</v>
      </c>
      <c r="H492" s="41" t="s">
        <v>408</v>
      </c>
      <c r="I492" s="1" t="s">
        <v>409</v>
      </c>
      <c r="J492" s="26" t="s">
        <v>39</v>
      </c>
      <c r="K492" s="27">
        <v>0.94339622641509424</v>
      </c>
      <c r="L492" s="33">
        <v>0.33333333333333331</v>
      </c>
      <c r="M492" s="41" t="s">
        <v>410</v>
      </c>
      <c r="N492" s="1" t="s">
        <v>38</v>
      </c>
      <c r="O492" s="26" t="s">
        <v>42</v>
      </c>
      <c r="P492" s="27">
        <v>3.2258064516129035</v>
      </c>
      <c r="Q492" s="33">
        <v>0.33333333333333331</v>
      </c>
      <c r="R492" s="55" t="s">
        <v>37</v>
      </c>
      <c r="S492" s="26" t="s">
        <v>38</v>
      </c>
      <c r="T492" s="26" t="s">
        <v>39</v>
      </c>
      <c r="U492" s="27">
        <v>0.95238095238095233</v>
      </c>
      <c r="V492" s="33">
        <v>0.33333333333333331</v>
      </c>
      <c r="W492" s="26" t="s">
        <v>408</v>
      </c>
      <c r="X492" s="26" t="s">
        <v>409</v>
      </c>
      <c r="Y492" s="26" t="s">
        <v>39</v>
      </c>
      <c r="Z492" s="27">
        <v>0.94339622641509424</v>
      </c>
      <c r="AA492" s="33">
        <v>0.33333333333333331</v>
      </c>
      <c r="AB492" s="26" t="s">
        <v>411</v>
      </c>
      <c r="AC492" s="26" t="s">
        <v>38</v>
      </c>
      <c r="AD492" s="26" t="s">
        <v>42</v>
      </c>
      <c r="AE492" s="27">
        <v>2.5</v>
      </c>
      <c r="AF492" s="36">
        <v>0.33333333333333331</v>
      </c>
      <c r="AG492" s="31">
        <v>1</v>
      </c>
      <c r="AH492" s="1" t="s">
        <v>73</v>
      </c>
    </row>
    <row r="493" spans="1:34">
      <c r="A493" s="15" t="s">
        <v>552</v>
      </c>
      <c r="B493" s="8" t="s">
        <v>496</v>
      </c>
      <c r="C493" s="41" t="s">
        <v>37</v>
      </c>
      <c r="D493" s="1" t="s">
        <v>38</v>
      </c>
      <c r="E493" s="26" t="s">
        <v>39</v>
      </c>
      <c r="F493" s="27">
        <v>0.95238095238095233</v>
      </c>
      <c r="G493" s="33">
        <v>0.33333333333333331</v>
      </c>
      <c r="H493" s="41" t="s">
        <v>408</v>
      </c>
      <c r="I493" s="1" t="s">
        <v>409</v>
      </c>
      <c r="J493" s="26" t="s">
        <v>39</v>
      </c>
      <c r="K493" s="27">
        <v>0.94339622641509424</v>
      </c>
      <c r="L493" s="33">
        <v>0.33333333333333331</v>
      </c>
      <c r="M493" s="41" t="s">
        <v>410</v>
      </c>
      <c r="N493" s="1" t="s">
        <v>38</v>
      </c>
      <c r="O493" s="26" t="s">
        <v>42</v>
      </c>
      <c r="P493" s="27">
        <v>3.2258064516129035</v>
      </c>
      <c r="Q493" s="33">
        <v>0.33333333333333331</v>
      </c>
      <c r="R493" s="55" t="s">
        <v>37</v>
      </c>
      <c r="S493" s="26" t="s">
        <v>38</v>
      </c>
      <c r="T493" s="26" t="s">
        <v>39</v>
      </c>
      <c r="U493" s="27">
        <v>0.95238095238095233</v>
      </c>
      <c r="V493" s="33">
        <v>0.33333333333333331</v>
      </c>
      <c r="W493" s="26" t="s">
        <v>408</v>
      </c>
      <c r="X493" s="26" t="s">
        <v>409</v>
      </c>
      <c r="Y493" s="26" t="s">
        <v>39</v>
      </c>
      <c r="Z493" s="27">
        <v>0.94339622641509424</v>
      </c>
      <c r="AA493" s="33">
        <v>0.33333333333333331</v>
      </c>
      <c r="AB493" s="26" t="s">
        <v>411</v>
      </c>
      <c r="AC493" s="26" t="s">
        <v>38</v>
      </c>
      <c r="AD493" s="26" t="s">
        <v>42</v>
      </c>
      <c r="AE493" s="27">
        <v>2.5</v>
      </c>
      <c r="AF493" s="36">
        <v>0.33333333333333331</v>
      </c>
      <c r="AG493" s="31">
        <v>0</v>
      </c>
      <c r="AH493" t="s">
        <v>44</v>
      </c>
    </row>
    <row r="494" spans="1:34">
      <c r="A494" s="15" t="s">
        <v>553</v>
      </c>
      <c r="B494" s="8" t="s">
        <v>496</v>
      </c>
      <c r="C494" s="41" t="s">
        <v>37</v>
      </c>
      <c r="D494" s="1" t="s">
        <v>38</v>
      </c>
      <c r="E494" s="26" t="s">
        <v>39</v>
      </c>
      <c r="F494" s="27">
        <v>0.95238095238095233</v>
      </c>
      <c r="G494" s="33">
        <v>0.33333333333333331</v>
      </c>
      <c r="H494" s="41" t="s">
        <v>408</v>
      </c>
      <c r="I494" s="1" t="s">
        <v>409</v>
      </c>
      <c r="J494" s="26" t="s">
        <v>39</v>
      </c>
      <c r="K494" s="27">
        <v>0.94339622641509424</v>
      </c>
      <c r="L494" s="33">
        <v>0.33333333333333331</v>
      </c>
      <c r="M494" s="41" t="s">
        <v>410</v>
      </c>
      <c r="N494" s="1" t="s">
        <v>38</v>
      </c>
      <c r="O494" s="26" t="s">
        <v>42</v>
      </c>
      <c r="P494" s="27">
        <v>3.2258064516129035</v>
      </c>
      <c r="Q494" s="33">
        <v>0.33333333333333331</v>
      </c>
      <c r="R494" s="55" t="s">
        <v>37</v>
      </c>
      <c r="S494" s="26" t="s">
        <v>38</v>
      </c>
      <c r="T494" s="26" t="s">
        <v>39</v>
      </c>
      <c r="U494" s="27">
        <v>0.95238095238095233</v>
      </c>
      <c r="V494" s="33">
        <v>0.33333333333333331</v>
      </c>
      <c r="W494" s="26" t="s">
        <v>408</v>
      </c>
      <c r="X494" s="26" t="s">
        <v>409</v>
      </c>
      <c r="Y494" s="26" t="s">
        <v>39</v>
      </c>
      <c r="Z494" s="27">
        <v>0.94339622641509424</v>
      </c>
      <c r="AA494" s="33">
        <v>0.33333333333333331</v>
      </c>
      <c r="AB494" s="26" t="s">
        <v>411</v>
      </c>
      <c r="AC494" s="26" t="s">
        <v>38</v>
      </c>
      <c r="AD494" s="26" t="s">
        <v>42</v>
      </c>
      <c r="AE494" s="27">
        <v>2.5</v>
      </c>
      <c r="AF494" s="36">
        <v>0.33333333333333331</v>
      </c>
      <c r="AG494" s="31">
        <v>0</v>
      </c>
      <c r="AH494" t="s">
        <v>44</v>
      </c>
    </row>
    <row r="495" spans="1:34">
      <c r="A495" s="15" t="s">
        <v>554</v>
      </c>
      <c r="B495" s="8" t="s">
        <v>496</v>
      </c>
      <c r="C495" s="41" t="s">
        <v>37</v>
      </c>
      <c r="D495" s="1" t="s">
        <v>38</v>
      </c>
      <c r="E495" s="26" t="s">
        <v>39</v>
      </c>
      <c r="F495" s="27">
        <v>0.95238095238095233</v>
      </c>
      <c r="G495" s="33">
        <v>0.33333333333333331</v>
      </c>
      <c r="H495" s="41" t="s">
        <v>408</v>
      </c>
      <c r="I495" s="1" t="s">
        <v>409</v>
      </c>
      <c r="J495" s="26" t="s">
        <v>39</v>
      </c>
      <c r="K495" s="27">
        <v>0.94339622641509424</v>
      </c>
      <c r="L495" s="33">
        <v>0.33333333333333331</v>
      </c>
      <c r="M495" s="41" t="s">
        <v>410</v>
      </c>
      <c r="N495" s="1" t="s">
        <v>38</v>
      </c>
      <c r="O495" s="26" t="s">
        <v>42</v>
      </c>
      <c r="P495" s="27">
        <v>3.2258064516129035</v>
      </c>
      <c r="Q495" s="33">
        <v>0.33333333333333331</v>
      </c>
      <c r="R495" s="55" t="s">
        <v>37</v>
      </c>
      <c r="S495" s="26" t="s">
        <v>38</v>
      </c>
      <c r="T495" s="26" t="s">
        <v>39</v>
      </c>
      <c r="U495" s="27">
        <v>0.95238095238095233</v>
      </c>
      <c r="V495" s="33">
        <v>0.33333333333333331</v>
      </c>
      <c r="W495" s="26" t="s">
        <v>408</v>
      </c>
      <c r="X495" s="26" t="s">
        <v>409</v>
      </c>
      <c r="Y495" s="26" t="s">
        <v>39</v>
      </c>
      <c r="Z495" s="27">
        <v>0.94339622641509424</v>
      </c>
      <c r="AA495" s="33">
        <v>0.33333333333333331</v>
      </c>
      <c r="AB495" s="26" t="s">
        <v>411</v>
      </c>
      <c r="AC495" s="26" t="s">
        <v>38</v>
      </c>
      <c r="AD495" s="26" t="s">
        <v>42</v>
      </c>
      <c r="AE495" s="27">
        <v>2.5</v>
      </c>
      <c r="AF495" s="36">
        <v>0.33333333333333331</v>
      </c>
      <c r="AG495" s="31">
        <v>0</v>
      </c>
      <c r="AH495" t="s">
        <v>44</v>
      </c>
    </row>
    <row r="496" spans="1:34">
      <c r="A496" s="15" t="s">
        <v>555</v>
      </c>
      <c r="B496" s="8" t="s">
        <v>496</v>
      </c>
      <c r="C496" s="41" t="s">
        <v>37</v>
      </c>
      <c r="D496" s="1" t="s">
        <v>38</v>
      </c>
      <c r="E496" s="26" t="s">
        <v>39</v>
      </c>
      <c r="F496" s="27">
        <v>0.95238095238095233</v>
      </c>
      <c r="G496" s="33">
        <v>0.33333333333333331</v>
      </c>
      <c r="H496" s="41" t="s">
        <v>408</v>
      </c>
      <c r="I496" s="1" t="s">
        <v>409</v>
      </c>
      <c r="J496" s="26" t="s">
        <v>39</v>
      </c>
      <c r="K496" s="27">
        <v>0.94339622641509424</v>
      </c>
      <c r="L496" s="33">
        <v>0.33333333333333331</v>
      </c>
      <c r="M496" s="41" t="s">
        <v>410</v>
      </c>
      <c r="N496" s="1" t="s">
        <v>38</v>
      </c>
      <c r="O496" s="26" t="s">
        <v>42</v>
      </c>
      <c r="P496" s="27">
        <v>3.2258064516129035</v>
      </c>
      <c r="Q496" s="33">
        <v>0.33333333333333331</v>
      </c>
      <c r="R496" s="55" t="s">
        <v>37</v>
      </c>
      <c r="S496" s="26" t="s">
        <v>38</v>
      </c>
      <c r="T496" s="26" t="s">
        <v>39</v>
      </c>
      <c r="U496" s="27">
        <v>0.95238095238095233</v>
      </c>
      <c r="V496" s="33">
        <v>0.33333333333333331</v>
      </c>
      <c r="W496" s="26" t="s">
        <v>408</v>
      </c>
      <c r="X496" s="26" t="s">
        <v>409</v>
      </c>
      <c r="Y496" s="26" t="s">
        <v>39</v>
      </c>
      <c r="Z496" s="27">
        <v>0.94339622641509424</v>
      </c>
      <c r="AA496" s="33">
        <v>0.33333333333333331</v>
      </c>
      <c r="AB496" s="26" t="s">
        <v>411</v>
      </c>
      <c r="AC496" s="26" t="s">
        <v>38</v>
      </c>
      <c r="AD496" s="26" t="s">
        <v>42</v>
      </c>
      <c r="AE496" s="27">
        <v>2.5</v>
      </c>
      <c r="AF496" s="36">
        <v>0.33333333333333331</v>
      </c>
      <c r="AG496" s="31">
        <v>0</v>
      </c>
      <c r="AH496" t="s">
        <v>44</v>
      </c>
    </row>
    <row r="497" spans="1:34">
      <c r="A497" s="15" t="s">
        <v>556</v>
      </c>
      <c r="B497" s="8" t="s">
        <v>496</v>
      </c>
      <c r="C497" s="41" t="s">
        <v>37</v>
      </c>
      <c r="D497" s="1" t="s">
        <v>38</v>
      </c>
      <c r="E497" s="26" t="s">
        <v>39</v>
      </c>
      <c r="F497" s="27">
        <v>0.95238095238095233</v>
      </c>
      <c r="G497" s="33">
        <v>0.33333333333333331</v>
      </c>
      <c r="H497" s="41" t="s">
        <v>408</v>
      </c>
      <c r="I497" s="1" t="s">
        <v>409</v>
      </c>
      <c r="J497" s="26" t="s">
        <v>39</v>
      </c>
      <c r="K497" s="27">
        <v>0.94339622641509424</v>
      </c>
      <c r="L497" s="33">
        <v>0.33333333333333331</v>
      </c>
      <c r="M497" s="41" t="s">
        <v>410</v>
      </c>
      <c r="N497" s="1" t="s">
        <v>38</v>
      </c>
      <c r="O497" s="26" t="s">
        <v>42</v>
      </c>
      <c r="P497" s="27">
        <v>3.2258064516129035</v>
      </c>
      <c r="Q497" s="33">
        <v>0.33333333333333331</v>
      </c>
      <c r="R497" s="55" t="s">
        <v>37</v>
      </c>
      <c r="S497" s="26" t="s">
        <v>38</v>
      </c>
      <c r="T497" s="26" t="s">
        <v>39</v>
      </c>
      <c r="U497" s="27">
        <v>0.95238095238095233</v>
      </c>
      <c r="V497" s="33">
        <v>0.33333333333333331</v>
      </c>
      <c r="W497" s="26" t="s">
        <v>408</v>
      </c>
      <c r="X497" s="26" t="s">
        <v>409</v>
      </c>
      <c r="Y497" s="26" t="s">
        <v>39</v>
      </c>
      <c r="Z497" s="27">
        <v>0.94339622641509424</v>
      </c>
      <c r="AA497" s="33">
        <v>0.33333333333333331</v>
      </c>
      <c r="AB497" s="26" t="s">
        <v>411</v>
      </c>
      <c r="AC497" s="26" t="s">
        <v>38</v>
      </c>
      <c r="AD497" s="26" t="s">
        <v>42</v>
      </c>
      <c r="AE497" s="27">
        <v>2.5</v>
      </c>
      <c r="AF497" s="36">
        <v>0.33333333333333331</v>
      </c>
      <c r="AG497" s="31">
        <v>0</v>
      </c>
      <c r="AH497" t="s">
        <v>44</v>
      </c>
    </row>
    <row r="498" spans="1:34">
      <c r="A498" s="15" t="s">
        <v>557</v>
      </c>
      <c r="B498" s="8" t="s">
        <v>496</v>
      </c>
      <c r="C498" s="41" t="s">
        <v>37</v>
      </c>
      <c r="D498" s="1" t="s">
        <v>38</v>
      </c>
      <c r="E498" s="26" t="s">
        <v>39</v>
      </c>
      <c r="F498" s="27">
        <v>0.95238095238095233</v>
      </c>
      <c r="G498" s="33">
        <v>0.33333333333333331</v>
      </c>
      <c r="H498" s="41" t="s">
        <v>408</v>
      </c>
      <c r="I498" s="1" t="s">
        <v>409</v>
      </c>
      <c r="J498" s="26" t="s">
        <v>39</v>
      </c>
      <c r="K498" s="27">
        <v>0.94339622641509424</v>
      </c>
      <c r="L498" s="33">
        <v>0.33333333333333331</v>
      </c>
      <c r="M498" s="41" t="s">
        <v>410</v>
      </c>
      <c r="N498" s="1" t="s">
        <v>38</v>
      </c>
      <c r="O498" s="26" t="s">
        <v>42</v>
      </c>
      <c r="P498" s="27">
        <v>3.2258064516129035</v>
      </c>
      <c r="Q498" s="33">
        <v>0.33333333333333331</v>
      </c>
      <c r="R498" s="55" t="s">
        <v>37</v>
      </c>
      <c r="S498" s="26" t="s">
        <v>38</v>
      </c>
      <c r="T498" s="26" t="s">
        <v>39</v>
      </c>
      <c r="U498" s="27">
        <v>0.95238095238095233</v>
      </c>
      <c r="V498" s="33">
        <v>0.33333333333333331</v>
      </c>
      <c r="W498" s="26" t="s">
        <v>408</v>
      </c>
      <c r="X498" s="26" t="s">
        <v>409</v>
      </c>
      <c r="Y498" s="26" t="s">
        <v>39</v>
      </c>
      <c r="Z498" s="27">
        <v>0.94339622641509424</v>
      </c>
      <c r="AA498" s="33">
        <v>0.33333333333333331</v>
      </c>
      <c r="AB498" s="26" t="s">
        <v>411</v>
      </c>
      <c r="AC498" s="26" t="s">
        <v>38</v>
      </c>
      <c r="AD498" s="26" t="s">
        <v>42</v>
      </c>
      <c r="AE498" s="27">
        <v>2.5</v>
      </c>
      <c r="AF498" s="36">
        <v>0.33333333333333331</v>
      </c>
      <c r="AG498" s="31">
        <v>0</v>
      </c>
      <c r="AH498" t="s">
        <v>44</v>
      </c>
    </row>
    <row r="499" spans="1:34">
      <c r="A499" s="15" t="s">
        <v>558</v>
      </c>
      <c r="B499" s="8" t="s">
        <v>496</v>
      </c>
      <c r="C499" s="41" t="s">
        <v>37</v>
      </c>
      <c r="D499" s="1" t="s">
        <v>38</v>
      </c>
      <c r="E499" s="26" t="s">
        <v>39</v>
      </c>
      <c r="F499" s="27">
        <v>0.95238095238095233</v>
      </c>
      <c r="G499" s="33">
        <v>0.33333333333333331</v>
      </c>
      <c r="H499" s="41" t="s">
        <v>408</v>
      </c>
      <c r="I499" s="1" t="s">
        <v>409</v>
      </c>
      <c r="J499" s="26" t="s">
        <v>39</v>
      </c>
      <c r="K499" s="27">
        <v>0.94339622641509424</v>
      </c>
      <c r="L499" s="33">
        <v>0.33333333333333331</v>
      </c>
      <c r="M499" s="41" t="s">
        <v>410</v>
      </c>
      <c r="N499" s="1" t="s">
        <v>38</v>
      </c>
      <c r="O499" s="26" t="s">
        <v>42</v>
      </c>
      <c r="P499" s="27">
        <v>3.2258064516129035</v>
      </c>
      <c r="Q499" s="33">
        <v>0.33333333333333331</v>
      </c>
      <c r="R499" s="55" t="s">
        <v>37</v>
      </c>
      <c r="S499" s="26" t="s">
        <v>38</v>
      </c>
      <c r="T499" s="26" t="s">
        <v>39</v>
      </c>
      <c r="U499" s="27">
        <v>0.95238095238095233</v>
      </c>
      <c r="V499" s="33">
        <v>0.33333333333333331</v>
      </c>
      <c r="W499" s="26" t="s">
        <v>408</v>
      </c>
      <c r="X499" s="26" t="s">
        <v>409</v>
      </c>
      <c r="Y499" s="26" t="s">
        <v>39</v>
      </c>
      <c r="Z499" s="27">
        <v>0.94339622641509424</v>
      </c>
      <c r="AA499" s="33">
        <v>0.33333333333333331</v>
      </c>
      <c r="AB499" s="26" t="s">
        <v>411</v>
      </c>
      <c r="AC499" s="26" t="s">
        <v>38</v>
      </c>
      <c r="AD499" s="26" t="s">
        <v>42</v>
      </c>
      <c r="AE499" s="27">
        <v>2.5</v>
      </c>
      <c r="AF499" s="36">
        <v>0.33333333333333331</v>
      </c>
      <c r="AG499" s="31">
        <v>0</v>
      </c>
      <c r="AH499" t="s">
        <v>44</v>
      </c>
    </row>
    <row r="500" spans="1:34">
      <c r="A500" s="15" t="s">
        <v>559</v>
      </c>
      <c r="B500" s="8" t="s">
        <v>496</v>
      </c>
      <c r="C500" s="41" t="s">
        <v>37</v>
      </c>
      <c r="D500" s="1" t="s">
        <v>38</v>
      </c>
      <c r="E500" s="26" t="s">
        <v>39</v>
      </c>
      <c r="F500" s="27">
        <v>0.95238095238095233</v>
      </c>
      <c r="G500" s="33">
        <v>0.33333333333333331</v>
      </c>
      <c r="H500" s="41" t="s">
        <v>408</v>
      </c>
      <c r="I500" s="1" t="s">
        <v>409</v>
      </c>
      <c r="J500" s="26" t="s">
        <v>39</v>
      </c>
      <c r="K500" s="27">
        <v>0.94339622641509424</v>
      </c>
      <c r="L500" s="33">
        <v>0.33333333333333331</v>
      </c>
      <c r="M500" s="41" t="s">
        <v>410</v>
      </c>
      <c r="N500" s="1" t="s">
        <v>38</v>
      </c>
      <c r="O500" s="26" t="s">
        <v>42</v>
      </c>
      <c r="P500" s="27">
        <v>3.2258064516129035</v>
      </c>
      <c r="Q500" s="33">
        <v>0.33333333333333331</v>
      </c>
      <c r="R500" s="55" t="s">
        <v>37</v>
      </c>
      <c r="S500" s="26" t="s">
        <v>38</v>
      </c>
      <c r="T500" s="26" t="s">
        <v>39</v>
      </c>
      <c r="U500" s="27">
        <v>0.95238095238095233</v>
      </c>
      <c r="V500" s="33">
        <v>0.33333333333333331</v>
      </c>
      <c r="W500" s="26" t="s">
        <v>408</v>
      </c>
      <c r="X500" s="26" t="s">
        <v>409</v>
      </c>
      <c r="Y500" s="26" t="s">
        <v>39</v>
      </c>
      <c r="Z500" s="27">
        <v>0.94339622641509424</v>
      </c>
      <c r="AA500" s="33">
        <v>0.33333333333333331</v>
      </c>
      <c r="AB500" s="26" t="s">
        <v>411</v>
      </c>
      <c r="AC500" s="26" t="s">
        <v>38</v>
      </c>
      <c r="AD500" s="26" t="s">
        <v>42</v>
      </c>
      <c r="AE500" s="27">
        <v>2.5</v>
      </c>
      <c r="AF500" s="36">
        <v>0.33333333333333331</v>
      </c>
      <c r="AG500" s="31">
        <v>0</v>
      </c>
      <c r="AH500" t="s">
        <v>44</v>
      </c>
    </row>
    <row r="501" spans="1:34">
      <c r="A501" s="15" t="s">
        <v>560</v>
      </c>
      <c r="B501" s="8" t="s">
        <v>496</v>
      </c>
      <c r="C501" s="41" t="s">
        <v>37</v>
      </c>
      <c r="D501" s="1" t="s">
        <v>38</v>
      </c>
      <c r="E501" s="26" t="s">
        <v>39</v>
      </c>
      <c r="F501" s="27">
        <v>0.95238095238095233</v>
      </c>
      <c r="G501" s="33">
        <v>0.33333333333333331</v>
      </c>
      <c r="H501" s="41" t="s">
        <v>408</v>
      </c>
      <c r="I501" s="1" t="s">
        <v>409</v>
      </c>
      <c r="J501" s="26" t="s">
        <v>39</v>
      </c>
      <c r="K501" s="27">
        <v>0.94339622641509424</v>
      </c>
      <c r="L501" s="33">
        <v>0.33333333333333331</v>
      </c>
      <c r="M501" s="41" t="s">
        <v>410</v>
      </c>
      <c r="N501" s="1" t="s">
        <v>38</v>
      </c>
      <c r="O501" s="26" t="s">
        <v>42</v>
      </c>
      <c r="P501" s="27">
        <v>3.2258064516129035</v>
      </c>
      <c r="Q501" s="33">
        <v>0.33333333333333331</v>
      </c>
      <c r="R501" s="55" t="s">
        <v>37</v>
      </c>
      <c r="S501" s="26" t="s">
        <v>38</v>
      </c>
      <c r="T501" s="26" t="s">
        <v>39</v>
      </c>
      <c r="U501" s="27">
        <v>0.95238095238095233</v>
      </c>
      <c r="V501" s="33">
        <v>0.33333333333333331</v>
      </c>
      <c r="W501" s="26" t="s">
        <v>408</v>
      </c>
      <c r="X501" s="26" t="s">
        <v>409</v>
      </c>
      <c r="Y501" s="26" t="s">
        <v>39</v>
      </c>
      <c r="Z501" s="27">
        <v>0.94339622641509424</v>
      </c>
      <c r="AA501" s="33">
        <v>0.33333333333333331</v>
      </c>
      <c r="AB501" s="26" t="s">
        <v>411</v>
      </c>
      <c r="AC501" s="26" t="s">
        <v>38</v>
      </c>
      <c r="AD501" s="26" t="s">
        <v>42</v>
      </c>
      <c r="AE501" s="27">
        <v>2.5</v>
      </c>
      <c r="AF501" s="36">
        <v>0.33333333333333331</v>
      </c>
      <c r="AG501" s="31">
        <v>0</v>
      </c>
      <c r="AH501" t="s">
        <v>44</v>
      </c>
    </row>
    <row r="502" spans="1:34">
      <c r="A502" s="15" t="s">
        <v>561</v>
      </c>
      <c r="B502" s="8" t="s">
        <v>496</v>
      </c>
      <c r="C502" s="41" t="s">
        <v>37</v>
      </c>
      <c r="D502" s="1" t="s">
        <v>38</v>
      </c>
      <c r="E502" s="26" t="s">
        <v>39</v>
      </c>
      <c r="F502" s="27">
        <v>0.95238095238095233</v>
      </c>
      <c r="G502" s="33">
        <v>0.33333333333333331</v>
      </c>
      <c r="H502" s="41" t="s">
        <v>408</v>
      </c>
      <c r="I502" s="1" t="s">
        <v>409</v>
      </c>
      <c r="J502" s="26" t="s">
        <v>39</v>
      </c>
      <c r="K502" s="27">
        <v>0.94339622641509424</v>
      </c>
      <c r="L502" s="33">
        <v>0.33333333333333331</v>
      </c>
      <c r="M502" s="41" t="s">
        <v>410</v>
      </c>
      <c r="N502" s="1" t="s">
        <v>38</v>
      </c>
      <c r="O502" s="26" t="s">
        <v>42</v>
      </c>
      <c r="P502" s="27">
        <v>3.2258064516129035</v>
      </c>
      <c r="Q502" s="33">
        <v>0.33333333333333331</v>
      </c>
      <c r="R502" s="55" t="s">
        <v>37</v>
      </c>
      <c r="S502" s="26" t="s">
        <v>38</v>
      </c>
      <c r="T502" s="26" t="s">
        <v>39</v>
      </c>
      <c r="U502" s="27">
        <v>0.95238095238095233</v>
      </c>
      <c r="V502" s="33">
        <v>0.33333333333333331</v>
      </c>
      <c r="W502" s="26" t="s">
        <v>408</v>
      </c>
      <c r="X502" s="26" t="s">
        <v>409</v>
      </c>
      <c r="Y502" s="26" t="s">
        <v>39</v>
      </c>
      <c r="Z502" s="27">
        <v>0.94339622641509424</v>
      </c>
      <c r="AA502" s="33">
        <v>0.33333333333333331</v>
      </c>
      <c r="AB502" s="26" t="s">
        <v>411</v>
      </c>
      <c r="AC502" s="26" t="s">
        <v>38</v>
      </c>
      <c r="AD502" s="26" t="s">
        <v>42</v>
      </c>
      <c r="AE502" s="27">
        <v>2.5</v>
      </c>
      <c r="AF502" s="36">
        <v>0.33333333333333331</v>
      </c>
      <c r="AG502" s="31">
        <v>0</v>
      </c>
      <c r="AH502" t="s">
        <v>44</v>
      </c>
    </row>
    <row r="503" spans="1:34">
      <c r="A503" s="15" t="s">
        <v>562</v>
      </c>
      <c r="B503" s="8" t="s">
        <v>496</v>
      </c>
      <c r="C503" s="41" t="s">
        <v>37</v>
      </c>
      <c r="D503" s="1" t="s">
        <v>38</v>
      </c>
      <c r="E503" s="26" t="s">
        <v>39</v>
      </c>
      <c r="F503" s="27">
        <v>0.95238095238095233</v>
      </c>
      <c r="G503" s="33">
        <v>0.33333333333333331</v>
      </c>
      <c r="H503" s="41" t="s">
        <v>408</v>
      </c>
      <c r="I503" s="1" t="s">
        <v>409</v>
      </c>
      <c r="J503" s="26" t="s">
        <v>39</v>
      </c>
      <c r="K503" s="27">
        <v>0.94339622641509424</v>
      </c>
      <c r="L503" s="33">
        <v>0.33333333333333331</v>
      </c>
      <c r="M503" s="41" t="s">
        <v>410</v>
      </c>
      <c r="N503" s="1" t="s">
        <v>38</v>
      </c>
      <c r="O503" s="26" t="s">
        <v>42</v>
      </c>
      <c r="P503" s="27">
        <v>3.2258064516129035</v>
      </c>
      <c r="Q503" s="33">
        <v>0.33333333333333331</v>
      </c>
      <c r="R503" s="55" t="s">
        <v>37</v>
      </c>
      <c r="S503" s="26" t="s">
        <v>38</v>
      </c>
      <c r="T503" s="26" t="s">
        <v>39</v>
      </c>
      <c r="U503" s="27">
        <v>0.95238095238095233</v>
      </c>
      <c r="V503" s="33">
        <v>0.33333333333333331</v>
      </c>
      <c r="W503" s="26" t="s">
        <v>408</v>
      </c>
      <c r="X503" s="26" t="s">
        <v>409</v>
      </c>
      <c r="Y503" s="26" t="s">
        <v>39</v>
      </c>
      <c r="Z503" s="27">
        <v>0.94339622641509424</v>
      </c>
      <c r="AA503" s="33">
        <v>0.33333333333333331</v>
      </c>
      <c r="AB503" s="26" t="s">
        <v>411</v>
      </c>
      <c r="AC503" s="26" t="s">
        <v>38</v>
      </c>
      <c r="AD503" s="26" t="s">
        <v>42</v>
      </c>
      <c r="AE503" s="27">
        <v>2.5</v>
      </c>
      <c r="AF503" s="36">
        <v>0.33333333333333331</v>
      </c>
      <c r="AG503" s="31">
        <v>0</v>
      </c>
      <c r="AH503" t="s">
        <v>44</v>
      </c>
    </row>
    <row r="504" spans="1:34">
      <c r="A504" s="15" t="s">
        <v>563</v>
      </c>
      <c r="B504" s="8" t="s">
        <v>496</v>
      </c>
      <c r="C504" s="41" t="s">
        <v>37</v>
      </c>
      <c r="D504" s="1" t="s">
        <v>38</v>
      </c>
      <c r="E504" s="26" t="s">
        <v>39</v>
      </c>
      <c r="F504" s="27">
        <v>0.95238095238095233</v>
      </c>
      <c r="G504" s="33">
        <v>0.33333333333333331</v>
      </c>
      <c r="H504" s="41" t="s">
        <v>408</v>
      </c>
      <c r="I504" s="1" t="s">
        <v>409</v>
      </c>
      <c r="J504" s="26" t="s">
        <v>39</v>
      </c>
      <c r="K504" s="27">
        <v>0.94339622641509424</v>
      </c>
      <c r="L504" s="33">
        <v>0.33333333333333331</v>
      </c>
      <c r="M504" s="41" t="s">
        <v>410</v>
      </c>
      <c r="N504" s="1" t="s">
        <v>38</v>
      </c>
      <c r="O504" s="26" t="s">
        <v>42</v>
      </c>
      <c r="P504" s="27">
        <v>3.2258064516129035</v>
      </c>
      <c r="Q504" s="33">
        <v>0.33333333333333331</v>
      </c>
      <c r="R504" s="55" t="s">
        <v>37</v>
      </c>
      <c r="S504" s="26" t="s">
        <v>38</v>
      </c>
      <c r="T504" s="26" t="s">
        <v>39</v>
      </c>
      <c r="U504" s="27">
        <v>0.95238095238095233</v>
      </c>
      <c r="V504" s="33">
        <v>0.33333333333333331</v>
      </c>
      <c r="W504" s="26" t="s">
        <v>408</v>
      </c>
      <c r="X504" s="26" t="s">
        <v>409</v>
      </c>
      <c r="Y504" s="26" t="s">
        <v>39</v>
      </c>
      <c r="Z504" s="27">
        <v>0.94339622641509424</v>
      </c>
      <c r="AA504" s="33">
        <v>0.33333333333333331</v>
      </c>
      <c r="AB504" s="26" t="s">
        <v>411</v>
      </c>
      <c r="AC504" s="26" t="s">
        <v>38</v>
      </c>
      <c r="AD504" s="26" t="s">
        <v>42</v>
      </c>
      <c r="AE504" s="27">
        <v>2.5</v>
      </c>
      <c r="AF504" s="36">
        <v>0.33333333333333331</v>
      </c>
      <c r="AG504" s="31">
        <v>0</v>
      </c>
      <c r="AH504" t="s">
        <v>44</v>
      </c>
    </row>
    <row r="505" spans="1:34">
      <c r="A505" s="15" t="s">
        <v>564</v>
      </c>
      <c r="B505" s="8" t="s">
        <v>496</v>
      </c>
      <c r="C505" s="41" t="s">
        <v>37</v>
      </c>
      <c r="D505" s="1" t="s">
        <v>38</v>
      </c>
      <c r="E505" s="26" t="s">
        <v>39</v>
      </c>
      <c r="F505" s="27">
        <v>0.95238095238095233</v>
      </c>
      <c r="G505" s="33">
        <v>0.33333333333333331</v>
      </c>
      <c r="H505" s="41" t="s">
        <v>408</v>
      </c>
      <c r="I505" s="1" t="s">
        <v>409</v>
      </c>
      <c r="J505" s="26" t="s">
        <v>39</v>
      </c>
      <c r="K505" s="27">
        <v>0.94339622641509424</v>
      </c>
      <c r="L505" s="33">
        <v>0.33333333333333331</v>
      </c>
      <c r="M505" s="41" t="s">
        <v>410</v>
      </c>
      <c r="N505" s="1" t="s">
        <v>38</v>
      </c>
      <c r="O505" s="26" t="s">
        <v>42</v>
      </c>
      <c r="P505" s="27">
        <v>3.2258064516129035</v>
      </c>
      <c r="Q505" s="33">
        <v>0.33333333333333331</v>
      </c>
      <c r="R505" s="55" t="s">
        <v>37</v>
      </c>
      <c r="S505" s="26" t="s">
        <v>38</v>
      </c>
      <c r="T505" s="26" t="s">
        <v>39</v>
      </c>
      <c r="U505" s="27">
        <v>0.95238095238095233</v>
      </c>
      <c r="V505" s="33">
        <v>0.33333333333333331</v>
      </c>
      <c r="W505" s="26" t="s">
        <v>408</v>
      </c>
      <c r="X505" s="26" t="s">
        <v>409</v>
      </c>
      <c r="Y505" s="26" t="s">
        <v>39</v>
      </c>
      <c r="Z505" s="27">
        <v>0.94339622641509424</v>
      </c>
      <c r="AA505" s="33">
        <v>0.33333333333333331</v>
      </c>
      <c r="AB505" s="26" t="s">
        <v>411</v>
      </c>
      <c r="AC505" s="26" t="s">
        <v>38</v>
      </c>
      <c r="AD505" s="26" t="s">
        <v>42</v>
      </c>
      <c r="AE505" s="27">
        <v>2.5</v>
      </c>
      <c r="AF505" s="36">
        <v>0.33333333333333331</v>
      </c>
      <c r="AG505" s="31">
        <v>0</v>
      </c>
      <c r="AH505" t="s">
        <v>44</v>
      </c>
    </row>
    <row r="506" spans="1:34">
      <c r="A506" s="15" t="s">
        <v>565</v>
      </c>
      <c r="B506" s="8" t="s">
        <v>496</v>
      </c>
      <c r="C506" s="41" t="s">
        <v>37</v>
      </c>
      <c r="D506" s="1" t="s">
        <v>38</v>
      </c>
      <c r="E506" s="26" t="s">
        <v>39</v>
      </c>
      <c r="F506" s="27">
        <v>0.95238095238095233</v>
      </c>
      <c r="G506" s="33">
        <v>0.33333333333333331</v>
      </c>
      <c r="H506" s="41" t="s">
        <v>408</v>
      </c>
      <c r="I506" s="1" t="s">
        <v>409</v>
      </c>
      <c r="J506" s="26" t="s">
        <v>39</v>
      </c>
      <c r="K506" s="27">
        <v>0.94339622641509424</v>
      </c>
      <c r="L506" s="33">
        <v>0.33333333333333331</v>
      </c>
      <c r="M506" s="41" t="s">
        <v>410</v>
      </c>
      <c r="N506" s="1" t="s">
        <v>38</v>
      </c>
      <c r="O506" s="26" t="s">
        <v>42</v>
      </c>
      <c r="P506" s="27">
        <v>3.2258064516129035</v>
      </c>
      <c r="Q506" s="33">
        <v>0.33333333333333331</v>
      </c>
      <c r="R506" s="55" t="s">
        <v>37</v>
      </c>
      <c r="S506" s="26" t="s">
        <v>38</v>
      </c>
      <c r="T506" s="26" t="s">
        <v>39</v>
      </c>
      <c r="U506" s="27">
        <v>0.95238095238095233</v>
      </c>
      <c r="V506" s="33">
        <v>0.33333333333333331</v>
      </c>
      <c r="W506" s="26" t="s">
        <v>408</v>
      </c>
      <c r="X506" s="26" t="s">
        <v>409</v>
      </c>
      <c r="Y506" s="26" t="s">
        <v>39</v>
      </c>
      <c r="Z506" s="27">
        <v>0.94339622641509424</v>
      </c>
      <c r="AA506" s="33">
        <v>0.33333333333333331</v>
      </c>
      <c r="AB506" s="26" t="s">
        <v>411</v>
      </c>
      <c r="AC506" s="26" t="s">
        <v>38</v>
      </c>
      <c r="AD506" s="26" t="s">
        <v>42</v>
      </c>
      <c r="AE506" s="27">
        <v>2.5</v>
      </c>
      <c r="AF506" s="36">
        <v>0.33333333333333331</v>
      </c>
      <c r="AG506" s="31">
        <v>0</v>
      </c>
      <c r="AH506" t="s">
        <v>44</v>
      </c>
    </row>
    <row r="507" spans="1:34">
      <c r="A507" s="15" t="s">
        <v>566</v>
      </c>
      <c r="B507" s="8" t="s">
        <v>496</v>
      </c>
      <c r="C507" s="41" t="s">
        <v>37</v>
      </c>
      <c r="D507" s="1" t="s">
        <v>38</v>
      </c>
      <c r="E507" s="26" t="s">
        <v>39</v>
      </c>
      <c r="F507" s="27">
        <v>0.95238095238095233</v>
      </c>
      <c r="G507" s="33">
        <v>0.33333333333333331</v>
      </c>
      <c r="H507" s="41" t="s">
        <v>408</v>
      </c>
      <c r="I507" s="1" t="s">
        <v>409</v>
      </c>
      <c r="J507" s="26" t="s">
        <v>39</v>
      </c>
      <c r="K507" s="27">
        <v>0.94339622641509424</v>
      </c>
      <c r="L507" s="33">
        <v>0.33333333333333331</v>
      </c>
      <c r="M507" s="41" t="s">
        <v>410</v>
      </c>
      <c r="N507" s="1" t="s">
        <v>38</v>
      </c>
      <c r="O507" s="26" t="s">
        <v>42</v>
      </c>
      <c r="P507" s="27">
        <v>3.2258064516129035</v>
      </c>
      <c r="Q507" s="33">
        <v>0.33333333333333331</v>
      </c>
      <c r="R507" s="55" t="s">
        <v>37</v>
      </c>
      <c r="S507" s="26" t="s">
        <v>38</v>
      </c>
      <c r="T507" s="26" t="s">
        <v>39</v>
      </c>
      <c r="U507" s="27">
        <v>0.95238095238095233</v>
      </c>
      <c r="V507" s="33">
        <v>0.33333333333333331</v>
      </c>
      <c r="W507" s="26" t="s">
        <v>408</v>
      </c>
      <c r="X507" s="26" t="s">
        <v>409</v>
      </c>
      <c r="Y507" s="26" t="s">
        <v>39</v>
      </c>
      <c r="Z507" s="27">
        <v>0.94339622641509424</v>
      </c>
      <c r="AA507" s="33">
        <v>0.33333333333333331</v>
      </c>
      <c r="AB507" s="26" t="s">
        <v>411</v>
      </c>
      <c r="AC507" s="26" t="s">
        <v>38</v>
      </c>
      <c r="AD507" s="26" t="s">
        <v>42</v>
      </c>
      <c r="AE507" s="27">
        <v>2.5</v>
      </c>
      <c r="AF507" s="36">
        <v>0.33333333333333331</v>
      </c>
      <c r="AG507" s="31">
        <v>0</v>
      </c>
      <c r="AH507" t="s">
        <v>44</v>
      </c>
    </row>
    <row r="508" spans="1:34">
      <c r="A508" s="15" t="s">
        <v>567</v>
      </c>
      <c r="B508" s="8" t="s">
        <v>496</v>
      </c>
      <c r="C508" s="41" t="s">
        <v>37</v>
      </c>
      <c r="D508" s="1" t="s">
        <v>38</v>
      </c>
      <c r="E508" s="26" t="s">
        <v>39</v>
      </c>
      <c r="F508" s="27">
        <v>0.95238095238095233</v>
      </c>
      <c r="G508" s="33">
        <v>0.33333333333333331</v>
      </c>
      <c r="H508" s="41" t="s">
        <v>408</v>
      </c>
      <c r="I508" s="1" t="s">
        <v>409</v>
      </c>
      <c r="J508" s="26" t="s">
        <v>39</v>
      </c>
      <c r="K508" s="27">
        <v>0.94339622641509424</v>
      </c>
      <c r="L508" s="33">
        <v>0.33333333333333331</v>
      </c>
      <c r="M508" s="41" t="s">
        <v>410</v>
      </c>
      <c r="N508" s="1" t="s">
        <v>38</v>
      </c>
      <c r="O508" s="26" t="s">
        <v>42</v>
      </c>
      <c r="P508" s="27">
        <v>3.2258064516129035</v>
      </c>
      <c r="Q508" s="33">
        <v>0.33333333333333331</v>
      </c>
      <c r="R508" s="55" t="s">
        <v>37</v>
      </c>
      <c r="S508" s="26" t="s">
        <v>38</v>
      </c>
      <c r="T508" s="26" t="s">
        <v>39</v>
      </c>
      <c r="U508" s="27">
        <v>0.95238095238095233</v>
      </c>
      <c r="V508" s="33">
        <v>0.33333333333333331</v>
      </c>
      <c r="W508" s="26" t="s">
        <v>408</v>
      </c>
      <c r="X508" s="26" t="s">
        <v>409</v>
      </c>
      <c r="Y508" s="26" t="s">
        <v>39</v>
      </c>
      <c r="Z508" s="27">
        <v>0.94339622641509424</v>
      </c>
      <c r="AA508" s="33">
        <v>0.33333333333333331</v>
      </c>
      <c r="AB508" s="26" t="s">
        <v>411</v>
      </c>
      <c r="AC508" s="26" t="s">
        <v>38</v>
      </c>
      <c r="AD508" s="26" t="s">
        <v>42</v>
      </c>
      <c r="AE508" s="27">
        <v>2.5</v>
      </c>
      <c r="AF508" s="36">
        <v>0.33333333333333331</v>
      </c>
      <c r="AG508" s="31">
        <v>0</v>
      </c>
      <c r="AH508" t="s">
        <v>44</v>
      </c>
    </row>
    <row r="509" spans="1:34">
      <c r="A509" s="15" t="s">
        <v>568</v>
      </c>
      <c r="B509" s="8" t="s">
        <v>496</v>
      </c>
      <c r="C509" s="41" t="s">
        <v>37</v>
      </c>
      <c r="D509" s="1" t="s">
        <v>38</v>
      </c>
      <c r="E509" s="26" t="s">
        <v>39</v>
      </c>
      <c r="F509" s="27">
        <v>0.95238095238095233</v>
      </c>
      <c r="G509" s="33">
        <v>0.33333333333333331</v>
      </c>
      <c r="H509" s="41" t="s">
        <v>408</v>
      </c>
      <c r="I509" s="1" t="s">
        <v>409</v>
      </c>
      <c r="J509" s="26" t="s">
        <v>39</v>
      </c>
      <c r="K509" s="27">
        <v>0.94339622641509424</v>
      </c>
      <c r="L509" s="33">
        <v>0.33333333333333331</v>
      </c>
      <c r="M509" s="41" t="s">
        <v>410</v>
      </c>
      <c r="N509" s="1" t="s">
        <v>38</v>
      </c>
      <c r="O509" s="26" t="s">
        <v>42</v>
      </c>
      <c r="P509" s="27">
        <v>3.2258064516129035</v>
      </c>
      <c r="Q509" s="33">
        <v>0.33333333333333331</v>
      </c>
      <c r="R509" s="55" t="s">
        <v>37</v>
      </c>
      <c r="S509" s="26" t="s">
        <v>38</v>
      </c>
      <c r="T509" s="26" t="s">
        <v>39</v>
      </c>
      <c r="U509" s="27">
        <v>0.95238095238095233</v>
      </c>
      <c r="V509" s="33">
        <v>0.33333333333333331</v>
      </c>
      <c r="W509" s="26" t="s">
        <v>408</v>
      </c>
      <c r="X509" s="26" t="s">
        <v>409</v>
      </c>
      <c r="Y509" s="26" t="s">
        <v>39</v>
      </c>
      <c r="Z509" s="27">
        <v>0.94339622641509424</v>
      </c>
      <c r="AA509" s="33">
        <v>0.33333333333333331</v>
      </c>
      <c r="AB509" s="26" t="s">
        <v>411</v>
      </c>
      <c r="AC509" s="26" t="s">
        <v>38</v>
      </c>
      <c r="AD509" s="26" t="s">
        <v>42</v>
      </c>
      <c r="AE509" s="27">
        <v>2.5</v>
      </c>
      <c r="AF509" s="36">
        <v>0.33333333333333331</v>
      </c>
      <c r="AG509" s="31">
        <v>0</v>
      </c>
      <c r="AH509" t="s">
        <v>44</v>
      </c>
    </row>
    <row r="510" spans="1:34">
      <c r="A510" s="15" t="s">
        <v>569</v>
      </c>
      <c r="B510" s="8" t="s">
        <v>496</v>
      </c>
      <c r="C510" s="41" t="s">
        <v>37</v>
      </c>
      <c r="D510" s="1" t="s">
        <v>38</v>
      </c>
      <c r="E510" s="26" t="s">
        <v>39</v>
      </c>
      <c r="F510" s="27">
        <v>0.95238095238095233</v>
      </c>
      <c r="G510" s="33">
        <v>0.33333333333333331</v>
      </c>
      <c r="H510" s="41" t="s">
        <v>408</v>
      </c>
      <c r="I510" s="1" t="s">
        <v>409</v>
      </c>
      <c r="J510" s="26" t="s">
        <v>39</v>
      </c>
      <c r="K510" s="27">
        <v>0.94339622641509424</v>
      </c>
      <c r="L510" s="33">
        <v>0.33333333333333331</v>
      </c>
      <c r="M510" s="41" t="s">
        <v>410</v>
      </c>
      <c r="N510" s="1" t="s">
        <v>38</v>
      </c>
      <c r="O510" s="26" t="s">
        <v>42</v>
      </c>
      <c r="P510" s="27">
        <v>3.2258064516129035</v>
      </c>
      <c r="Q510" s="33">
        <v>0.33333333333333331</v>
      </c>
      <c r="R510" s="55" t="s">
        <v>37</v>
      </c>
      <c r="S510" s="26" t="s">
        <v>38</v>
      </c>
      <c r="T510" s="26" t="s">
        <v>39</v>
      </c>
      <c r="U510" s="27">
        <v>0.95238095238095233</v>
      </c>
      <c r="V510" s="33">
        <v>0.33333333333333331</v>
      </c>
      <c r="W510" s="26" t="s">
        <v>408</v>
      </c>
      <c r="X510" s="26" t="s">
        <v>409</v>
      </c>
      <c r="Y510" s="26" t="s">
        <v>39</v>
      </c>
      <c r="Z510" s="27">
        <v>0.94339622641509424</v>
      </c>
      <c r="AA510" s="33">
        <v>0.33333333333333331</v>
      </c>
      <c r="AB510" s="26" t="s">
        <v>411</v>
      </c>
      <c r="AC510" s="26" t="s">
        <v>38</v>
      </c>
      <c r="AD510" s="26" t="s">
        <v>42</v>
      </c>
      <c r="AE510" s="27">
        <v>2.5</v>
      </c>
      <c r="AF510" s="36">
        <v>0.33333333333333331</v>
      </c>
      <c r="AG510" s="31">
        <v>0</v>
      </c>
      <c r="AH510" t="s">
        <v>44</v>
      </c>
    </row>
    <row r="511" spans="1:34">
      <c r="A511" s="15" t="s">
        <v>570</v>
      </c>
      <c r="B511" s="8" t="s">
        <v>496</v>
      </c>
      <c r="C511" s="41" t="s">
        <v>37</v>
      </c>
      <c r="D511" s="1" t="s">
        <v>38</v>
      </c>
      <c r="E511" s="26" t="s">
        <v>39</v>
      </c>
      <c r="F511" s="27">
        <v>0.95238095238095233</v>
      </c>
      <c r="G511" s="33">
        <v>0.33333333333333331</v>
      </c>
      <c r="H511" s="41" t="s">
        <v>408</v>
      </c>
      <c r="I511" s="1" t="s">
        <v>409</v>
      </c>
      <c r="J511" s="26" t="s">
        <v>39</v>
      </c>
      <c r="K511" s="27">
        <v>0.94339622641509424</v>
      </c>
      <c r="L511" s="33">
        <v>0.33333333333333331</v>
      </c>
      <c r="M511" s="41" t="s">
        <v>410</v>
      </c>
      <c r="N511" s="1" t="s">
        <v>38</v>
      </c>
      <c r="O511" s="26" t="s">
        <v>42</v>
      </c>
      <c r="P511" s="27">
        <v>3.2258064516129035</v>
      </c>
      <c r="Q511" s="33">
        <v>0.33333333333333331</v>
      </c>
      <c r="R511" s="55" t="s">
        <v>37</v>
      </c>
      <c r="S511" s="26" t="s">
        <v>38</v>
      </c>
      <c r="T511" s="26" t="s">
        <v>39</v>
      </c>
      <c r="U511" s="27">
        <v>0.95238095238095233</v>
      </c>
      <c r="V511" s="33">
        <v>0.33333333333333331</v>
      </c>
      <c r="W511" s="26" t="s">
        <v>408</v>
      </c>
      <c r="X511" s="26" t="s">
        <v>409</v>
      </c>
      <c r="Y511" s="26" t="s">
        <v>39</v>
      </c>
      <c r="Z511" s="27">
        <v>0.94339622641509424</v>
      </c>
      <c r="AA511" s="33">
        <v>0.33333333333333331</v>
      </c>
      <c r="AB511" s="26" t="s">
        <v>411</v>
      </c>
      <c r="AC511" s="26" t="s">
        <v>38</v>
      </c>
      <c r="AD511" s="26" t="s">
        <v>42</v>
      </c>
      <c r="AE511" s="27">
        <v>2.5</v>
      </c>
      <c r="AF511" s="36">
        <v>0.33333333333333331</v>
      </c>
      <c r="AG511" s="31">
        <v>0</v>
      </c>
      <c r="AH511" t="s">
        <v>44</v>
      </c>
    </row>
    <row r="512" spans="1:34">
      <c r="A512" s="15" t="s">
        <v>571</v>
      </c>
      <c r="B512" s="8" t="s">
        <v>496</v>
      </c>
      <c r="C512" s="41" t="s">
        <v>37</v>
      </c>
      <c r="D512" s="1" t="s">
        <v>38</v>
      </c>
      <c r="E512" s="26" t="s">
        <v>39</v>
      </c>
      <c r="F512" s="27">
        <v>0.95238095238095233</v>
      </c>
      <c r="G512" s="33">
        <v>0.33333333333333331</v>
      </c>
      <c r="H512" s="41" t="s">
        <v>408</v>
      </c>
      <c r="I512" s="1" t="s">
        <v>409</v>
      </c>
      <c r="J512" s="26" t="s">
        <v>39</v>
      </c>
      <c r="K512" s="27">
        <v>0.94339622641509424</v>
      </c>
      <c r="L512" s="33">
        <v>0.33333333333333331</v>
      </c>
      <c r="M512" s="41" t="s">
        <v>410</v>
      </c>
      <c r="N512" s="1" t="s">
        <v>38</v>
      </c>
      <c r="O512" s="26" t="s">
        <v>42</v>
      </c>
      <c r="P512" s="27">
        <v>3.2258064516129035</v>
      </c>
      <c r="Q512" s="33">
        <v>0.33333333333333331</v>
      </c>
      <c r="R512" s="55" t="s">
        <v>37</v>
      </c>
      <c r="S512" s="26" t="s">
        <v>38</v>
      </c>
      <c r="T512" s="26" t="s">
        <v>39</v>
      </c>
      <c r="U512" s="27">
        <v>0.95238095238095233</v>
      </c>
      <c r="V512" s="33">
        <v>0.33333333333333331</v>
      </c>
      <c r="W512" s="26" t="s">
        <v>408</v>
      </c>
      <c r="X512" s="26" t="s">
        <v>409</v>
      </c>
      <c r="Y512" s="26" t="s">
        <v>39</v>
      </c>
      <c r="Z512" s="27">
        <v>0.94339622641509424</v>
      </c>
      <c r="AA512" s="33">
        <v>0.33333333333333331</v>
      </c>
      <c r="AB512" s="26" t="s">
        <v>411</v>
      </c>
      <c r="AC512" s="26" t="s">
        <v>38</v>
      </c>
      <c r="AD512" s="26" t="s">
        <v>42</v>
      </c>
      <c r="AE512" s="27">
        <v>2.5</v>
      </c>
      <c r="AF512" s="36">
        <v>0.33333333333333331</v>
      </c>
      <c r="AG512" s="31">
        <v>0</v>
      </c>
      <c r="AH512" t="s">
        <v>44</v>
      </c>
    </row>
    <row r="513" spans="1:34">
      <c r="A513" s="15" t="s">
        <v>572</v>
      </c>
      <c r="B513" s="8" t="s">
        <v>496</v>
      </c>
      <c r="C513" s="41" t="s">
        <v>37</v>
      </c>
      <c r="D513" s="1" t="s">
        <v>38</v>
      </c>
      <c r="E513" s="26" t="s">
        <v>39</v>
      </c>
      <c r="F513" s="27">
        <v>0.95238095238095233</v>
      </c>
      <c r="G513" s="33">
        <v>0.33333333333333331</v>
      </c>
      <c r="H513" s="41" t="s">
        <v>408</v>
      </c>
      <c r="I513" s="1" t="s">
        <v>409</v>
      </c>
      <c r="J513" s="26" t="s">
        <v>39</v>
      </c>
      <c r="K513" s="27">
        <v>0.94339622641509424</v>
      </c>
      <c r="L513" s="33">
        <v>0.33333333333333331</v>
      </c>
      <c r="M513" s="41" t="s">
        <v>410</v>
      </c>
      <c r="N513" s="1" t="s">
        <v>38</v>
      </c>
      <c r="O513" s="26" t="s">
        <v>42</v>
      </c>
      <c r="P513" s="27">
        <v>3.2258064516129035</v>
      </c>
      <c r="Q513" s="33">
        <v>0.33333333333333331</v>
      </c>
      <c r="R513" s="55" t="s">
        <v>37</v>
      </c>
      <c r="S513" s="26" t="s">
        <v>38</v>
      </c>
      <c r="T513" s="26" t="s">
        <v>39</v>
      </c>
      <c r="U513" s="27">
        <v>0.95238095238095233</v>
      </c>
      <c r="V513" s="33">
        <v>0.33333333333333331</v>
      </c>
      <c r="W513" s="26" t="s">
        <v>408</v>
      </c>
      <c r="X513" s="26" t="s">
        <v>409</v>
      </c>
      <c r="Y513" s="26" t="s">
        <v>39</v>
      </c>
      <c r="Z513" s="27">
        <v>0.94339622641509424</v>
      </c>
      <c r="AA513" s="33">
        <v>0.33333333333333331</v>
      </c>
      <c r="AB513" s="26" t="s">
        <v>411</v>
      </c>
      <c r="AC513" s="26" t="s">
        <v>38</v>
      </c>
      <c r="AD513" s="26" t="s">
        <v>42</v>
      </c>
      <c r="AE513" s="27">
        <v>2.5</v>
      </c>
      <c r="AF513" s="36">
        <v>0.33333333333333331</v>
      </c>
      <c r="AG513" s="31">
        <v>0</v>
      </c>
      <c r="AH513" t="s">
        <v>44</v>
      </c>
    </row>
    <row r="514" spans="1:34">
      <c r="A514" s="15" t="s">
        <v>573</v>
      </c>
      <c r="B514" s="8" t="s">
        <v>496</v>
      </c>
      <c r="C514" s="41" t="s">
        <v>37</v>
      </c>
      <c r="D514" s="1" t="s">
        <v>38</v>
      </c>
      <c r="E514" s="26" t="s">
        <v>39</v>
      </c>
      <c r="F514" s="27">
        <v>0.95238095238095233</v>
      </c>
      <c r="G514" s="33">
        <v>0.33333333333333331</v>
      </c>
      <c r="H514" s="41" t="s">
        <v>408</v>
      </c>
      <c r="I514" s="1" t="s">
        <v>409</v>
      </c>
      <c r="J514" s="26" t="s">
        <v>39</v>
      </c>
      <c r="K514" s="27">
        <v>0.94339622641509424</v>
      </c>
      <c r="L514" s="33">
        <v>0.33333333333333331</v>
      </c>
      <c r="M514" s="41" t="s">
        <v>410</v>
      </c>
      <c r="N514" s="1" t="s">
        <v>38</v>
      </c>
      <c r="O514" s="26" t="s">
        <v>42</v>
      </c>
      <c r="P514" s="27">
        <v>3.2258064516129035</v>
      </c>
      <c r="Q514" s="33">
        <v>0.33333333333333331</v>
      </c>
      <c r="R514" s="55" t="s">
        <v>37</v>
      </c>
      <c r="S514" s="26" t="s">
        <v>38</v>
      </c>
      <c r="T514" s="26" t="s">
        <v>39</v>
      </c>
      <c r="U514" s="27">
        <v>0.95238095238095233</v>
      </c>
      <c r="V514" s="33">
        <v>0.33333333333333331</v>
      </c>
      <c r="W514" s="26" t="s">
        <v>408</v>
      </c>
      <c r="X514" s="26" t="s">
        <v>409</v>
      </c>
      <c r="Y514" s="26" t="s">
        <v>39</v>
      </c>
      <c r="Z514" s="27">
        <v>0.94339622641509424</v>
      </c>
      <c r="AA514" s="33">
        <v>0.33333333333333331</v>
      </c>
      <c r="AB514" s="26" t="s">
        <v>411</v>
      </c>
      <c r="AC514" s="26" t="s">
        <v>38</v>
      </c>
      <c r="AD514" s="26" t="s">
        <v>42</v>
      </c>
      <c r="AE514" s="27">
        <v>2.5</v>
      </c>
      <c r="AF514" s="36">
        <v>0.33333333333333331</v>
      </c>
      <c r="AG514" s="31">
        <v>0</v>
      </c>
      <c r="AH514" t="s">
        <v>44</v>
      </c>
    </row>
    <row r="515" spans="1:34">
      <c r="A515" s="15" t="s">
        <v>574</v>
      </c>
      <c r="B515" s="8" t="s">
        <v>496</v>
      </c>
      <c r="C515" s="41" t="s">
        <v>37</v>
      </c>
      <c r="D515" s="1" t="s">
        <v>38</v>
      </c>
      <c r="E515" s="26" t="s">
        <v>39</v>
      </c>
      <c r="F515" s="27">
        <v>0.95238095238095233</v>
      </c>
      <c r="G515" s="33">
        <v>0.33333333333333331</v>
      </c>
      <c r="H515" s="41" t="s">
        <v>408</v>
      </c>
      <c r="I515" s="1" t="s">
        <v>409</v>
      </c>
      <c r="J515" s="26" t="s">
        <v>39</v>
      </c>
      <c r="K515" s="27">
        <v>0.94339622641509424</v>
      </c>
      <c r="L515" s="33">
        <v>0.33333333333333331</v>
      </c>
      <c r="M515" s="41" t="s">
        <v>410</v>
      </c>
      <c r="N515" s="1" t="s">
        <v>38</v>
      </c>
      <c r="O515" s="26" t="s">
        <v>42</v>
      </c>
      <c r="P515" s="27">
        <v>3.2258064516129035</v>
      </c>
      <c r="Q515" s="33">
        <v>0.33333333333333331</v>
      </c>
      <c r="R515" s="55" t="s">
        <v>37</v>
      </c>
      <c r="S515" s="26" t="s">
        <v>38</v>
      </c>
      <c r="T515" s="26" t="s">
        <v>39</v>
      </c>
      <c r="U515" s="27">
        <v>0.95238095238095233</v>
      </c>
      <c r="V515" s="33">
        <v>0.33333333333333331</v>
      </c>
      <c r="W515" s="26" t="s">
        <v>408</v>
      </c>
      <c r="X515" s="26" t="s">
        <v>409</v>
      </c>
      <c r="Y515" s="26" t="s">
        <v>39</v>
      </c>
      <c r="Z515" s="27">
        <v>0.94339622641509424</v>
      </c>
      <c r="AA515" s="33">
        <v>0.33333333333333331</v>
      </c>
      <c r="AB515" s="26" t="s">
        <v>411</v>
      </c>
      <c r="AC515" s="26" t="s">
        <v>38</v>
      </c>
      <c r="AD515" s="26" t="s">
        <v>42</v>
      </c>
      <c r="AE515" s="27">
        <v>2.5</v>
      </c>
      <c r="AF515" s="36">
        <v>0.33333333333333331</v>
      </c>
      <c r="AG515" s="31">
        <v>0</v>
      </c>
      <c r="AH515" t="s">
        <v>44</v>
      </c>
    </row>
    <row r="516" spans="1:34">
      <c r="A516" s="15" t="s">
        <v>575</v>
      </c>
      <c r="B516" s="8" t="s">
        <v>496</v>
      </c>
      <c r="C516" s="41" t="s">
        <v>37</v>
      </c>
      <c r="D516" s="1" t="s">
        <v>38</v>
      </c>
      <c r="E516" s="26" t="s">
        <v>39</v>
      </c>
      <c r="F516" s="27">
        <v>0.95238095238095233</v>
      </c>
      <c r="G516" s="33">
        <v>0.33333333333333331</v>
      </c>
      <c r="H516" s="41" t="s">
        <v>408</v>
      </c>
      <c r="I516" s="1" t="s">
        <v>409</v>
      </c>
      <c r="J516" s="26" t="s">
        <v>39</v>
      </c>
      <c r="K516" s="27">
        <v>0.94339622641509424</v>
      </c>
      <c r="L516" s="33">
        <v>0.33333333333333331</v>
      </c>
      <c r="M516" s="41" t="s">
        <v>410</v>
      </c>
      <c r="N516" s="1" t="s">
        <v>38</v>
      </c>
      <c r="O516" s="26" t="s">
        <v>42</v>
      </c>
      <c r="P516" s="27">
        <v>3.2258064516129035</v>
      </c>
      <c r="Q516" s="33">
        <v>0.33333333333333331</v>
      </c>
      <c r="R516" s="55" t="s">
        <v>37</v>
      </c>
      <c r="S516" s="26" t="s">
        <v>38</v>
      </c>
      <c r="T516" s="26" t="s">
        <v>39</v>
      </c>
      <c r="U516" s="27">
        <v>0.95238095238095233</v>
      </c>
      <c r="V516" s="33">
        <v>0.33333333333333331</v>
      </c>
      <c r="W516" s="26" t="s">
        <v>408</v>
      </c>
      <c r="X516" s="26" t="s">
        <v>409</v>
      </c>
      <c r="Y516" s="26" t="s">
        <v>39</v>
      </c>
      <c r="Z516" s="27">
        <v>0.94339622641509424</v>
      </c>
      <c r="AA516" s="33">
        <v>0.33333333333333331</v>
      </c>
      <c r="AB516" s="26" t="s">
        <v>411</v>
      </c>
      <c r="AC516" s="26" t="s">
        <v>38</v>
      </c>
      <c r="AD516" s="26" t="s">
        <v>42</v>
      </c>
      <c r="AE516" s="27">
        <v>2.5</v>
      </c>
      <c r="AF516" s="36">
        <v>0.33333333333333331</v>
      </c>
      <c r="AG516" s="31">
        <v>0</v>
      </c>
      <c r="AH516" t="s">
        <v>44</v>
      </c>
    </row>
    <row r="517" spans="1:34">
      <c r="A517" s="15" t="s">
        <v>576</v>
      </c>
      <c r="B517" s="8" t="s">
        <v>496</v>
      </c>
      <c r="C517" s="41" t="s">
        <v>37</v>
      </c>
      <c r="D517" s="1" t="s">
        <v>38</v>
      </c>
      <c r="E517" s="26" t="s">
        <v>39</v>
      </c>
      <c r="F517" s="27">
        <v>0.95238095238095233</v>
      </c>
      <c r="G517" s="33">
        <v>0.33333333333333331</v>
      </c>
      <c r="H517" s="41" t="s">
        <v>408</v>
      </c>
      <c r="I517" s="1" t="s">
        <v>409</v>
      </c>
      <c r="J517" s="26" t="s">
        <v>39</v>
      </c>
      <c r="K517" s="27">
        <v>0.94339622641509424</v>
      </c>
      <c r="L517" s="33">
        <v>0.33333333333333331</v>
      </c>
      <c r="M517" s="41" t="s">
        <v>410</v>
      </c>
      <c r="N517" s="1" t="s">
        <v>38</v>
      </c>
      <c r="O517" s="26" t="s">
        <v>42</v>
      </c>
      <c r="P517" s="27">
        <v>3.2258064516129035</v>
      </c>
      <c r="Q517" s="33">
        <v>0.33333333333333331</v>
      </c>
      <c r="R517" s="55" t="s">
        <v>37</v>
      </c>
      <c r="S517" s="26" t="s">
        <v>38</v>
      </c>
      <c r="T517" s="26" t="s">
        <v>39</v>
      </c>
      <c r="U517" s="27">
        <v>0.95238095238095233</v>
      </c>
      <c r="V517" s="33">
        <v>0.33333333333333331</v>
      </c>
      <c r="W517" s="26" t="s">
        <v>408</v>
      </c>
      <c r="X517" s="26" t="s">
        <v>409</v>
      </c>
      <c r="Y517" s="26" t="s">
        <v>39</v>
      </c>
      <c r="Z517" s="27">
        <v>0.94339622641509424</v>
      </c>
      <c r="AA517" s="33">
        <v>0.33333333333333331</v>
      </c>
      <c r="AB517" s="26" t="s">
        <v>411</v>
      </c>
      <c r="AC517" s="26" t="s">
        <v>38</v>
      </c>
      <c r="AD517" s="26" t="s">
        <v>42</v>
      </c>
      <c r="AE517" s="27">
        <v>2.5</v>
      </c>
      <c r="AF517" s="36">
        <v>0.33333333333333331</v>
      </c>
      <c r="AG517" s="31">
        <v>0</v>
      </c>
      <c r="AH517" t="s">
        <v>44</v>
      </c>
    </row>
    <row r="518" spans="1:34">
      <c r="A518" s="15" t="s">
        <v>577</v>
      </c>
      <c r="B518" s="8" t="s">
        <v>496</v>
      </c>
      <c r="C518" s="41" t="s">
        <v>37</v>
      </c>
      <c r="D518" s="1" t="s">
        <v>38</v>
      </c>
      <c r="E518" s="26" t="s">
        <v>39</v>
      </c>
      <c r="F518" s="27">
        <v>0.95238095238095233</v>
      </c>
      <c r="G518" s="33">
        <v>0.33333333333333331</v>
      </c>
      <c r="H518" s="41" t="s">
        <v>408</v>
      </c>
      <c r="I518" s="1" t="s">
        <v>409</v>
      </c>
      <c r="J518" s="26" t="s">
        <v>39</v>
      </c>
      <c r="K518" s="27">
        <v>0.94339622641509424</v>
      </c>
      <c r="L518" s="33">
        <v>0.33333333333333331</v>
      </c>
      <c r="M518" s="41" t="s">
        <v>410</v>
      </c>
      <c r="N518" s="1" t="s">
        <v>38</v>
      </c>
      <c r="O518" s="26" t="s">
        <v>42</v>
      </c>
      <c r="P518" s="27">
        <v>3.2258064516129035</v>
      </c>
      <c r="Q518" s="33">
        <v>0.33333333333333331</v>
      </c>
      <c r="R518" s="55" t="s">
        <v>37</v>
      </c>
      <c r="S518" s="26" t="s">
        <v>38</v>
      </c>
      <c r="T518" s="26" t="s">
        <v>39</v>
      </c>
      <c r="U518" s="27">
        <v>0.95238095238095233</v>
      </c>
      <c r="V518" s="33">
        <v>0.33333333333333331</v>
      </c>
      <c r="W518" s="26" t="s">
        <v>408</v>
      </c>
      <c r="X518" s="26" t="s">
        <v>409</v>
      </c>
      <c r="Y518" s="26" t="s">
        <v>39</v>
      </c>
      <c r="Z518" s="27">
        <v>0.94339622641509424</v>
      </c>
      <c r="AA518" s="33">
        <v>0.33333333333333331</v>
      </c>
      <c r="AB518" s="26" t="s">
        <v>411</v>
      </c>
      <c r="AC518" s="26" t="s">
        <v>38</v>
      </c>
      <c r="AD518" s="26" t="s">
        <v>42</v>
      </c>
      <c r="AE518" s="27">
        <v>2.5</v>
      </c>
      <c r="AF518" s="36">
        <v>0.33333333333333331</v>
      </c>
      <c r="AG518" s="31">
        <v>0</v>
      </c>
      <c r="AH518" t="s">
        <v>44</v>
      </c>
    </row>
    <row r="519" spans="1:34">
      <c r="A519" s="15" t="s">
        <v>578</v>
      </c>
      <c r="B519" s="8" t="s">
        <v>496</v>
      </c>
      <c r="C519" s="41" t="s">
        <v>37</v>
      </c>
      <c r="D519" s="1" t="s">
        <v>38</v>
      </c>
      <c r="E519" s="26" t="s">
        <v>39</v>
      </c>
      <c r="F519" s="27">
        <v>0.95238095238095233</v>
      </c>
      <c r="G519" s="33">
        <v>0.33333333333333331</v>
      </c>
      <c r="H519" s="41" t="s">
        <v>408</v>
      </c>
      <c r="I519" s="1" t="s">
        <v>409</v>
      </c>
      <c r="J519" s="26" t="s">
        <v>39</v>
      </c>
      <c r="K519" s="27">
        <v>0.94339622641509424</v>
      </c>
      <c r="L519" s="33">
        <v>0.33333333333333331</v>
      </c>
      <c r="M519" s="41" t="s">
        <v>410</v>
      </c>
      <c r="N519" s="1" t="s">
        <v>38</v>
      </c>
      <c r="O519" s="26" t="s">
        <v>42</v>
      </c>
      <c r="P519" s="27">
        <v>3.2258064516129035</v>
      </c>
      <c r="Q519" s="33">
        <v>0.33333333333333331</v>
      </c>
      <c r="R519" s="55" t="s">
        <v>37</v>
      </c>
      <c r="S519" s="26" t="s">
        <v>38</v>
      </c>
      <c r="T519" s="26" t="s">
        <v>39</v>
      </c>
      <c r="U519" s="27">
        <v>0.95238095238095233</v>
      </c>
      <c r="V519" s="33">
        <v>0.33333333333333331</v>
      </c>
      <c r="W519" s="26" t="s">
        <v>408</v>
      </c>
      <c r="X519" s="26" t="s">
        <v>409</v>
      </c>
      <c r="Y519" s="26" t="s">
        <v>39</v>
      </c>
      <c r="Z519" s="27">
        <v>0.94339622641509424</v>
      </c>
      <c r="AA519" s="33">
        <v>0.33333333333333331</v>
      </c>
      <c r="AB519" s="26" t="s">
        <v>411</v>
      </c>
      <c r="AC519" s="26" t="s">
        <v>38</v>
      </c>
      <c r="AD519" s="26" t="s">
        <v>42</v>
      </c>
      <c r="AE519" s="27">
        <v>2.5</v>
      </c>
      <c r="AF519" s="36">
        <v>0.33333333333333331</v>
      </c>
      <c r="AG519" s="31">
        <v>0</v>
      </c>
      <c r="AH519" t="s">
        <v>44</v>
      </c>
    </row>
    <row r="520" spans="1:34">
      <c r="A520" s="16" t="s">
        <v>579</v>
      </c>
      <c r="B520" s="8" t="s">
        <v>496</v>
      </c>
      <c r="C520" s="41" t="s">
        <v>37</v>
      </c>
      <c r="D520" s="1" t="s">
        <v>38</v>
      </c>
      <c r="E520" s="26" t="s">
        <v>39</v>
      </c>
      <c r="F520" s="27">
        <v>0.95238095238095233</v>
      </c>
      <c r="G520" s="33">
        <v>0.33333333333333331</v>
      </c>
      <c r="H520" s="41" t="s">
        <v>408</v>
      </c>
      <c r="I520" s="1" t="s">
        <v>409</v>
      </c>
      <c r="J520" s="26" t="s">
        <v>39</v>
      </c>
      <c r="K520" s="27">
        <v>0.94339622641509424</v>
      </c>
      <c r="L520" s="33">
        <v>0.33333333333333331</v>
      </c>
      <c r="M520" s="41" t="s">
        <v>410</v>
      </c>
      <c r="N520" s="1" t="s">
        <v>38</v>
      </c>
      <c r="O520" s="26" t="s">
        <v>42</v>
      </c>
      <c r="P520" s="27">
        <v>3.2258064516129035</v>
      </c>
      <c r="Q520" s="33">
        <v>0.33333333333333331</v>
      </c>
      <c r="R520" s="55" t="s">
        <v>37</v>
      </c>
      <c r="S520" s="26" t="s">
        <v>38</v>
      </c>
      <c r="T520" s="26" t="s">
        <v>39</v>
      </c>
      <c r="U520" s="27">
        <v>0.95238095238095233</v>
      </c>
      <c r="V520" s="33">
        <v>0.33333333333333331</v>
      </c>
      <c r="W520" s="26" t="s">
        <v>408</v>
      </c>
      <c r="X520" s="26" t="s">
        <v>409</v>
      </c>
      <c r="Y520" s="26" t="s">
        <v>39</v>
      </c>
      <c r="Z520" s="27">
        <v>0.94339622641509424</v>
      </c>
      <c r="AA520" s="33">
        <v>0.33333333333333331</v>
      </c>
      <c r="AB520" s="26" t="s">
        <v>411</v>
      </c>
      <c r="AC520" s="26" t="s">
        <v>38</v>
      </c>
      <c r="AD520" s="26" t="s">
        <v>42</v>
      </c>
      <c r="AE520" s="27">
        <v>2.5</v>
      </c>
      <c r="AF520" s="36">
        <v>0.33333333333333331</v>
      </c>
      <c r="AG520" s="31">
        <v>0</v>
      </c>
      <c r="AH520" t="s">
        <v>44</v>
      </c>
    </row>
    <row r="521" spans="1:34" s="6" customFormat="1">
      <c r="A521" s="15" t="s">
        <v>580</v>
      </c>
      <c r="B521" s="9" t="s">
        <v>581</v>
      </c>
      <c r="C521" s="45" t="s">
        <v>212</v>
      </c>
      <c r="D521" s="46" t="s">
        <v>41</v>
      </c>
      <c r="E521" s="47" t="s">
        <v>39</v>
      </c>
      <c r="F521" s="48">
        <v>1</v>
      </c>
      <c r="G521" s="49">
        <v>1</v>
      </c>
      <c r="H521" s="45"/>
      <c r="I521" s="46"/>
      <c r="J521" s="47"/>
      <c r="K521" s="48"/>
      <c r="L521" s="48"/>
      <c r="M521" s="72"/>
      <c r="N521" s="46"/>
      <c r="O521" s="47"/>
      <c r="P521" s="48"/>
      <c r="Q521" s="49"/>
      <c r="R521" s="54" t="s">
        <v>212</v>
      </c>
      <c r="S521" s="47" t="s">
        <v>41</v>
      </c>
      <c r="T521" s="47" t="s">
        <v>39</v>
      </c>
      <c r="U521" s="48">
        <v>0.80645161290322587</v>
      </c>
      <c r="V521" s="49">
        <v>1</v>
      </c>
      <c r="W521" s="28"/>
      <c r="X521" s="28"/>
      <c r="Y521" s="28"/>
      <c r="Z521" s="29"/>
      <c r="AA521" s="28"/>
      <c r="AB521" s="74"/>
      <c r="AC521" s="28"/>
      <c r="AD521" s="28"/>
      <c r="AE521" s="28"/>
      <c r="AF521" s="39"/>
      <c r="AG521" s="29">
        <v>1</v>
      </c>
      <c r="AH521" s="6" t="s">
        <v>73</v>
      </c>
    </row>
    <row r="522" spans="1:34">
      <c r="A522" s="15" t="s">
        <v>582</v>
      </c>
      <c r="B522" s="8" t="s">
        <v>581</v>
      </c>
      <c r="C522" s="41" t="s">
        <v>212</v>
      </c>
      <c r="D522" s="1" t="s">
        <v>41</v>
      </c>
      <c r="E522" s="26" t="s">
        <v>39</v>
      </c>
      <c r="F522" s="27">
        <v>1</v>
      </c>
      <c r="G522" s="33">
        <v>1</v>
      </c>
      <c r="H522" s="41"/>
      <c r="I522" s="1"/>
      <c r="J522" s="26"/>
      <c r="K522" s="27"/>
      <c r="L522" s="27"/>
      <c r="M522" s="70"/>
      <c r="N522" s="1"/>
      <c r="O522" s="26"/>
      <c r="P522" s="27"/>
      <c r="Q522" s="33"/>
      <c r="R522" s="55" t="s">
        <v>212</v>
      </c>
      <c r="S522" s="26" t="s">
        <v>41</v>
      </c>
      <c r="T522" s="26" t="s">
        <v>39</v>
      </c>
      <c r="U522" s="27">
        <v>0.80645161290322587</v>
      </c>
      <c r="V522" s="33">
        <v>1</v>
      </c>
      <c r="AG522" s="31">
        <v>1</v>
      </c>
      <c r="AH522" t="s">
        <v>73</v>
      </c>
    </row>
    <row r="523" spans="1:34">
      <c r="A523" s="15" t="s">
        <v>583</v>
      </c>
      <c r="B523" s="8" t="s">
        <v>581</v>
      </c>
      <c r="C523" s="41" t="s">
        <v>212</v>
      </c>
      <c r="D523" s="1" t="s">
        <v>41</v>
      </c>
      <c r="E523" s="26" t="s">
        <v>39</v>
      </c>
      <c r="F523" s="27">
        <v>1</v>
      </c>
      <c r="G523" s="33">
        <v>1</v>
      </c>
      <c r="H523" s="41"/>
      <c r="I523" s="1"/>
      <c r="J523" s="26"/>
      <c r="K523" s="27"/>
      <c r="L523" s="27"/>
      <c r="M523" s="70"/>
      <c r="N523" s="1"/>
      <c r="O523" s="26"/>
      <c r="P523" s="27"/>
      <c r="Q523" s="33"/>
      <c r="R523" s="55" t="s">
        <v>212</v>
      </c>
      <c r="S523" s="26" t="s">
        <v>41</v>
      </c>
      <c r="T523" s="26" t="s">
        <v>39</v>
      </c>
      <c r="U523" s="27">
        <v>0.80645161290322587</v>
      </c>
      <c r="V523" s="33">
        <v>1</v>
      </c>
      <c r="AG523" s="31">
        <v>1</v>
      </c>
      <c r="AH523" t="s">
        <v>73</v>
      </c>
    </row>
    <row r="524" spans="1:34">
      <c r="A524" s="15" t="s">
        <v>584</v>
      </c>
      <c r="B524" s="8" t="s">
        <v>581</v>
      </c>
      <c r="C524" s="41" t="s">
        <v>212</v>
      </c>
      <c r="D524" s="1" t="s">
        <v>41</v>
      </c>
      <c r="E524" s="26" t="s">
        <v>39</v>
      </c>
      <c r="F524" s="27">
        <v>1</v>
      </c>
      <c r="G524" s="33">
        <v>1</v>
      </c>
      <c r="H524" s="41"/>
      <c r="I524" s="1"/>
      <c r="J524" s="26"/>
      <c r="K524" s="27"/>
      <c r="L524" s="27"/>
      <c r="M524" s="70"/>
      <c r="N524" s="1"/>
      <c r="O524" s="26"/>
      <c r="P524" s="27"/>
      <c r="Q524" s="33"/>
      <c r="R524" s="55" t="s">
        <v>212</v>
      </c>
      <c r="S524" s="26" t="s">
        <v>41</v>
      </c>
      <c r="T524" s="26" t="s">
        <v>39</v>
      </c>
      <c r="U524" s="27">
        <v>0.80645161290322587</v>
      </c>
      <c r="V524" s="33">
        <v>1</v>
      </c>
      <c r="AG524" s="31">
        <v>1</v>
      </c>
      <c r="AH524" t="s">
        <v>73</v>
      </c>
    </row>
    <row r="525" spans="1:34">
      <c r="A525" s="15" t="s">
        <v>585</v>
      </c>
      <c r="B525" s="8" t="s">
        <v>581</v>
      </c>
      <c r="C525" s="41" t="s">
        <v>212</v>
      </c>
      <c r="D525" s="1" t="s">
        <v>41</v>
      </c>
      <c r="E525" s="26" t="s">
        <v>39</v>
      </c>
      <c r="F525" s="27">
        <v>1</v>
      </c>
      <c r="G525" s="33">
        <v>1</v>
      </c>
      <c r="H525" s="41"/>
      <c r="I525" s="1"/>
      <c r="J525" s="26"/>
      <c r="K525" s="27"/>
      <c r="L525" s="27"/>
      <c r="M525" s="70"/>
      <c r="N525" s="1"/>
      <c r="O525" s="26"/>
      <c r="P525" s="27"/>
      <c r="Q525" s="33"/>
      <c r="R525" s="55" t="s">
        <v>212</v>
      </c>
      <c r="S525" s="26" t="s">
        <v>41</v>
      </c>
      <c r="T525" s="26" t="s">
        <v>39</v>
      </c>
      <c r="U525" s="27">
        <v>0.80645161290322587</v>
      </c>
      <c r="V525" s="33">
        <v>1</v>
      </c>
      <c r="AG525" s="31">
        <v>1</v>
      </c>
      <c r="AH525" t="s">
        <v>73</v>
      </c>
    </row>
    <row r="526" spans="1:34">
      <c r="A526" s="15" t="s">
        <v>586</v>
      </c>
      <c r="B526" s="8" t="s">
        <v>581</v>
      </c>
      <c r="C526" s="41" t="s">
        <v>212</v>
      </c>
      <c r="D526" s="1" t="s">
        <v>41</v>
      </c>
      <c r="E526" s="26" t="s">
        <v>39</v>
      </c>
      <c r="F526" s="27">
        <v>1</v>
      </c>
      <c r="G526" s="33">
        <v>1</v>
      </c>
      <c r="H526" s="41"/>
      <c r="I526" s="1"/>
      <c r="J526" s="26"/>
      <c r="K526" s="27"/>
      <c r="L526" s="27"/>
      <c r="M526" s="70"/>
      <c r="N526" s="1"/>
      <c r="O526" s="26"/>
      <c r="P526" s="27"/>
      <c r="Q526" s="33"/>
      <c r="R526" s="55" t="s">
        <v>212</v>
      </c>
      <c r="S526" s="26" t="s">
        <v>41</v>
      </c>
      <c r="T526" s="26" t="s">
        <v>39</v>
      </c>
      <c r="U526" s="27">
        <v>0.80645161290322587</v>
      </c>
      <c r="V526" s="33">
        <v>1</v>
      </c>
      <c r="AG526" s="31">
        <v>1</v>
      </c>
      <c r="AH526" t="s">
        <v>73</v>
      </c>
    </row>
    <row r="527" spans="1:34">
      <c r="A527" s="15" t="s">
        <v>587</v>
      </c>
      <c r="B527" s="8" t="s">
        <v>581</v>
      </c>
      <c r="C527" s="41" t="s">
        <v>212</v>
      </c>
      <c r="D527" s="1" t="s">
        <v>41</v>
      </c>
      <c r="E527" s="26" t="s">
        <v>39</v>
      </c>
      <c r="F527" s="27">
        <v>1</v>
      </c>
      <c r="G527" s="33">
        <v>1</v>
      </c>
      <c r="H527" s="41"/>
      <c r="I527" s="1"/>
      <c r="J527" s="26"/>
      <c r="K527" s="27"/>
      <c r="L527" s="27"/>
      <c r="M527" s="70"/>
      <c r="N527" s="1"/>
      <c r="O527" s="26"/>
      <c r="P527" s="27"/>
      <c r="Q527" s="33"/>
      <c r="R527" s="55" t="s">
        <v>212</v>
      </c>
      <c r="S527" s="26" t="s">
        <v>41</v>
      </c>
      <c r="T527" s="26" t="s">
        <v>39</v>
      </c>
      <c r="U527" s="27">
        <v>0.80645161290322587</v>
      </c>
      <c r="V527" s="33">
        <v>1</v>
      </c>
      <c r="AG527" s="31">
        <v>1</v>
      </c>
      <c r="AH527" t="s">
        <v>73</v>
      </c>
    </row>
    <row r="528" spans="1:34">
      <c r="A528" s="15" t="s">
        <v>588</v>
      </c>
      <c r="B528" s="8" t="s">
        <v>581</v>
      </c>
      <c r="C528" s="41" t="s">
        <v>212</v>
      </c>
      <c r="D528" s="1" t="s">
        <v>41</v>
      </c>
      <c r="E528" s="26" t="s">
        <v>39</v>
      </c>
      <c r="F528" s="27">
        <v>1</v>
      </c>
      <c r="G528" s="33">
        <v>1</v>
      </c>
      <c r="H528" s="41"/>
      <c r="I528" s="1"/>
      <c r="J528" s="26"/>
      <c r="K528" s="27"/>
      <c r="L528" s="27"/>
      <c r="M528" s="70"/>
      <c r="N528" s="1"/>
      <c r="O528" s="26"/>
      <c r="P528" s="27"/>
      <c r="Q528" s="33"/>
      <c r="R528" s="55" t="s">
        <v>212</v>
      </c>
      <c r="S528" s="26" t="s">
        <v>41</v>
      </c>
      <c r="T528" s="26" t="s">
        <v>39</v>
      </c>
      <c r="U528" s="27">
        <v>0.80645161290322587</v>
      </c>
      <c r="V528" s="33">
        <v>1</v>
      </c>
      <c r="AG528" s="31">
        <v>1</v>
      </c>
      <c r="AH528" t="s">
        <v>73</v>
      </c>
    </row>
    <row r="529" spans="1:34">
      <c r="A529" s="15" t="s">
        <v>589</v>
      </c>
      <c r="B529" s="8" t="s">
        <v>581</v>
      </c>
      <c r="C529" s="41" t="s">
        <v>212</v>
      </c>
      <c r="D529" s="1" t="s">
        <v>41</v>
      </c>
      <c r="E529" s="26" t="s">
        <v>39</v>
      </c>
      <c r="F529" s="27">
        <v>1</v>
      </c>
      <c r="G529" s="33">
        <v>1</v>
      </c>
      <c r="H529" s="41"/>
      <c r="I529" s="1"/>
      <c r="J529" s="26"/>
      <c r="K529" s="27"/>
      <c r="L529" s="27"/>
      <c r="M529" s="70"/>
      <c r="N529" s="1"/>
      <c r="O529" s="26"/>
      <c r="P529" s="27"/>
      <c r="Q529" s="33"/>
      <c r="R529" s="55" t="s">
        <v>212</v>
      </c>
      <c r="S529" s="26" t="s">
        <v>41</v>
      </c>
      <c r="T529" s="26" t="s">
        <v>39</v>
      </c>
      <c r="U529" s="27">
        <v>0.80645161290322587</v>
      </c>
      <c r="V529" s="33">
        <v>1</v>
      </c>
      <c r="AG529" s="31">
        <v>1</v>
      </c>
      <c r="AH529" t="s">
        <v>73</v>
      </c>
    </row>
    <row r="530" spans="1:34">
      <c r="A530" s="15" t="s">
        <v>590</v>
      </c>
      <c r="B530" s="8" t="s">
        <v>581</v>
      </c>
      <c r="C530" s="41" t="s">
        <v>212</v>
      </c>
      <c r="D530" s="1" t="s">
        <v>41</v>
      </c>
      <c r="E530" s="26" t="s">
        <v>39</v>
      </c>
      <c r="F530" s="27">
        <v>1</v>
      </c>
      <c r="G530" s="33">
        <v>1</v>
      </c>
      <c r="H530" s="41"/>
      <c r="I530" s="1"/>
      <c r="J530" s="26"/>
      <c r="K530" s="27"/>
      <c r="L530" s="27"/>
      <c r="M530" s="70"/>
      <c r="N530" s="1"/>
      <c r="O530" s="26"/>
      <c r="P530" s="27"/>
      <c r="Q530" s="33"/>
      <c r="R530" s="55" t="s">
        <v>212</v>
      </c>
      <c r="S530" s="26" t="s">
        <v>41</v>
      </c>
      <c r="T530" s="26" t="s">
        <v>39</v>
      </c>
      <c r="U530" s="27">
        <v>0.80645161290322587</v>
      </c>
      <c r="V530" s="33">
        <v>1</v>
      </c>
      <c r="AG530" s="31">
        <v>1</v>
      </c>
      <c r="AH530" t="s">
        <v>73</v>
      </c>
    </row>
    <row r="531" spans="1:34">
      <c r="A531" s="15" t="s">
        <v>591</v>
      </c>
      <c r="B531" s="8" t="s">
        <v>581</v>
      </c>
      <c r="C531" s="41" t="s">
        <v>212</v>
      </c>
      <c r="D531" s="1" t="s">
        <v>41</v>
      </c>
      <c r="E531" s="26" t="s">
        <v>39</v>
      </c>
      <c r="F531" s="27">
        <v>1</v>
      </c>
      <c r="G531" s="33">
        <v>1</v>
      </c>
      <c r="H531" s="41"/>
      <c r="I531" s="1"/>
      <c r="J531" s="26"/>
      <c r="K531" s="27"/>
      <c r="L531" s="27"/>
      <c r="M531" s="70"/>
      <c r="N531" s="1"/>
      <c r="O531" s="26"/>
      <c r="P531" s="27"/>
      <c r="Q531" s="33"/>
      <c r="R531" s="55" t="s">
        <v>212</v>
      </c>
      <c r="S531" s="26" t="s">
        <v>41</v>
      </c>
      <c r="T531" s="26" t="s">
        <v>39</v>
      </c>
      <c r="U531" s="27">
        <v>0.80645161290322587</v>
      </c>
      <c r="V531" s="33">
        <v>1</v>
      </c>
      <c r="AG531" s="31">
        <v>1</v>
      </c>
      <c r="AH531" t="s">
        <v>73</v>
      </c>
    </row>
    <row r="532" spans="1:34">
      <c r="A532" s="15" t="s">
        <v>592</v>
      </c>
      <c r="B532" s="8" t="s">
        <v>581</v>
      </c>
      <c r="C532" s="41" t="s">
        <v>212</v>
      </c>
      <c r="D532" s="1" t="s">
        <v>41</v>
      </c>
      <c r="E532" s="26" t="s">
        <v>39</v>
      </c>
      <c r="F532" s="27">
        <v>1</v>
      </c>
      <c r="G532" s="33">
        <v>1</v>
      </c>
      <c r="H532" s="41"/>
      <c r="I532" s="1"/>
      <c r="J532" s="26"/>
      <c r="K532" s="27"/>
      <c r="L532" s="27"/>
      <c r="M532" s="70"/>
      <c r="N532" s="1"/>
      <c r="O532" s="26"/>
      <c r="P532" s="27"/>
      <c r="Q532" s="33"/>
      <c r="R532" s="55" t="s">
        <v>212</v>
      </c>
      <c r="S532" s="26" t="s">
        <v>41</v>
      </c>
      <c r="T532" s="26" t="s">
        <v>39</v>
      </c>
      <c r="U532" s="27">
        <v>0.80645161290322587</v>
      </c>
      <c r="V532" s="33">
        <v>1</v>
      </c>
      <c r="AG532" s="31">
        <v>1</v>
      </c>
      <c r="AH532" t="s">
        <v>73</v>
      </c>
    </row>
    <row r="533" spans="1:34">
      <c r="A533" s="15" t="s">
        <v>593</v>
      </c>
      <c r="B533" s="8" t="s">
        <v>581</v>
      </c>
      <c r="C533" s="41" t="s">
        <v>212</v>
      </c>
      <c r="D533" s="1" t="s">
        <v>41</v>
      </c>
      <c r="E533" s="26" t="s">
        <v>39</v>
      </c>
      <c r="F533" s="27">
        <v>1</v>
      </c>
      <c r="G533" s="33">
        <v>1</v>
      </c>
      <c r="H533" s="41"/>
      <c r="I533" s="1"/>
      <c r="J533" s="26"/>
      <c r="K533" s="27"/>
      <c r="L533" s="27"/>
      <c r="M533" s="70"/>
      <c r="N533" s="1"/>
      <c r="O533" s="26"/>
      <c r="P533" s="27"/>
      <c r="Q533" s="33"/>
      <c r="R533" s="55" t="s">
        <v>212</v>
      </c>
      <c r="S533" s="26" t="s">
        <v>41</v>
      </c>
      <c r="T533" s="26" t="s">
        <v>39</v>
      </c>
      <c r="U533" s="27">
        <v>0.80645161290322587</v>
      </c>
      <c r="V533" s="33">
        <v>1</v>
      </c>
      <c r="AG533" s="31">
        <v>1</v>
      </c>
      <c r="AH533" t="s">
        <v>73</v>
      </c>
    </row>
    <row r="534" spans="1:34">
      <c r="A534" s="15" t="s">
        <v>594</v>
      </c>
      <c r="B534" s="8" t="s">
        <v>581</v>
      </c>
      <c r="C534" s="41" t="s">
        <v>212</v>
      </c>
      <c r="D534" s="1" t="s">
        <v>41</v>
      </c>
      <c r="E534" s="26" t="s">
        <v>39</v>
      </c>
      <c r="F534" s="27">
        <v>1</v>
      </c>
      <c r="G534" s="33">
        <v>1</v>
      </c>
      <c r="H534" s="41"/>
      <c r="I534" s="1"/>
      <c r="J534" s="26"/>
      <c r="K534" s="27"/>
      <c r="L534" s="27"/>
      <c r="M534" s="70"/>
      <c r="N534" s="1"/>
      <c r="O534" s="26"/>
      <c r="P534" s="27"/>
      <c r="Q534" s="33"/>
      <c r="R534" s="55" t="s">
        <v>212</v>
      </c>
      <c r="S534" s="26" t="s">
        <v>41</v>
      </c>
      <c r="T534" s="26" t="s">
        <v>39</v>
      </c>
      <c r="U534" s="27">
        <v>0.80645161290322587</v>
      </c>
      <c r="V534" s="33">
        <v>1</v>
      </c>
      <c r="AG534" s="31">
        <v>1</v>
      </c>
      <c r="AH534" t="s">
        <v>73</v>
      </c>
    </row>
    <row r="535" spans="1:34">
      <c r="A535" s="15" t="s">
        <v>595</v>
      </c>
      <c r="B535" s="8" t="s">
        <v>581</v>
      </c>
      <c r="C535" s="41" t="s">
        <v>37</v>
      </c>
      <c r="D535" s="1" t="s">
        <v>38</v>
      </c>
      <c r="E535" s="26" t="s">
        <v>39</v>
      </c>
      <c r="F535" s="27">
        <v>1</v>
      </c>
      <c r="G535" s="27">
        <v>0.5</v>
      </c>
      <c r="H535" s="41" t="s">
        <v>227</v>
      </c>
      <c r="I535" s="26" t="s">
        <v>41</v>
      </c>
      <c r="J535" s="26" t="s">
        <v>42</v>
      </c>
      <c r="K535" s="27">
        <v>0.94339622641509424</v>
      </c>
      <c r="L535" s="27">
        <v>0.5</v>
      </c>
      <c r="M535" s="70"/>
      <c r="N535" s="26"/>
      <c r="O535" s="26"/>
      <c r="P535" s="27"/>
      <c r="Q535" s="33"/>
      <c r="R535" s="55" t="s">
        <v>212</v>
      </c>
      <c r="S535" s="26" t="s">
        <v>41</v>
      </c>
      <c r="T535" s="26" t="s">
        <v>39</v>
      </c>
      <c r="U535" s="27">
        <v>0.80645161290322587</v>
      </c>
      <c r="V535" s="33">
        <v>1</v>
      </c>
      <c r="AG535" s="31">
        <v>1</v>
      </c>
      <c r="AH535" t="s">
        <v>73</v>
      </c>
    </row>
    <row r="536" spans="1:34">
      <c r="A536" s="15" t="s">
        <v>596</v>
      </c>
      <c r="B536" s="8" t="s">
        <v>581</v>
      </c>
      <c r="C536" s="41" t="s">
        <v>37</v>
      </c>
      <c r="D536" s="1" t="s">
        <v>38</v>
      </c>
      <c r="E536" s="26" t="s">
        <v>39</v>
      </c>
      <c r="F536" s="27">
        <v>1</v>
      </c>
      <c r="G536" s="27">
        <v>0.5</v>
      </c>
      <c r="H536" s="41" t="s">
        <v>227</v>
      </c>
      <c r="I536" s="26" t="s">
        <v>41</v>
      </c>
      <c r="J536" s="26" t="s">
        <v>42</v>
      </c>
      <c r="K536" s="27">
        <v>0.94339622641509424</v>
      </c>
      <c r="L536" s="27">
        <v>0.5</v>
      </c>
      <c r="M536" s="70"/>
      <c r="N536" s="26"/>
      <c r="O536" s="26"/>
      <c r="P536" s="27"/>
      <c r="Q536" s="33"/>
      <c r="R536" s="55" t="s">
        <v>212</v>
      </c>
      <c r="S536" s="26" t="s">
        <v>41</v>
      </c>
      <c r="T536" s="26" t="s">
        <v>39</v>
      </c>
      <c r="U536" s="27">
        <v>0.80645161290322587</v>
      </c>
      <c r="V536" s="33">
        <v>1</v>
      </c>
      <c r="AG536" s="31">
        <v>1</v>
      </c>
      <c r="AH536" t="s">
        <v>73</v>
      </c>
    </row>
    <row r="537" spans="1:34">
      <c r="A537" s="15" t="s">
        <v>597</v>
      </c>
      <c r="B537" s="8" t="s">
        <v>581</v>
      </c>
      <c r="C537" s="41" t="s">
        <v>37</v>
      </c>
      <c r="D537" s="1" t="s">
        <v>38</v>
      </c>
      <c r="E537" s="26" t="s">
        <v>39</v>
      </c>
      <c r="F537" s="27">
        <v>1</v>
      </c>
      <c r="G537" s="27">
        <v>0.5</v>
      </c>
      <c r="H537" s="41" t="s">
        <v>227</v>
      </c>
      <c r="I537" s="26" t="s">
        <v>41</v>
      </c>
      <c r="J537" s="26" t="s">
        <v>42</v>
      </c>
      <c r="K537" s="27">
        <v>0.94339622641509424</v>
      </c>
      <c r="L537" s="27">
        <v>0.5</v>
      </c>
      <c r="M537" s="70"/>
      <c r="N537" s="26"/>
      <c r="O537" s="26"/>
      <c r="P537" s="27"/>
      <c r="Q537" s="33"/>
      <c r="R537" s="55" t="s">
        <v>212</v>
      </c>
      <c r="S537" s="26" t="s">
        <v>41</v>
      </c>
      <c r="T537" s="26" t="s">
        <v>39</v>
      </c>
      <c r="U537" s="27">
        <v>0.80645161290322587</v>
      </c>
      <c r="V537" s="33">
        <v>1</v>
      </c>
      <c r="AG537" s="31">
        <v>1</v>
      </c>
      <c r="AH537" t="s">
        <v>73</v>
      </c>
    </row>
    <row r="538" spans="1:34">
      <c r="A538" s="15" t="s">
        <v>598</v>
      </c>
      <c r="B538" s="8" t="s">
        <v>581</v>
      </c>
      <c r="C538" s="41" t="s">
        <v>37</v>
      </c>
      <c r="D538" s="1" t="s">
        <v>38</v>
      </c>
      <c r="E538" s="26" t="s">
        <v>39</v>
      </c>
      <c r="F538" s="27">
        <v>1</v>
      </c>
      <c r="G538" s="27">
        <v>0.5</v>
      </c>
      <c r="H538" s="41" t="s">
        <v>227</v>
      </c>
      <c r="I538" s="26" t="s">
        <v>41</v>
      </c>
      <c r="J538" s="26" t="s">
        <v>42</v>
      </c>
      <c r="K538" s="27">
        <v>0.94339622641509424</v>
      </c>
      <c r="L538" s="27">
        <v>0.5</v>
      </c>
      <c r="M538" s="70"/>
      <c r="N538" s="26"/>
      <c r="O538" s="26"/>
      <c r="P538" s="27"/>
      <c r="Q538" s="33"/>
      <c r="R538" s="55" t="s">
        <v>212</v>
      </c>
      <c r="S538" s="26" t="s">
        <v>41</v>
      </c>
      <c r="T538" s="26" t="s">
        <v>39</v>
      </c>
      <c r="U538" s="27">
        <v>0.80645161290322587</v>
      </c>
      <c r="V538" s="33">
        <v>1</v>
      </c>
      <c r="AG538" s="31">
        <v>1</v>
      </c>
      <c r="AH538" t="s">
        <v>73</v>
      </c>
    </row>
    <row r="539" spans="1:34">
      <c r="A539" s="15" t="s">
        <v>599</v>
      </c>
      <c r="B539" s="8" t="s">
        <v>581</v>
      </c>
      <c r="C539" s="41" t="s">
        <v>37</v>
      </c>
      <c r="D539" s="1" t="s">
        <v>38</v>
      </c>
      <c r="E539" s="26" t="s">
        <v>39</v>
      </c>
      <c r="F539" s="27">
        <v>1</v>
      </c>
      <c r="G539" s="27">
        <v>0.5</v>
      </c>
      <c r="H539" s="41" t="s">
        <v>227</v>
      </c>
      <c r="I539" s="26" t="s">
        <v>41</v>
      </c>
      <c r="J539" s="26" t="s">
        <v>42</v>
      </c>
      <c r="K539" s="27">
        <v>0.94339622641509424</v>
      </c>
      <c r="L539" s="27">
        <v>0.5</v>
      </c>
      <c r="M539" s="70"/>
      <c r="N539" s="26"/>
      <c r="O539" s="26"/>
      <c r="P539" s="27"/>
      <c r="Q539" s="33"/>
      <c r="R539" s="55" t="s">
        <v>212</v>
      </c>
      <c r="S539" s="26" t="s">
        <v>41</v>
      </c>
      <c r="T539" s="26" t="s">
        <v>39</v>
      </c>
      <c r="U539" s="27">
        <v>0.80645161290322587</v>
      </c>
      <c r="V539" s="33">
        <v>1</v>
      </c>
      <c r="AG539" s="31">
        <v>1</v>
      </c>
      <c r="AH539" t="s">
        <v>73</v>
      </c>
    </row>
    <row r="540" spans="1:34">
      <c r="A540" s="15" t="s">
        <v>600</v>
      </c>
      <c r="B540" s="8" t="s">
        <v>581</v>
      </c>
      <c r="C540" s="41" t="s">
        <v>37</v>
      </c>
      <c r="D540" s="1" t="s">
        <v>38</v>
      </c>
      <c r="E540" s="26" t="s">
        <v>39</v>
      </c>
      <c r="F540" s="27">
        <v>1</v>
      </c>
      <c r="G540" s="27">
        <v>0.5</v>
      </c>
      <c r="H540" s="41" t="s">
        <v>227</v>
      </c>
      <c r="I540" s="26" t="s">
        <v>41</v>
      </c>
      <c r="J540" s="26" t="s">
        <v>42</v>
      </c>
      <c r="K540" s="27">
        <v>0.94339622641509424</v>
      </c>
      <c r="L540" s="27">
        <v>0.5</v>
      </c>
      <c r="M540" s="70"/>
      <c r="N540" s="26"/>
      <c r="O540" s="26"/>
      <c r="P540" s="27"/>
      <c r="Q540" s="33"/>
      <c r="R540" s="55" t="s">
        <v>212</v>
      </c>
      <c r="S540" s="26" t="s">
        <v>41</v>
      </c>
      <c r="T540" s="26" t="s">
        <v>39</v>
      </c>
      <c r="U540" s="27">
        <v>0.80645161290322587</v>
      </c>
      <c r="V540" s="33">
        <v>1</v>
      </c>
      <c r="AG540" s="31">
        <v>1</v>
      </c>
      <c r="AH540" t="s">
        <v>73</v>
      </c>
    </row>
    <row r="541" spans="1:34">
      <c r="A541" s="15" t="s">
        <v>601</v>
      </c>
      <c r="B541" s="8" t="s">
        <v>581</v>
      </c>
      <c r="C541" s="41" t="s">
        <v>37</v>
      </c>
      <c r="D541" s="1" t="s">
        <v>38</v>
      </c>
      <c r="E541" s="26" t="s">
        <v>39</v>
      </c>
      <c r="F541" s="27">
        <v>1</v>
      </c>
      <c r="G541" s="27">
        <v>0.5</v>
      </c>
      <c r="H541" s="41" t="s">
        <v>227</v>
      </c>
      <c r="I541" s="26" t="s">
        <v>41</v>
      </c>
      <c r="J541" s="26" t="s">
        <v>42</v>
      </c>
      <c r="K541" s="27">
        <v>0.94339622641509424</v>
      </c>
      <c r="L541" s="27">
        <v>0.5</v>
      </c>
      <c r="M541" s="70"/>
      <c r="N541" s="26"/>
      <c r="O541" s="26"/>
      <c r="P541" s="27"/>
      <c r="Q541" s="33"/>
      <c r="R541" s="55" t="s">
        <v>212</v>
      </c>
      <c r="S541" s="26" t="s">
        <v>41</v>
      </c>
      <c r="T541" s="26" t="s">
        <v>39</v>
      </c>
      <c r="U541" s="27">
        <v>0.80645161290322587</v>
      </c>
      <c r="V541" s="33">
        <v>1</v>
      </c>
      <c r="AG541" s="31">
        <v>1</v>
      </c>
      <c r="AH541" t="s">
        <v>73</v>
      </c>
    </row>
    <row r="542" spans="1:34">
      <c r="A542" s="15" t="s">
        <v>602</v>
      </c>
      <c r="B542" s="8" t="s">
        <v>581</v>
      </c>
      <c r="C542" s="41" t="s">
        <v>37</v>
      </c>
      <c r="D542" s="1" t="s">
        <v>38</v>
      </c>
      <c r="E542" s="26" t="s">
        <v>39</v>
      </c>
      <c r="F542" s="27">
        <v>1</v>
      </c>
      <c r="G542" s="27">
        <v>0.5</v>
      </c>
      <c r="H542" s="41" t="s">
        <v>227</v>
      </c>
      <c r="I542" s="26" t="s">
        <v>41</v>
      </c>
      <c r="J542" s="26" t="s">
        <v>42</v>
      </c>
      <c r="K542" s="27">
        <v>0.94339622641509424</v>
      </c>
      <c r="L542" s="27">
        <v>0.5</v>
      </c>
      <c r="M542" s="70"/>
      <c r="N542" s="26"/>
      <c r="O542" s="26"/>
      <c r="P542" s="27"/>
      <c r="Q542" s="33"/>
      <c r="R542" s="55" t="s">
        <v>212</v>
      </c>
      <c r="S542" s="26" t="s">
        <v>41</v>
      </c>
      <c r="T542" s="26" t="s">
        <v>39</v>
      </c>
      <c r="U542" s="27">
        <v>0.80645161290322587</v>
      </c>
      <c r="V542" s="33">
        <v>1</v>
      </c>
      <c r="AG542" s="31">
        <v>1</v>
      </c>
      <c r="AH542" t="s">
        <v>73</v>
      </c>
    </row>
    <row r="543" spans="1:34">
      <c r="A543" s="15" t="s">
        <v>603</v>
      </c>
      <c r="B543" s="8" t="s">
        <v>581</v>
      </c>
      <c r="C543" s="41" t="s">
        <v>37</v>
      </c>
      <c r="D543" s="1" t="s">
        <v>38</v>
      </c>
      <c r="E543" s="26" t="s">
        <v>39</v>
      </c>
      <c r="F543" s="27">
        <v>1</v>
      </c>
      <c r="G543" s="27">
        <v>0.5</v>
      </c>
      <c r="H543" s="41" t="s">
        <v>227</v>
      </c>
      <c r="I543" s="26" t="s">
        <v>41</v>
      </c>
      <c r="J543" s="26" t="s">
        <v>42</v>
      </c>
      <c r="K543" s="27">
        <v>0.94339622641509424</v>
      </c>
      <c r="L543" s="27">
        <v>0.5</v>
      </c>
      <c r="M543" s="70"/>
      <c r="N543" s="26"/>
      <c r="O543" s="26"/>
      <c r="P543" s="27"/>
      <c r="Q543" s="33"/>
      <c r="R543" s="55" t="s">
        <v>212</v>
      </c>
      <c r="S543" s="26" t="s">
        <v>41</v>
      </c>
      <c r="T543" s="26" t="s">
        <v>39</v>
      </c>
      <c r="U543" s="27">
        <v>0.80645161290322587</v>
      </c>
      <c r="V543" s="33">
        <v>1</v>
      </c>
      <c r="AG543" s="31">
        <v>1</v>
      </c>
      <c r="AH543" t="s">
        <v>73</v>
      </c>
    </row>
    <row r="544" spans="1:34">
      <c r="A544" s="15" t="s">
        <v>604</v>
      </c>
      <c r="B544" s="8" t="s">
        <v>581</v>
      </c>
      <c r="C544" s="41" t="s">
        <v>37</v>
      </c>
      <c r="D544" s="1" t="s">
        <v>38</v>
      </c>
      <c r="E544" s="26" t="s">
        <v>39</v>
      </c>
      <c r="F544" s="27">
        <v>1</v>
      </c>
      <c r="G544" s="27">
        <v>0.5</v>
      </c>
      <c r="H544" s="41" t="s">
        <v>227</v>
      </c>
      <c r="I544" s="26" t="s">
        <v>41</v>
      </c>
      <c r="J544" s="26" t="s">
        <v>42</v>
      </c>
      <c r="K544" s="27">
        <v>0.94339622641509424</v>
      </c>
      <c r="L544" s="27">
        <v>0.5</v>
      </c>
      <c r="M544" s="70"/>
      <c r="N544" s="26"/>
      <c r="O544" s="26"/>
      <c r="P544" s="27"/>
      <c r="Q544" s="33"/>
      <c r="R544" s="55" t="s">
        <v>212</v>
      </c>
      <c r="S544" s="26" t="s">
        <v>41</v>
      </c>
      <c r="T544" s="26" t="s">
        <v>39</v>
      </c>
      <c r="U544" s="27">
        <v>0.80645161290322587</v>
      </c>
      <c r="V544" s="33">
        <v>1</v>
      </c>
      <c r="AG544" s="31">
        <v>1</v>
      </c>
      <c r="AH544" t="s">
        <v>73</v>
      </c>
    </row>
    <row r="545" spans="1:34">
      <c r="A545" s="15" t="s">
        <v>605</v>
      </c>
      <c r="B545" s="8" t="s">
        <v>581</v>
      </c>
      <c r="C545" s="41" t="s">
        <v>37</v>
      </c>
      <c r="D545" s="1" t="s">
        <v>38</v>
      </c>
      <c r="E545" s="26" t="s">
        <v>39</v>
      </c>
      <c r="F545" s="27">
        <v>1</v>
      </c>
      <c r="G545" s="27">
        <v>0.5</v>
      </c>
      <c r="H545" s="41" t="s">
        <v>227</v>
      </c>
      <c r="I545" s="26" t="s">
        <v>41</v>
      </c>
      <c r="J545" s="26" t="s">
        <v>42</v>
      </c>
      <c r="K545" s="27">
        <v>0.94339622641509424</v>
      </c>
      <c r="L545" s="27">
        <v>0.5</v>
      </c>
      <c r="M545" s="70"/>
      <c r="N545" s="26"/>
      <c r="O545" s="26"/>
      <c r="P545" s="27"/>
      <c r="Q545" s="33"/>
      <c r="R545" s="55" t="s">
        <v>212</v>
      </c>
      <c r="S545" s="26" t="s">
        <v>41</v>
      </c>
      <c r="T545" s="26" t="s">
        <v>39</v>
      </c>
      <c r="U545" s="27">
        <v>0.80645161290322587</v>
      </c>
      <c r="V545" s="33">
        <v>1</v>
      </c>
      <c r="AG545" s="31">
        <v>1</v>
      </c>
      <c r="AH545" t="s">
        <v>73</v>
      </c>
    </row>
    <row r="546" spans="1:34">
      <c r="A546" s="15" t="s">
        <v>606</v>
      </c>
      <c r="B546" s="8" t="s">
        <v>581</v>
      </c>
      <c r="C546" s="41" t="s">
        <v>37</v>
      </c>
      <c r="D546" s="1" t="s">
        <v>38</v>
      </c>
      <c r="E546" s="26" t="s">
        <v>39</v>
      </c>
      <c r="F546" s="27">
        <v>1</v>
      </c>
      <c r="G546" s="27">
        <v>0.5</v>
      </c>
      <c r="H546" s="41" t="s">
        <v>227</v>
      </c>
      <c r="I546" s="26" t="s">
        <v>41</v>
      </c>
      <c r="J546" s="26" t="s">
        <v>42</v>
      </c>
      <c r="K546" s="27">
        <v>0.94339622641509424</v>
      </c>
      <c r="L546" s="27">
        <v>0.5</v>
      </c>
      <c r="M546" s="70"/>
      <c r="N546" s="26"/>
      <c r="O546" s="26"/>
      <c r="P546" s="27"/>
      <c r="Q546" s="33"/>
      <c r="R546" s="55" t="s">
        <v>212</v>
      </c>
      <c r="S546" s="26" t="s">
        <v>41</v>
      </c>
      <c r="T546" s="26" t="s">
        <v>39</v>
      </c>
      <c r="U546" s="27">
        <v>0.80645161290322587</v>
      </c>
      <c r="V546" s="33">
        <v>1</v>
      </c>
      <c r="AG546" s="31">
        <v>1</v>
      </c>
      <c r="AH546" t="s">
        <v>73</v>
      </c>
    </row>
    <row r="547" spans="1:34">
      <c r="A547" s="15" t="s">
        <v>607</v>
      </c>
      <c r="B547" s="8" t="s">
        <v>581</v>
      </c>
      <c r="C547" s="41" t="s">
        <v>37</v>
      </c>
      <c r="D547" s="1" t="s">
        <v>38</v>
      </c>
      <c r="E547" s="26" t="s">
        <v>39</v>
      </c>
      <c r="F547" s="27">
        <v>1</v>
      </c>
      <c r="G547" s="27">
        <v>0.5</v>
      </c>
      <c r="H547" s="41" t="s">
        <v>227</v>
      </c>
      <c r="I547" s="26" t="s">
        <v>41</v>
      </c>
      <c r="J547" s="26" t="s">
        <v>42</v>
      </c>
      <c r="K547" s="27">
        <v>0.94339622641509424</v>
      </c>
      <c r="L547" s="27">
        <v>0.5</v>
      </c>
      <c r="M547" s="70"/>
      <c r="N547" s="26"/>
      <c r="O547" s="26"/>
      <c r="P547" s="27"/>
      <c r="Q547" s="33"/>
      <c r="R547" s="55" t="s">
        <v>212</v>
      </c>
      <c r="S547" s="26" t="s">
        <v>41</v>
      </c>
      <c r="T547" s="26" t="s">
        <v>39</v>
      </c>
      <c r="U547" s="27">
        <v>0.80645161290322587</v>
      </c>
      <c r="V547" s="33">
        <v>1</v>
      </c>
      <c r="AG547" s="31">
        <v>1</v>
      </c>
      <c r="AH547" t="s">
        <v>73</v>
      </c>
    </row>
    <row r="548" spans="1:34">
      <c r="A548" s="15" t="s">
        <v>608</v>
      </c>
      <c r="B548" s="8" t="s">
        <v>581</v>
      </c>
      <c r="C548" s="41" t="s">
        <v>37</v>
      </c>
      <c r="D548" s="1" t="s">
        <v>38</v>
      </c>
      <c r="E548" s="26" t="s">
        <v>39</v>
      </c>
      <c r="F548" s="27">
        <v>1</v>
      </c>
      <c r="G548" s="27">
        <v>0.5</v>
      </c>
      <c r="H548" s="41" t="s">
        <v>227</v>
      </c>
      <c r="I548" s="26" t="s">
        <v>41</v>
      </c>
      <c r="J548" s="26" t="s">
        <v>42</v>
      </c>
      <c r="K548" s="27">
        <v>0.94339622641509424</v>
      </c>
      <c r="L548" s="27">
        <v>0.5</v>
      </c>
      <c r="M548" s="70"/>
      <c r="N548" s="26"/>
      <c r="O548" s="26"/>
      <c r="P548" s="27"/>
      <c r="Q548" s="33"/>
      <c r="R548" s="55" t="s">
        <v>212</v>
      </c>
      <c r="S548" s="26" t="s">
        <v>41</v>
      </c>
      <c r="T548" s="26" t="s">
        <v>39</v>
      </c>
      <c r="U548" s="27">
        <v>0.80645161290322587</v>
      </c>
      <c r="V548" s="33">
        <v>1</v>
      </c>
      <c r="AG548" s="31">
        <v>1</v>
      </c>
      <c r="AH548" t="s">
        <v>73</v>
      </c>
    </row>
    <row r="549" spans="1:34">
      <c r="A549" s="15" t="s">
        <v>609</v>
      </c>
      <c r="B549" s="8" t="s">
        <v>581</v>
      </c>
      <c r="C549" s="41" t="s">
        <v>37</v>
      </c>
      <c r="D549" s="1" t="s">
        <v>38</v>
      </c>
      <c r="E549" s="26" t="s">
        <v>39</v>
      </c>
      <c r="F549" s="27">
        <v>1</v>
      </c>
      <c r="G549" s="33">
        <v>1</v>
      </c>
      <c r="H549" s="41"/>
      <c r="I549" s="1"/>
      <c r="J549" s="26"/>
      <c r="K549" s="27"/>
      <c r="L549" s="27"/>
      <c r="M549" s="70"/>
      <c r="N549" s="1"/>
      <c r="O549" s="26"/>
      <c r="P549" s="27"/>
      <c r="Q549" s="27"/>
      <c r="R549" s="55" t="s">
        <v>242</v>
      </c>
      <c r="S549" s="26" t="s">
        <v>38</v>
      </c>
      <c r="T549" s="26" t="s">
        <v>39</v>
      </c>
      <c r="U549" s="27">
        <v>0.84745762711864414</v>
      </c>
      <c r="V549" s="33">
        <v>1</v>
      </c>
      <c r="AG549" s="31">
        <v>0</v>
      </c>
      <c r="AH549" t="s">
        <v>44</v>
      </c>
    </row>
    <row r="550" spans="1:34">
      <c r="A550" s="15" t="s">
        <v>610</v>
      </c>
      <c r="B550" s="8" t="s">
        <v>581</v>
      </c>
      <c r="C550" s="41" t="s">
        <v>37</v>
      </c>
      <c r="D550" s="1" t="s">
        <v>38</v>
      </c>
      <c r="E550" s="26" t="s">
        <v>39</v>
      </c>
      <c r="F550" s="27">
        <v>1</v>
      </c>
      <c r="G550" s="33">
        <v>1</v>
      </c>
      <c r="H550" s="41"/>
      <c r="I550" s="1"/>
      <c r="J550" s="26"/>
      <c r="K550" s="27"/>
      <c r="L550" s="27"/>
      <c r="M550" s="70"/>
      <c r="N550" s="1"/>
      <c r="O550" s="26"/>
      <c r="P550" s="27"/>
      <c r="Q550" s="27"/>
      <c r="R550" s="55" t="s">
        <v>242</v>
      </c>
      <c r="S550" s="26" t="s">
        <v>38</v>
      </c>
      <c r="T550" s="26" t="s">
        <v>39</v>
      </c>
      <c r="U550" s="27">
        <v>0.84745762711864414</v>
      </c>
      <c r="V550" s="33">
        <v>1</v>
      </c>
      <c r="AG550" s="31">
        <v>0</v>
      </c>
      <c r="AH550" t="s">
        <v>44</v>
      </c>
    </row>
    <row r="551" spans="1:34">
      <c r="A551" s="15" t="s">
        <v>611</v>
      </c>
      <c r="B551" s="8" t="s">
        <v>581</v>
      </c>
      <c r="C551" s="41" t="s">
        <v>37</v>
      </c>
      <c r="D551" s="1" t="s">
        <v>38</v>
      </c>
      <c r="E551" s="26" t="s">
        <v>39</v>
      </c>
      <c r="F551" s="27">
        <v>1</v>
      </c>
      <c r="G551" s="33">
        <v>1</v>
      </c>
      <c r="H551" s="41"/>
      <c r="I551" s="1"/>
      <c r="J551" s="26"/>
      <c r="K551" s="27"/>
      <c r="L551" s="27"/>
      <c r="M551" s="70"/>
      <c r="N551" s="1"/>
      <c r="O551" s="26"/>
      <c r="P551" s="27"/>
      <c r="Q551" s="27"/>
      <c r="R551" s="55" t="s">
        <v>242</v>
      </c>
      <c r="S551" s="26" t="s">
        <v>38</v>
      </c>
      <c r="T551" s="26" t="s">
        <v>39</v>
      </c>
      <c r="U551" s="27">
        <v>0.84745762711864414</v>
      </c>
      <c r="V551" s="33">
        <v>1</v>
      </c>
      <c r="AG551" s="31">
        <v>0</v>
      </c>
      <c r="AH551" t="s">
        <v>44</v>
      </c>
    </row>
    <row r="552" spans="1:34">
      <c r="A552" s="15" t="s">
        <v>612</v>
      </c>
      <c r="B552" s="8" t="s">
        <v>581</v>
      </c>
      <c r="C552" s="41" t="s">
        <v>37</v>
      </c>
      <c r="D552" s="1" t="s">
        <v>38</v>
      </c>
      <c r="E552" s="26" t="s">
        <v>39</v>
      </c>
      <c r="F552" s="27">
        <v>1</v>
      </c>
      <c r="G552" s="33">
        <v>1</v>
      </c>
      <c r="H552" s="41"/>
      <c r="I552" s="1"/>
      <c r="J552" s="26"/>
      <c r="K552" s="27"/>
      <c r="L552" s="27"/>
      <c r="M552" s="70"/>
      <c r="N552" s="1"/>
      <c r="O552" s="26"/>
      <c r="P552" s="27"/>
      <c r="Q552" s="27"/>
      <c r="R552" s="55" t="s">
        <v>242</v>
      </c>
      <c r="S552" s="26" t="s">
        <v>38</v>
      </c>
      <c r="T552" s="26" t="s">
        <v>39</v>
      </c>
      <c r="U552" s="27">
        <v>0.84745762711864414</v>
      </c>
      <c r="V552" s="33">
        <v>1</v>
      </c>
      <c r="AG552" s="31">
        <v>0</v>
      </c>
      <c r="AH552" t="s">
        <v>44</v>
      </c>
    </row>
    <row r="553" spans="1:34">
      <c r="A553" s="15" t="s">
        <v>613</v>
      </c>
      <c r="B553" s="8" t="s">
        <v>581</v>
      </c>
      <c r="C553" s="41" t="s">
        <v>37</v>
      </c>
      <c r="D553" s="1" t="s">
        <v>38</v>
      </c>
      <c r="E553" s="26" t="s">
        <v>39</v>
      </c>
      <c r="F553" s="27">
        <v>1</v>
      </c>
      <c r="G553" s="33">
        <v>1</v>
      </c>
      <c r="H553" s="41"/>
      <c r="I553" s="1"/>
      <c r="J553" s="26"/>
      <c r="K553" s="27"/>
      <c r="L553" s="27"/>
      <c r="M553" s="70"/>
      <c r="N553" s="1"/>
      <c r="O553" s="26"/>
      <c r="P553" s="27"/>
      <c r="Q553" s="27"/>
      <c r="R553" s="55" t="s">
        <v>242</v>
      </c>
      <c r="S553" s="26" t="s">
        <v>38</v>
      </c>
      <c r="T553" s="26" t="s">
        <v>39</v>
      </c>
      <c r="U553" s="27">
        <v>0.84745762711864414</v>
      </c>
      <c r="V553" s="33">
        <v>1</v>
      </c>
      <c r="AG553" s="31">
        <v>0</v>
      </c>
      <c r="AH553" t="s">
        <v>44</v>
      </c>
    </row>
    <row r="554" spans="1:34">
      <c r="A554" s="15" t="s">
        <v>614</v>
      </c>
      <c r="B554" s="8" t="s">
        <v>581</v>
      </c>
      <c r="C554" s="41" t="s">
        <v>37</v>
      </c>
      <c r="D554" s="1" t="s">
        <v>38</v>
      </c>
      <c r="E554" s="26" t="s">
        <v>39</v>
      </c>
      <c r="F554" s="27">
        <v>1</v>
      </c>
      <c r="G554" s="33">
        <v>1</v>
      </c>
      <c r="H554" s="41"/>
      <c r="I554" s="1"/>
      <c r="J554" s="26"/>
      <c r="K554" s="27"/>
      <c r="L554" s="27"/>
      <c r="M554" s="70"/>
      <c r="N554" s="1"/>
      <c r="O554" s="26"/>
      <c r="P554" s="27"/>
      <c r="Q554" s="27"/>
      <c r="R554" s="55" t="s">
        <v>242</v>
      </c>
      <c r="S554" s="26" t="s">
        <v>38</v>
      </c>
      <c r="T554" s="26" t="s">
        <v>39</v>
      </c>
      <c r="U554" s="27">
        <v>0.84745762711864414</v>
      </c>
      <c r="V554" s="33">
        <v>1</v>
      </c>
      <c r="AG554" s="31">
        <v>0</v>
      </c>
      <c r="AH554" t="s">
        <v>44</v>
      </c>
    </row>
    <row r="555" spans="1:34">
      <c r="A555" s="15" t="s">
        <v>615</v>
      </c>
      <c r="B555" s="8" t="s">
        <v>581</v>
      </c>
      <c r="C555" s="41" t="s">
        <v>37</v>
      </c>
      <c r="D555" s="1" t="s">
        <v>38</v>
      </c>
      <c r="E555" s="26" t="s">
        <v>39</v>
      </c>
      <c r="F555" s="27">
        <v>1</v>
      </c>
      <c r="G555" s="33">
        <v>1</v>
      </c>
      <c r="H555" s="41"/>
      <c r="I555" s="1"/>
      <c r="J555" s="26"/>
      <c r="K555" s="27"/>
      <c r="L555" s="27"/>
      <c r="M555" s="70"/>
      <c r="N555" s="1"/>
      <c r="O555" s="26"/>
      <c r="P555" s="27"/>
      <c r="Q555" s="27"/>
      <c r="R555" s="55" t="s">
        <v>242</v>
      </c>
      <c r="S555" s="26" t="s">
        <v>38</v>
      </c>
      <c r="T555" s="26" t="s">
        <v>39</v>
      </c>
      <c r="U555" s="27">
        <v>0.84745762711864414</v>
      </c>
      <c r="V555" s="33">
        <v>1</v>
      </c>
      <c r="AG555" s="31">
        <v>0</v>
      </c>
      <c r="AH555" t="s">
        <v>44</v>
      </c>
    </row>
    <row r="556" spans="1:34">
      <c r="A556" s="15" t="s">
        <v>616</v>
      </c>
      <c r="B556" s="8" t="s">
        <v>581</v>
      </c>
      <c r="C556" s="41" t="s">
        <v>37</v>
      </c>
      <c r="D556" s="1" t="s">
        <v>38</v>
      </c>
      <c r="E556" s="26" t="s">
        <v>39</v>
      </c>
      <c r="F556" s="27">
        <v>1</v>
      </c>
      <c r="G556" s="33">
        <v>1</v>
      </c>
      <c r="H556" s="41"/>
      <c r="I556" s="1"/>
      <c r="J556" s="26"/>
      <c r="K556" s="27"/>
      <c r="L556" s="27"/>
      <c r="M556" s="70"/>
      <c r="N556" s="1"/>
      <c r="O556" s="26"/>
      <c r="P556" s="27"/>
      <c r="Q556" s="27"/>
      <c r="R556" s="55" t="s">
        <v>242</v>
      </c>
      <c r="S556" s="26" t="s">
        <v>38</v>
      </c>
      <c r="T556" s="26" t="s">
        <v>39</v>
      </c>
      <c r="U556" s="27">
        <v>0.84745762711864414</v>
      </c>
      <c r="V556" s="33">
        <v>1</v>
      </c>
      <c r="AG556" s="31">
        <v>0</v>
      </c>
      <c r="AH556" t="s">
        <v>44</v>
      </c>
    </row>
    <row r="557" spans="1:34">
      <c r="A557" s="15" t="s">
        <v>617</v>
      </c>
      <c r="B557" s="8" t="s">
        <v>581</v>
      </c>
      <c r="C557" s="41" t="s">
        <v>37</v>
      </c>
      <c r="D557" s="1" t="s">
        <v>38</v>
      </c>
      <c r="E557" s="26" t="s">
        <v>39</v>
      </c>
      <c r="F557" s="27">
        <v>1</v>
      </c>
      <c r="G557" s="33">
        <v>1</v>
      </c>
      <c r="H557" s="41"/>
      <c r="I557" s="1"/>
      <c r="J557" s="26"/>
      <c r="K557" s="27"/>
      <c r="L557" s="27"/>
      <c r="M557" s="70"/>
      <c r="N557" s="1"/>
      <c r="O557" s="26"/>
      <c r="P557" s="27"/>
      <c r="Q557" s="27"/>
      <c r="R557" s="55" t="s">
        <v>242</v>
      </c>
      <c r="S557" s="26" t="s">
        <v>38</v>
      </c>
      <c r="T557" s="26" t="s">
        <v>39</v>
      </c>
      <c r="U557" s="27">
        <v>0.84745762711864414</v>
      </c>
      <c r="V557" s="33">
        <v>1</v>
      </c>
      <c r="AG557" s="31">
        <v>0</v>
      </c>
      <c r="AH557" t="s">
        <v>44</v>
      </c>
    </row>
    <row r="558" spans="1:34">
      <c r="A558" s="15" t="s">
        <v>618</v>
      </c>
      <c r="B558" s="8" t="s">
        <v>581</v>
      </c>
      <c r="C558" s="41" t="s">
        <v>37</v>
      </c>
      <c r="D558" s="1" t="s">
        <v>38</v>
      </c>
      <c r="E558" s="26" t="s">
        <v>39</v>
      </c>
      <c r="F558" s="27">
        <v>1</v>
      </c>
      <c r="G558" s="33">
        <v>1</v>
      </c>
      <c r="H558" s="41"/>
      <c r="I558" s="1"/>
      <c r="J558" s="26"/>
      <c r="K558" s="27"/>
      <c r="L558" s="27"/>
      <c r="M558" s="70"/>
      <c r="N558" s="1"/>
      <c r="O558" s="26"/>
      <c r="P558" s="27"/>
      <c r="Q558" s="27"/>
      <c r="R558" s="55" t="s">
        <v>242</v>
      </c>
      <c r="S558" s="26" t="s">
        <v>38</v>
      </c>
      <c r="T558" s="26" t="s">
        <v>39</v>
      </c>
      <c r="U558" s="27">
        <v>0.84745762711864414</v>
      </c>
      <c r="V558" s="33">
        <v>1</v>
      </c>
      <c r="AG558" s="31">
        <v>0</v>
      </c>
      <c r="AH558" t="s">
        <v>44</v>
      </c>
    </row>
    <row r="559" spans="1:34">
      <c r="A559" s="15" t="s">
        <v>619</v>
      </c>
      <c r="B559" s="8" t="s">
        <v>581</v>
      </c>
      <c r="C559" s="41" t="s">
        <v>37</v>
      </c>
      <c r="D559" s="1" t="s">
        <v>38</v>
      </c>
      <c r="E559" s="26" t="s">
        <v>39</v>
      </c>
      <c r="F559" s="27">
        <v>1</v>
      </c>
      <c r="G559" s="33">
        <v>1</v>
      </c>
      <c r="H559" s="41"/>
      <c r="I559" s="1"/>
      <c r="J559" s="26"/>
      <c r="K559" s="27"/>
      <c r="L559" s="27"/>
      <c r="M559" s="70"/>
      <c r="N559" s="1"/>
      <c r="O559" s="26"/>
      <c r="P559" s="27"/>
      <c r="Q559" s="27"/>
      <c r="R559" s="55" t="s">
        <v>242</v>
      </c>
      <c r="S559" s="26" t="s">
        <v>38</v>
      </c>
      <c r="T559" s="26" t="s">
        <v>39</v>
      </c>
      <c r="U559" s="27">
        <v>0.84745762711864414</v>
      </c>
      <c r="V559" s="33">
        <v>1</v>
      </c>
      <c r="AG559" s="31">
        <v>0</v>
      </c>
      <c r="AH559" t="s">
        <v>44</v>
      </c>
    </row>
    <row r="560" spans="1:34">
      <c r="A560" s="15" t="s">
        <v>620</v>
      </c>
      <c r="B560" s="8" t="s">
        <v>581</v>
      </c>
      <c r="C560" s="41" t="s">
        <v>37</v>
      </c>
      <c r="D560" s="1" t="s">
        <v>38</v>
      </c>
      <c r="E560" s="26" t="s">
        <v>39</v>
      </c>
      <c r="F560" s="27">
        <v>1</v>
      </c>
      <c r="G560" s="33">
        <v>1</v>
      </c>
      <c r="H560" s="41"/>
      <c r="I560" s="1"/>
      <c r="J560" s="26"/>
      <c r="K560" s="27"/>
      <c r="L560" s="27"/>
      <c r="M560" s="70"/>
      <c r="N560" s="1"/>
      <c r="O560" s="26"/>
      <c r="P560" s="27"/>
      <c r="Q560" s="27"/>
      <c r="R560" s="55" t="s">
        <v>242</v>
      </c>
      <c r="S560" s="26" t="s">
        <v>38</v>
      </c>
      <c r="T560" s="26" t="s">
        <v>39</v>
      </c>
      <c r="U560" s="27">
        <v>0.84745762711864414</v>
      </c>
      <c r="V560" s="33">
        <v>1</v>
      </c>
      <c r="AG560" s="31">
        <v>0</v>
      </c>
      <c r="AH560" t="s">
        <v>44</v>
      </c>
    </row>
    <row r="561" spans="1:34">
      <c r="A561" s="15" t="s">
        <v>621</v>
      </c>
      <c r="B561" s="8" t="s">
        <v>581</v>
      </c>
      <c r="C561" s="41" t="s">
        <v>37</v>
      </c>
      <c r="D561" s="1" t="s">
        <v>38</v>
      </c>
      <c r="E561" s="26" t="s">
        <v>39</v>
      </c>
      <c r="F561" s="27">
        <v>1</v>
      </c>
      <c r="G561" s="33">
        <v>1</v>
      </c>
      <c r="H561" s="41"/>
      <c r="I561" s="1"/>
      <c r="J561" s="26"/>
      <c r="K561" s="27"/>
      <c r="L561" s="27"/>
      <c r="M561" s="70"/>
      <c r="N561" s="1"/>
      <c r="O561" s="26"/>
      <c r="P561" s="27"/>
      <c r="Q561" s="27"/>
      <c r="R561" s="55" t="s">
        <v>242</v>
      </c>
      <c r="S561" s="26" t="s">
        <v>38</v>
      </c>
      <c r="T561" s="26" t="s">
        <v>39</v>
      </c>
      <c r="U561" s="27">
        <v>0.84745762711864414</v>
      </c>
      <c r="V561" s="33">
        <v>1</v>
      </c>
      <c r="AG561" s="31">
        <v>0</v>
      </c>
      <c r="AH561" t="s">
        <v>44</v>
      </c>
    </row>
    <row r="562" spans="1:34">
      <c r="A562" s="15" t="s">
        <v>622</v>
      </c>
      <c r="B562" s="8" t="s">
        <v>581</v>
      </c>
      <c r="C562" s="41" t="s">
        <v>37</v>
      </c>
      <c r="D562" s="1" t="s">
        <v>38</v>
      </c>
      <c r="E562" s="26" t="s">
        <v>39</v>
      </c>
      <c r="F562" s="27">
        <v>1</v>
      </c>
      <c r="G562" s="33">
        <v>1</v>
      </c>
      <c r="H562" s="41"/>
      <c r="I562" s="1"/>
      <c r="J562" s="26"/>
      <c r="K562" s="27"/>
      <c r="L562" s="27"/>
      <c r="M562" s="70"/>
      <c r="N562" s="1"/>
      <c r="O562" s="26"/>
      <c r="P562" s="27"/>
      <c r="Q562" s="27"/>
      <c r="R562" s="55" t="s">
        <v>242</v>
      </c>
      <c r="S562" s="26" t="s">
        <v>38</v>
      </c>
      <c r="T562" s="26" t="s">
        <v>39</v>
      </c>
      <c r="U562" s="27">
        <v>0.84745762711864414</v>
      </c>
      <c r="V562" s="33">
        <v>1</v>
      </c>
      <c r="AG562" s="31">
        <v>0</v>
      </c>
      <c r="AH562" t="s">
        <v>44</v>
      </c>
    </row>
    <row r="563" spans="1:34">
      <c r="A563" s="15" t="s">
        <v>623</v>
      </c>
      <c r="B563" s="8" t="s">
        <v>581</v>
      </c>
      <c r="C563" s="41" t="s">
        <v>37</v>
      </c>
      <c r="D563" s="1" t="s">
        <v>38</v>
      </c>
      <c r="E563" s="26" t="s">
        <v>39</v>
      </c>
      <c r="F563" s="27">
        <v>1</v>
      </c>
      <c r="G563" s="33">
        <v>1</v>
      </c>
      <c r="H563" s="41"/>
      <c r="I563" s="1"/>
      <c r="J563" s="26"/>
      <c r="K563" s="27"/>
      <c r="L563" s="27"/>
      <c r="M563" s="70"/>
      <c r="N563" s="1"/>
      <c r="O563" s="26"/>
      <c r="P563" s="27"/>
      <c r="Q563" s="27"/>
      <c r="R563" s="55" t="s">
        <v>242</v>
      </c>
      <c r="S563" s="26" t="s">
        <v>38</v>
      </c>
      <c r="T563" s="26" t="s">
        <v>39</v>
      </c>
      <c r="U563" s="27">
        <v>0.84745762711864414</v>
      </c>
      <c r="V563" s="33">
        <v>1</v>
      </c>
      <c r="AG563" s="31">
        <v>1</v>
      </c>
      <c r="AH563" t="s">
        <v>73</v>
      </c>
    </row>
    <row r="564" spans="1:34">
      <c r="A564" s="15" t="s">
        <v>624</v>
      </c>
      <c r="B564" s="8" t="s">
        <v>581</v>
      </c>
      <c r="C564" s="41" t="s">
        <v>37</v>
      </c>
      <c r="D564" s="1" t="s">
        <v>38</v>
      </c>
      <c r="E564" s="26" t="s">
        <v>39</v>
      </c>
      <c r="F564" s="27">
        <v>1</v>
      </c>
      <c r="G564" s="33">
        <v>1</v>
      </c>
      <c r="H564" s="41"/>
      <c r="I564" s="1"/>
      <c r="J564" s="26"/>
      <c r="K564" s="27"/>
      <c r="L564" s="27"/>
      <c r="M564" s="70"/>
      <c r="N564" s="1"/>
      <c r="O564" s="26"/>
      <c r="P564" s="27"/>
      <c r="Q564" s="27"/>
      <c r="R564" s="55" t="s">
        <v>242</v>
      </c>
      <c r="S564" s="26" t="s">
        <v>38</v>
      </c>
      <c r="T564" s="26" t="s">
        <v>39</v>
      </c>
      <c r="U564" s="27">
        <v>0.84745762711864414</v>
      </c>
      <c r="V564" s="33">
        <v>1</v>
      </c>
      <c r="AG564" s="31">
        <v>1</v>
      </c>
      <c r="AH564" t="s">
        <v>73</v>
      </c>
    </row>
    <row r="565" spans="1:34">
      <c r="A565" s="15" t="s">
        <v>625</v>
      </c>
      <c r="B565" s="8" t="s">
        <v>581</v>
      </c>
      <c r="C565" s="41" t="s">
        <v>37</v>
      </c>
      <c r="D565" s="1" t="s">
        <v>38</v>
      </c>
      <c r="E565" s="26" t="s">
        <v>39</v>
      </c>
      <c r="F565" s="27">
        <v>1</v>
      </c>
      <c r="G565" s="33">
        <v>1</v>
      </c>
      <c r="H565" s="41"/>
      <c r="I565" s="1"/>
      <c r="J565" s="26"/>
      <c r="K565" s="27"/>
      <c r="L565" s="27"/>
      <c r="M565" s="70"/>
      <c r="N565" s="1"/>
      <c r="O565" s="26"/>
      <c r="P565" s="27"/>
      <c r="Q565" s="27"/>
      <c r="R565" s="55" t="s">
        <v>242</v>
      </c>
      <c r="S565" s="26" t="s">
        <v>38</v>
      </c>
      <c r="T565" s="26" t="s">
        <v>39</v>
      </c>
      <c r="U565" s="27">
        <v>0.84745762711864414</v>
      </c>
      <c r="V565" s="33">
        <v>1</v>
      </c>
      <c r="AG565" s="31">
        <v>1</v>
      </c>
      <c r="AH565" t="s">
        <v>73</v>
      </c>
    </row>
    <row r="566" spans="1:34">
      <c r="A566" s="15" t="s">
        <v>626</v>
      </c>
      <c r="B566" s="8" t="s">
        <v>581</v>
      </c>
      <c r="C566" s="41" t="s">
        <v>37</v>
      </c>
      <c r="D566" s="1" t="s">
        <v>38</v>
      </c>
      <c r="E566" s="26" t="s">
        <v>39</v>
      </c>
      <c r="F566" s="27">
        <v>1</v>
      </c>
      <c r="G566" s="33">
        <v>1</v>
      </c>
      <c r="H566" s="41"/>
      <c r="I566" s="1"/>
      <c r="J566" s="26"/>
      <c r="K566" s="27"/>
      <c r="L566" s="27"/>
      <c r="M566" s="70"/>
      <c r="N566" s="1"/>
      <c r="O566" s="26"/>
      <c r="P566" s="27"/>
      <c r="Q566" s="27"/>
      <c r="R566" s="55" t="s">
        <v>242</v>
      </c>
      <c r="S566" s="26" t="s">
        <v>38</v>
      </c>
      <c r="T566" s="26" t="s">
        <v>39</v>
      </c>
      <c r="U566" s="27">
        <v>0.84745762711864414</v>
      </c>
      <c r="V566" s="33">
        <v>1</v>
      </c>
      <c r="AG566" s="31">
        <v>1</v>
      </c>
      <c r="AH566" t="s">
        <v>73</v>
      </c>
    </row>
    <row r="567" spans="1:34">
      <c r="A567" s="15" t="s">
        <v>627</v>
      </c>
      <c r="B567" s="8" t="s">
        <v>581</v>
      </c>
      <c r="C567" s="41" t="s">
        <v>37</v>
      </c>
      <c r="D567" s="1" t="s">
        <v>38</v>
      </c>
      <c r="E567" s="26" t="s">
        <v>39</v>
      </c>
      <c r="F567" s="27">
        <v>1</v>
      </c>
      <c r="G567" s="33">
        <v>1</v>
      </c>
      <c r="H567" s="41"/>
      <c r="I567" s="1"/>
      <c r="J567" s="26"/>
      <c r="K567" s="27"/>
      <c r="L567" s="27"/>
      <c r="M567" s="70"/>
      <c r="N567" s="1"/>
      <c r="O567" s="26"/>
      <c r="P567" s="27"/>
      <c r="Q567" s="27"/>
      <c r="R567" s="55" t="s">
        <v>242</v>
      </c>
      <c r="S567" s="26" t="s">
        <v>38</v>
      </c>
      <c r="T567" s="26" t="s">
        <v>39</v>
      </c>
      <c r="U567" s="27">
        <v>0.84745762711864414</v>
      </c>
      <c r="V567" s="33">
        <v>1</v>
      </c>
      <c r="AG567" s="31">
        <v>1</v>
      </c>
      <c r="AH567" t="s">
        <v>73</v>
      </c>
    </row>
    <row r="568" spans="1:34">
      <c r="A568" s="15" t="s">
        <v>628</v>
      </c>
      <c r="B568" s="8" t="s">
        <v>581</v>
      </c>
      <c r="C568" s="41" t="s">
        <v>37</v>
      </c>
      <c r="D568" s="1" t="s">
        <v>38</v>
      </c>
      <c r="E568" s="26" t="s">
        <v>39</v>
      </c>
      <c r="F568" s="27">
        <v>1</v>
      </c>
      <c r="G568" s="33">
        <v>1</v>
      </c>
      <c r="H568" s="41"/>
      <c r="I568" s="1"/>
      <c r="J568" s="26"/>
      <c r="K568" s="27"/>
      <c r="L568" s="27"/>
      <c r="M568" s="70"/>
      <c r="N568" s="1"/>
      <c r="O568" s="26"/>
      <c r="P568" s="27"/>
      <c r="Q568" s="27"/>
      <c r="R568" s="55" t="s">
        <v>242</v>
      </c>
      <c r="S568" s="26" t="s">
        <v>38</v>
      </c>
      <c r="T568" s="26" t="s">
        <v>39</v>
      </c>
      <c r="U568" s="27">
        <v>0.84745762711864414</v>
      </c>
      <c r="V568" s="33">
        <v>1</v>
      </c>
      <c r="AG568" s="31">
        <v>1</v>
      </c>
      <c r="AH568" t="s">
        <v>73</v>
      </c>
    </row>
    <row r="569" spans="1:34">
      <c r="A569" s="15" t="s">
        <v>629</v>
      </c>
      <c r="B569" s="8" t="s">
        <v>581</v>
      </c>
      <c r="C569" s="41" t="s">
        <v>37</v>
      </c>
      <c r="D569" s="1" t="s">
        <v>38</v>
      </c>
      <c r="E569" s="26" t="s">
        <v>39</v>
      </c>
      <c r="F569" s="27">
        <v>1</v>
      </c>
      <c r="G569" s="33">
        <v>1</v>
      </c>
      <c r="H569" s="41"/>
      <c r="I569" s="1"/>
      <c r="J569" s="26"/>
      <c r="K569" s="27"/>
      <c r="L569" s="27"/>
      <c r="M569" s="70"/>
      <c r="N569" s="1"/>
      <c r="O569" s="26"/>
      <c r="P569" s="27"/>
      <c r="Q569" s="27"/>
      <c r="R569" s="55" t="s">
        <v>242</v>
      </c>
      <c r="S569" s="26" t="s">
        <v>38</v>
      </c>
      <c r="T569" s="26" t="s">
        <v>39</v>
      </c>
      <c r="U569" s="27">
        <v>0.84745762711864414</v>
      </c>
      <c r="V569" s="33">
        <v>1</v>
      </c>
      <c r="AG569" s="31">
        <v>1</v>
      </c>
      <c r="AH569" t="s">
        <v>73</v>
      </c>
    </row>
    <row r="570" spans="1:34">
      <c r="A570" s="15" t="s">
        <v>630</v>
      </c>
      <c r="B570" s="8" t="s">
        <v>581</v>
      </c>
      <c r="C570" s="41" t="s">
        <v>37</v>
      </c>
      <c r="D570" s="1" t="s">
        <v>38</v>
      </c>
      <c r="E570" s="26" t="s">
        <v>39</v>
      </c>
      <c r="F570" s="27">
        <v>1</v>
      </c>
      <c r="G570" s="33">
        <v>1</v>
      </c>
      <c r="H570" s="41"/>
      <c r="I570" s="1"/>
      <c r="J570" s="26"/>
      <c r="K570" s="27"/>
      <c r="L570" s="27"/>
      <c r="M570" s="70"/>
      <c r="N570" s="1"/>
      <c r="O570" s="26"/>
      <c r="P570" s="27"/>
      <c r="Q570" s="27"/>
      <c r="R570" s="55" t="s">
        <v>242</v>
      </c>
      <c r="S570" s="26" t="s">
        <v>38</v>
      </c>
      <c r="T570" s="26" t="s">
        <v>39</v>
      </c>
      <c r="U570" s="27">
        <v>0.84745762711864414</v>
      </c>
      <c r="V570" s="33">
        <v>1</v>
      </c>
      <c r="AG570" s="31">
        <v>1</v>
      </c>
      <c r="AH570" t="s">
        <v>73</v>
      </c>
    </row>
    <row r="571" spans="1:34">
      <c r="A571" s="15" t="s">
        <v>631</v>
      </c>
      <c r="B571" s="8" t="s">
        <v>581</v>
      </c>
      <c r="C571" s="41" t="s">
        <v>37</v>
      </c>
      <c r="D571" s="1" t="s">
        <v>38</v>
      </c>
      <c r="E571" s="26" t="s">
        <v>39</v>
      </c>
      <c r="F571" s="27">
        <v>1</v>
      </c>
      <c r="G571" s="33">
        <v>1</v>
      </c>
      <c r="H571" s="41"/>
      <c r="I571" s="1"/>
      <c r="J571" s="26"/>
      <c r="K571" s="27"/>
      <c r="L571" s="27"/>
      <c r="M571" s="70"/>
      <c r="N571" s="1"/>
      <c r="O571" s="26"/>
      <c r="P571" s="27"/>
      <c r="Q571" s="27"/>
      <c r="R571" s="55" t="s">
        <v>242</v>
      </c>
      <c r="S571" s="26" t="s">
        <v>38</v>
      </c>
      <c r="T571" s="26" t="s">
        <v>39</v>
      </c>
      <c r="U571" s="27">
        <v>0.84745762711864414</v>
      </c>
      <c r="V571" s="33">
        <v>1</v>
      </c>
      <c r="AG571" s="31">
        <v>1</v>
      </c>
      <c r="AH571" t="s">
        <v>73</v>
      </c>
    </row>
    <row r="572" spans="1:34">
      <c r="A572" s="15" t="s">
        <v>632</v>
      </c>
      <c r="B572" s="8" t="s">
        <v>581</v>
      </c>
      <c r="C572" s="41" t="s">
        <v>37</v>
      </c>
      <c r="D572" s="1" t="s">
        <v>38</v>
      </c>
      <c r="E572" s="26" t="s">
        <v>39</v>
      </c>
      <c r="F572" s="27">
        <v>1</v>
      </c>
      <c r="G572" s="33">
        <v>1</v>
      </c>
      <c r="H572" s="41"/>
      <c r="I572" s="1"/>
      <c r="J572" s="26"/>
      <c r="K572" s="27"/>
      <c r="L572" s="27"/>
      <c r="M572" s="70"/>
      <c r="N572" s="1"/>
      <c r="O572" s="26"/>
      <c r="P572" s="27"/>
      <c r="Q572" s="27"/>
      <c r="R572" s="55" t="s">
        <v>242</v>
      </c>
      <c r="S572" s="26" t="s">
        <v>38</v>
      </c>
      <c r="T572" s="26" t="s">
        <v>39</v>
      </c>
      <c r="U572" s="27">
        <v>0.84745762711864414</v>
      </c>
      <c r="V572" s="33">
        <v>1</v>
      </c>
      <c r="AG572" s="31">
        <v>1</v>
      </c>
      <c r="AH572" t="s">
        <v>73</v>
      </c>
    </row>
    <row r="573" spans="1:34">
      <c r="A573" s="15" t="s">
        <v>633</v>
      </c>
      <c r="B573" s="8" t="s">
        <v>581</v>
      </c>
      <c r="C573" s="41" t="s">
        <v>37</v>
      </c>
      <c r="D573" s="1" t="s">
        <v>38</v>
      </c>
      <c r="E573" s="26" t="s">
        <v>39</v>
      </c>
      <c r="F573" s="27">
        <v>1</v>
      </c>
      <c r="G573" s="33">
        <v>1</v>
      </c>
      <c r="H573" s="41"/>
      <c r="I573" s="1"/>
      <c r="J573" s="26"/>
      <c r="K573" s="27"/>
      <c r="L573" s="27"/>
      <c r="M573" s="70"/>
      <c r="N573" s="1"/>
      <c r="O573" s="26"/>
      <c r="P573" s="27"/>
      <c r="Q573" s="27"/>
      <c r="R573" s="55" t="s">
        <v>242</v>
      </c>
      <c r="S573" s="26" t="s">
        <v>38</v>
      </c>
      <c r="T573" s="26" t="s">
        <v>39</v>
      </c>
      <c r="U573" s="27">
        <v>0.84745762711864414</v>
      </c>
      <c r="V573" s="33">
        <v>1</v>
      </c>
      <c r="AG573" s="31">
        <v>1</v>
      </c>
      <c r="AH573" t="s">
        <v>73</v>
      </c>
    </row>
    <row r="574" spans="1:34">
      <c r="A574" s="15" t="s">
        <v>634</v>
      </c>
      <c r="B574" s="8" t="s">
        <v>581</v>
      </c>
      <c r="C574" s="41" t="s">
        <v>37</v>
      </c>
      <c r="D574" s="1" t="s">
        <v>38</v>
      </c>
      <c r="E574" s="26" t="s">
        <v>39</v>
      </c>
      <c r="F574" s="27">
        <v>1</v>
      </c>
      <c r="G574" s="33">
        <v>1</v>
      </c>
      <c r="H574" s="41"/>
      <c r="I574" s="1"/>
      <c r="J574" s="26"/>
      <c r="K574" s="27"/>
      <c r="L574" s="27"/>
      <c r="M574" s="70"/>
      <c r="N574" s="1"/>
      <c r="O574" s="26"/>
      <c r="P574" s="27"/>
      <c r="Q574" s="27"/>
      <c r="R574" s="55" t="s">
        <v>242</v>
      </c>
      <c r="S574" s="26" t="s">
        <v>38</v>
      </c>
      <c r="T574" s="26" t="s">
        <v>39</v>
      </c>
      <c r="U574" s="27">
        <v>0.84745762711864414</v>
      </c>
      <c r="V574" s="33">
        <v>1</v>
      </c>
      <c r="AG574" s="31">
        <v>1</v>
      </c>
      <c r="AH574" t="s">
        <v>73</v>
      </c>
    </row>
    <row r="575" spans="1:34">
      <c r="A575" s="15" t="s">
        <v>635</v>
      </c>
      <c r="B575" s="8" t="s">
        <v>581</v>
      </c>
      <c r="C575" s="41" t="s">
        <v>37</v>
      </c>
      <c r="D575" s="1" t="s">
        <v>38</v>
      </c>
      <c r="E575" s="26" t="s">
        <v>39</v>
      </c>
      <c r="F575" s="27">
        <v>1</v>
      </c>
      <c r="G575" s="33">
        <v>1</v>
      </c>
      <c r="H575" s="41"/>
      <c r="I575" s="1"/>
      <c r="J575" s="26"/>
      <c r="K575" s="27"/>
      <c r="L575" s="27"/>
      <c r="M575" s="70"/>
      <c r="N575" s="1"/>
      <c r="O575" s="26"/>
      <c r="P575" s="27"/>
      <c r="Q575" s="27"/>
      <c r="R575" s="55" t="s">
        <v>242</v>
      </c>
      <c r="S575" s="26" t="s">
        <v>38</v>
      </c>
      <c r="T575" s="26" t="s">
        <v>39</v>
      </c>
      <c r="U575" s="27">
        <v>0.84745762711864414</v>
      </c>
      <c r="V575" s="33">
        <v>1</v>
      </c>
      <c r="AG575" s="31">
        <v>1</v>
      </c>
      <c r="AH575" t="s">
        <v>73</v>
      </c>
    </row>
    <row r="576" spans="1:34">
      <c r="A576" s="15" t="s">
        <v>636</v>
      </c>
      <c r="B576" s="8" t="s">
        <v>581</v>
      </c>
      <c r="C576" s="41" t="s">
        <v>37</v>
      </c>
      <c r="D576" s="1" t="s">
        <v>38</v>
      </c>
      <c r="E576" s="26" t="s">
        <v>39</v>
      </c>
      <c r="F576" s="27">
        <v>1</v>
      </c>
      <c r="G576" s="33">
        <v>1</v>
      </c>
      <c r="H576" s="41"/>
      <c r="I576" s="1"/>
      <c r="J576" s="26"/>
      <c r="K576" s="27"/>
      <c r="L576" s="27"/>
      <c r="M576" s="70"/>
      <c r="N576" s="1"/>
      <c r="O576" s="26"/>
      <c r="P576" s="27"/>
      <c r="Q576" s="27"/>
      <c r="R576" s="55" t="s">
        <v>242</v>
      </c>
      <c r="S576" s="26" t="s">
        <v>38</v>
      </c>
      <c r="T576" s="26" t="s">
        <v>39</v>
      </c>
      <c r="U576" s="27">
        <v>0.84745762711864414</v>
      </c>
      <c r="V576" s="33">
        <v>1</v>
      </c>
      <c r="AG576" s="31">
        <v>1</v>
      </c>
      <c r="AH576" t="s">
        <v>73</v>
      </c>
    </row>
    <row r="577" spans="1:34">
      <c r="A577" s="15" t="s">
        <v>637</v>
      </c>
      <c r="B577" s="8" t="s">
        <v>581</v>
      </c>
      <c r="C577" s="41" t="s">
        <v>37</v>
      </c>
      <c r="D577" s="1" t="s">
        <v>38</v>
      </c>
      <c r="E577" s="26" t="s">
        <v>39</v>
      </c>
      <c r="F577" s="27">
        <v>1</v>
      </c>
      <c r="G577" s="33">
        <v>1</v>
      </c>
      <c r="H577" s="41"/>
      <c r="I577" s="1"/>
      <c r="J577" s="26"/>
      <c r="K577" s="27"/>
      <c r="L577" s="27"/>
      <c r="M577" s="70"/>
      <c r="N577" s="1"/>
      <c r="O577" s="26"/>
      <c r="P577" s="27"/>
      <c r="Q577" s="27"/>
      <c r="R577" s="55" t="s">
        <v>242</v>
      </c>
      <c r="S577" s="26" t="s">
        <v>38</v>
      </c>
      <c r="T577" s="26" t="s">
        <v>39</v>
      </c>
      <c r="U577" s="27">
        <v>0.84745762711864414</v>
      </c>
      <c r="V577" s="33">
        <v>1</v>
      </c>
      <c r="AG577" s="31">
        <v>1</v>
      </c>
      <c r="AH577" t="s">
        <v>73</v>
      </c>
    </row>
    <row r="578" spans="1:34">
      <c r="A578" s="15" t="s">
        <v>638</v>
      </c>
      <c r="B578" s="8" t="s">
        <v>581</v>
      </c>
      <c r="C578" s="41" t="s">
        <v>37</v>
      </c>
      <c r="D578" s="1" t="s">
        <v>38</v>
      </c>
      <c r="E578" s="26" t="s">
        <v>39</v>
      </c>
      <c r="F578" s="27">
        <v>1</v>
      </c>
      <c r="G578" s="33">
        <v>1</v>
      </c>
      <c r="H578" s="41"/>
      <c r="I578" s="1"/>
      <c r="J578" s="26"/>
      <c r="K578" s="27"/>
      <c r="L578" s="27"/>
      <c r="M578" s="70"/>
      <c r="N578" s="1"/>
      <c r="O578" s="26"/>
      <c r="P578" s="27"/>
      <c r="Q578" s="27"/>
      <c r="R578" s="55" t="s">
        <v>242</v>
      </c>
      <c r="S578" s="26" t="s">
        <v>38</v>
      </c>
      <c r="T578" s="26" t="s">
        <v>39</v>
      </c>
      <c r="U578" s="27">
        <v>0.84745762711864414</v>
      </c>
      <c r="V578" s="33">
        <v>1</v>
      </c>
      <c r="AG578" s="31">
        <v>1</v>
      </c>
      <c r="AH578" t="s">
        <v>73</v>
      </c>
    </row>
    <row r="579" spans="1:34">
      <c r="A579" s="15" t="s">
        <v>639</v>
      </c>
      <c r="B579" s="8" t="s">
        <v>581</v>
      </c>
      <c r="C579" s="41" t="s">
        <v>37</v>
      </c>
      <c r="D579" s="1" t="s">
        <v>38</v>
      </c>
      <c r="E579" s="26" t="s">
        <v>39</v>
      </c>
      <c r="F579" s="27">
        <v>1</v>
      </c>
      <c r="G579" s="33">
        <v>1</v>
      </c>
      <c r="H579" s="41"/>
      <c r="I579" s="1"/>
      <c r="J579" s="26"/>
      <c r="K579" s="27"/>
      <c r="L579" s="27"/>
      <c r="M579" s="70"/>
      <c r="N579" s="1"/>
      <c r="O579" s="26"/>
      <c r="P579" s="27"/>
      <c r="Q579" s="27"/>
      <c r="R579" s="55" t="s">
        <v>242</v>
      </c>
      <c r="S579" s="26" t="s">
        <v>38</v>
      </c>
      <c r="T579" s="26" t="s">
        <v>39</v>
      </c>
      <c r="U579" s="27">
        <v>0.84745762711864414</v>
      </c>
      <c r="V579" s="33">
        <v>1</v>
      </c>
      <c r="AG579" s="31">
        <v>1</v>
      </c>
      <c r="AH579" t="s">
        <v>73</v>
      </c>
    </row>
    <row r="580" spans="1:34">
      <c r="A580" s="15" t="s">
        <v>640</v>
      </c>
      <c r="B580" s="8" t="s">
        <v>581</v>
      </c>
      <c r="C580" s="41" t="s">
        <v>37</v>
      </c>
      <c r="D580" s="1" t="s">
        <v>38</v>
      </c>
      <c r="E580" s="26" t="s">
        <v>39</v>
      </c>
      <c r="F580" s="27">
        <v>1</v>
      </c>
      <c r="G580" s="33">
        <v>1</v>
      </c>
      <c r="H580" s="41"/>
      <c r="I580" s="1"/>
      <c r="J580" s="26"/>
      <c r="K580" s="27"/>
      <c r="L580" s="27"/>
      <c r="M580" s="70"/>
      <c r="N580" s="1"/>
      <c r="O580" s="26"/>
      <c r="P580" s="27"/>
      <c r="Q580" s="27"/>
      <c r="R580" s="55" t="s">
        <v>242</v>
      </c>
      <c r="S580" s="26" t="s">
        <v>38</v>
      </c>
      <c r="T580" s="26" t="s">
        <v>39</v>
      </c>
      <c r="U580" s="27">
        <v>0.84745762711864414</v>
      </c>
      <c r="V580" s="33">
        <v>1</v>
      </c>
      <c r="AG580" s="31">
        <v>1</v>
      </c>
      <c r="AH580" t="s">
        <v>73</v>
      </c>
    </row>
    <row r="581" spans="1:34">
      <c r="A581" s="15" t="s">
        <v>641</v>
      </c>
      <c r="B581" s="8" t="s">
        <v>581</v>
      </c>
      <c r="C581" s="41" t="s">
        <v>37</v>
      </c>
      <c r="D581" s="1" t="s">
        <v>38</v>
      </c>
      <c r="E581" s="26" t="s">
        <v>39</v>
      </c>
      <c r="F581" s="27">
        <v>1</v>
      </c>
      <c r="G581" s="33">
        <v>1</v>
      </c>
      <c r="H581" s="41"/>
      <c r="I581" s="1"/>
      <c r="J581" s="26"/>
      <c r="K581" s="27"/>
      <c r="L581" s="27"/>
      <c r="M581" s="70"/>
      <c r="N581" s="1"/>
      <c r="O581" s="26"/>
      <c r="P581" s="27"/>
      <c r="Q581" s="27"/>
      <c r="R581" s="55" t="s">
        <v>242</v>
      </c>
      <c r="S581" s="26" t="s">
        <v>38</v>
      </c>
      <c r="T581" s="26" t="s">
        <v>39</v>
      </c>
      <c r="U581" s="27">
        <v>0.84745762711864414</v>
      </c>
      <c r="V581" s="33">
        <v>1</v>
      </c>
      <c r="AG581" s="31">
        <v>1</v>
      </c>
      <c r="AH581" t="s">
        <v>73</v>
      </c>
    </row>
    <row r="582" spans="1:34">
      <c r="A582" s="15" t="s">
        <v>642</v>
      </c>
      <c r="B582" s="8" t="s">
        <v>581</v>
      </c>
      <c r="C582" s="41" t="s">
        <v>37</v>
      </c>
      <c r="D582" s="1" t="s">
        <v>38</v>
      </c>
      <c r="E582" s="26" t="s">
        <v>39</v>
      </c>
      <c r="F582" s="27">
        <v>1</v>
      </c>
      <c r="G582" s="33">
        <v>1</v>
      </c>
      <c r="H582" s="41"/>
      <c r="I582" s="1"/>
      <c r="J582" s="26"/>
      <c r="K582" s="27"/>
      <c r="L582" s="27"/>
      <c r="M582" s="70"/>
      <c r="N582" s="1"/>
      <c r="O582" s="26"/>
      <c r="P582" s="27"/>
      <c r="Q582" s="27"/>
      <c r="R582" s="55" t="s">
        <v>242</v>
      </c>
      <c r="S582" s="26" t="s">
        <v>38</v>
      </c>
      <c r="T582" s="26" t="s">
        <v>39</v>
      </c>
      <c r="U582" s="27">
        <v>0.84745762711864414</v>
      </c>
      <c r="V582" s="33">
        <v>1</v>
      </c>
      <c r="AG582" s="31">
        <v>1</v>
      </c>
      <c r="AH582" t="s">
        <v>73</v>
      </c>
    </row>
    <row r="583" spans="1:34">
      <c r="A583" s="15" t="s">
        <v>643</v>
      </c>
      <c r="B583" s="8" t="s">
        <v>581</v>
      </c>
      <c r="C583" s="41" t="s">
        <v>37</v>
      </c>
      <c r="D583" s="1" t="s">
        <v>38</v>
      </c>
      <c r="E583" s="26" t="s">
        <v>39</v>
      </c>
      <c r="F583" s="27">
        <v>1</v>
      </c>
      <c r="G583" s="33">
        <v>1</v>
      </c>
      <c r="H583" s="41"/>
      <c r="I583" s="1"/>
      <c r="J583" s="26"/>
      <c r="K583" s="27"/>
      <c r="L583" s="27"/>
      <c r="M583" s="70"/>
      <c r="N583" s="1"/>
      <c r="O583" s="26"/>
      <c r="P583" s="27"/>
      <c r="Q583" s="27"/>
      <c r="R583" s="55" t="s">
        <v>242</v>
      </c>
      <c r="S583" s="26" t="s">
        <v>38</v>
      </c>
      <c r="T583" s="26" t="s">
        <v>39</v>
      </c>
      <c r="U583" s="27">
        <v>0.84745762711864414</v>
      </c>
      <c r="V583" s="33">
        <v>1</v>
      </c>
      <c r="AG583" s="31">
        <v>1</v>
      </c>
      <c r="AH583" t="s">
        <v>73</v>
      </c>
    </row>
    <row r="584" spans="1:34">
      <c r="A584" s="15" t="s">
        <v>644</v>
      </c>
      <c r="B584" s="8" t="s">
        <v>581</v>
      </c>
      <c r="C584" s="41" t="s">
        <v>37</v>
      </c>
      <c r="D584" s="1" t="s">
        <v>38</v>
      </c>
      <c r="E584" s="26" t="s">
        <v>39</v>
      </c>
      <c r="F584" s="27">
        <v>1</v>
      </c>
      <c r="G584" s="33">
        <v>1</v>
      </c>
      <c r="H584" s="41"/>
      <c r="I584" s="1"/>
      <c r="J584" s="26"/>
      <c r="K584" s="27"/>
      <c r="L584" s="27"/>
      <c r="M584" s="70"/>
      <c r="N584" s="1"/>
      <c r="O584" s="26"/>
      <c r="P584" s="27"/>
      <c r="Q584" s="27"/>
      <c r="R584" s="55" t="s">
        <v>242</v>
      </c>
      <c r="S584" s="26" t="s">
        <v>38</v>
      </c>
      <c r="T584" s="26" t="s">
        <v>39</v>
      </c>
      <c r="U584" s="27">
        <v>0.84745762711864414</v>
      </c>
      <c r="V584" s="33">
        <v>1</v>
      </c>
      <c r="AG584" s="31">
        <v>1</v>
      </c>
      <c r="AH584" t="s">
        <v>73</v>
      </c>
    </row>
    <row r="585" spans="1:34">
      <c r="A585" s="15" t="s">
        <v>645</v>
      </c>
      <c r="B585" s="8" t="s">
        <v>581</v>
      </c>
      <c r="C585" s="41" t="s">
        <v>37</v>
      </c>
      <c r="D585" s="1" t="s">
        <v>38</v>
      </c>
      <c r="E585" s="26" t="s">
        <v>39</v>
      </c>
      <c r="F585" s="27">
        <v>1</v>
      </c>
      <c r="G585" s="33">
        <v>1</v>
      </c>
      <c r="H585" s="41"/>
      <c r="I585" s="1"/>
      <c r="J585" s="26"/>
      <c r="K585" s="27"/>
      <c r="L585" s="27"/>
      <c r="M585" s="70"/>
      <c r="N585" s="1"/>
      <c r="O585" s="26"/>
      <c r="P585" s="27"/>
      <c r="Q585" s="27"/>
      <c r="R585" s="55" t="s">
        <v>242</v>
      </c>
      <c r="S585" s="26" t="s">
        <v>38</v>
      </c>
      <c r="T585" s="26" t="s">
        <v>39</v>
      </c>
      <c r="U585" s="27">
        <v>0.84745762711864414</v>
      </c>
      <c r="V585" s="33">
        <v>1</v>
      </c>
      <c r="AG585" s="31">
        <v>1</v>
      </c>
      <c r="AH585" t="s">
        <v>73</v>
      </c>
    </row>
    <row r="586" spans="1:34">
      <c r="A586" s="15" t="s">
        <v>646</v>
      </c>
      <c r="B586" s="8" t="s">
        <v>581</v>
      </c>
      <c r="C586" s="41" t="s">
        <v>37</v>
      </c>
      <c r="D586" s="1" t="s">
        <v>38</v>
      </c>
      <c r="E586" s="26" t="s">
        <v>39</v>
      </c>
      <c r="F586" s="27">
        <v>1</v>
      </c>
      <c r="G586" s="33">
        <v>1</v>
      </c>
      <c r="H586" s="41"/>
      <c r="I586" s="1"/>
      <c r="J586" s="26"/>
      <c r="K586" s="27"/>
      <c r="L586" s="27"/>
      <c r="M586" s="70"/>
      <c r="N586" s="1"/>
      <c r="O586" s="26"/>
      <c r="P586" s="27"/>
      <c r="Q586" s="27"/>
      <c r="R586" s="55" t="s">
        <v>242</v>
      </c>
      <c r="S586" s="26" t="s">
        <v>38</v>
      </c>
      <c r="T586" s="26" t="s">
        <v>39</v>
      </c>
      <c r="U586" s="27">
        <v>0.84745762711864414</v>
      </c>
      <c r="V586" s="33">
        <v>1</v>
      </c>
      <c r="AG586" s="31">
        <v>1</v>
      </c>
      <c r="AH586" t="s">
        <v>73</v>
      </c>
    </row>
    <row r="587" spans="1:34">
      <c r="A587" s="15" t="s">
        <v>647</v>
      </c>
      <c r="B587" s="8" t="s">
        <v>581</v>
      </c>
      <c r="C587" s="41" t="s">
        <v>37</v>
      </c>
      <c r="D587" s="1" t="s">
        <v>38</v>
      </c>
      <c r="E587" s="26" t="s">
        <v>39</v>
      </c>
      <c r="F587" s="27">
        <v>1</v>
      </c>
      <c r="G587" s="33">
        <v>1</v>
      </c>
      <c r="H587" s="41"/>
      <c r="I587" s="1"/>
      <c r="J587" s="26"/>
      <c r="K587" s="27"/>
      <c r="L587" s="27"/>
      <c r="M587" s="70"/>
      <c r="N587" s="1"/>
      <c r="O587" s="26"/>
      <c r="P587" s="27"/>
      <c r="Q587" s="27"/>
      <c r="R587" s="55" t="s">
        <v>242</v>
      </c>
      <c r="S587" s="26" t="s">
        <v>38</v>
      </c>
      <c r="T587" s="26" t="s">
        <v>39</v>
      </c>
      <c r="U587" s="27">
        <v>0.84745762711864414</v>
      </c>
      <c r="V587" s="33">
        <v>1</v>
      </c>
      <c r="AG587" s="31">
        <v>1</v>
      </c>
      <c r="AH587" t="s">
        <v>73</v>
      </c>
    </row>
    <row r="588" spans="1:34">
      <c r="A588" s="15" t="s">
        <v>648</v>
      </c>
      <c r="B588" s="8" t="s">
        <v>581</v>
      </c>
      <c r="C588" s="41" t="s">
        <v>37</v>
      </c>
      <c r="D588" s="1" t="s">
        <v>38</v>
      </c>
      <c r="E588" s="26" t="s">
        <v>39</v>
      </c>
      <c r="F588" s="27">
        <v>1</v>
      </c>
      <c r="G588" s="33">
        <v>1</v>
      </c>
      <c r="H588" s="41"/>
      <c r="I588" s="1"/>
      <c r="J588" s="26"/>
      <c r="K588" s="27"/>
      <c r="L588" s="27"/>
      <c r="M588" s="70"/>
      <c r="N588" s="1"/>
      <c r="O588" s="26"/>
      <c r="P588" s="27"/>
      <c r="Q588" s="27"/>
      <c r="R588" s="55" t="s">
        <v>242</v>
      </c>
      <c r="S588" s="26" t="s">
        <v>38</v>
      </c>
      <c r="T588" s="26" t="s">
        <v>39</v>
      </c>
      <c r="U588" s="27">
        <v>0.84745762711864414</v>
      </c>
      <c r="V588" s="33">
        <v>1</v>
      </c>
      <c r="AG588" s="31">
        <v>1</v>
      </c>
      <c r="AH588" t="s">
        <v>73</v>
      </c>
    </row>
    <row r="589" spans="1:34">
      <c r="A589" s="15" t="s">
        <v>649</v>
      </c>
      <c r="B589" s="8" t="s">
        <v>581</v>
      </c>
      <c r="C589" s="41" t="s">
        <v>37</v>
      </c>
      <c r="D589" s="1" t="s">
        <v>38</v>
      </c>
      <c r="E589" s="26" t="s">
        <v>39</v>
      </c>
      <c r="F589" s="27">
        <v>1</v>
      </c>
      <c r="G589" s="33">
        <v>1</v>
      </c>
      <c r="H589" s="41"/>
      <c r="I589" s="1"/>
      <c r="J589" s="26"/>
      <c r="K589" s="27"/>
      <c r="L589" s="27"/>
      <c r="M589" s="70"/>
      <c r="N589" s="1"/>
      <c r="O589" s="26"/>
      <c r="P589" s="27"/>
      <c r="Q589" s="27"/>
      <c r="R589" s="55" t="s">
        <v>242</v>
      </c>
      <c r="S589" s="26" t="s">
        <v>38</v>
      </c>
      <c r="T589" s="26" t="s">
        <v>39</v>
      </c>
      <c r="U589" s="27">
        <v>0.84745762711864414</v>
      </c>
      <c r="V589" s="33">
        <v>1</v>
      </c>
      <c r="AG589" s="31">
        <v>1</v>
      </c>
      <c r="AH589" t="s">
        <v>73</v>
      </c>
    </row>
    <row r="590" spans="1:34">
      <c r="A590" s="15" t="s">
        <v>650</v>
      </c>
      <c r="B590" s="8" t="s">
        <v>581</v>
      </c>
      <c r="C590" s="41" t="s">
        <v>37</v>
      </c>
      <c r="D590" s="1" t="s">
        <v>38</v>
      </c>
      <c r="E590" s="26" t="s">
        <v>39</v>
      </c>
      <c r="F590" s="27">
        <v>1</v>
      </c>
      <c r="G590" s="33">
        <v>1</v>
      </c>
      <c r="H590" s="41"/>
      <c r="I590" s="1"/>
      <c r="J590" s="26"/>
      <c r="K590" s="27"/>
      <c r="L590" s="27"/>
      <c r="M590" s="70"/>
      <c r="N590" s="1"/>
      <c r="O590" s="26"/>
      <c r="P590" s="27"/>
      <c r="Q590" s="27"/>
      <c r="R590" s="55" t="s">
        <v>242</v>
      </c>
      <c r="S590" s="26" t="s">
        <v>38</v>
      </c>
      <c r="T590" s="26" t="s">
        <v>39</v>
      </c>
      <c r="U590" s="27">
        <v>0.84745762711864414</v>
      </c>
      <c r="V590" s="33">
        <v>1</v>
      </c>
      <c r="AG590" s="31">
        <v>1</v>
      </c>
      <c r="AH590" t="s">
        <v>73</v>
      </c>
    </row>
    <row r="591" spans="1:34">
      <c r="A591" s="15" t="s">
        <v>651</v>
      </c>
      <c r="B591" s="8" t="s">
        <v>581</v>
      </c>
      <c r="C591" s="41" t="s">
        <v>37</v>
      </c>
      <c r="D591" s="1" t="s">
        <v>38</v>
      </c>
      <c r="E591" s="26" t="s">
        <v>39</v>
      </c>
      <c r="F591" s="27">
        <v>1</v>
      </c>
      <c r="G591" s="33">
        <v>1</v>
      </c>
      <c r="H591" s="41"/>
      <c r="I591" s="1"/>
      <c r="J591" s="26"/>
      <c r="K591" s="27"/>
      <c r="L591" s="27"/>
      <c r="M591" s="70"/>
      <c r="N591" s="1"/>
      <c r="O591" s="26"/>
      <c r="P591" s="27"/>
      <c r="Q591" s="27"/>
      <c r="R591" s="55" t="s">
        <v>242</v>
      </c>
      <c r="S591" s="26" t="s">
        <v>38</v>
      </c>
      <c r="T591" s="26" t="s">
        <v>39</v>
      </c>
      <c r="U591" s="27">
        <v>0.84745762711864414</v>
      </c>
      <c r="V591" s="33">
        <v>1</v>
      </c>
      <c r="AG591" s="31">
        <v>0.5</v>
      </c>
      <c r="AH591" t="s">
        <v>285</v>
      </c>
    </row>
    <row r="592" spans="1:34">
      <c r="A592" s="15" t="s">
        <v>652</v>
      </c>
      <c r="B592" s="8" t="s">
        <v>581</v>
      </c>
      <c r="C592" s="41" t="s">
        <v>37</v>
      </c>
      <c r="D592" s="1" t="s">
        <v>38</v>
      </c>
      <c r="E592" s="26" t="s">
        <v>39</v>
      </c>
      <c r="F592" s="27">
        <v>1</v>
      </c>
      <c r="G592" s="33">
        <v>1</v>
      </c>
      <c r="H592" s="41"/>
      <c r="I592" s="1"/>
      <c r="J592" s="26"/>
      <c r="K592" s="27"/>
      <c r="L592" s="27"/>
      <c r="M592" s="70"/>
      <c r="N592" s="1"/>
      <c r="O592" s="26"/>
      <c r="P592" s="27"/>
      <c r="Q592" s="27"/>
      <c r="R592" s="55" t="s">
        <v>242</v>
      </c>
      <c r="S592" s="26" t="s">
        <v>38</v>
      </c>
      <c r="T592" s="26" t="s">
        <v>39</v>
      </c>
      <c r="U592" s="27">
        <v>0.84745762711864414</v>
      </c>
      <c r="V592" s="33">
        <v>1</v>
      </c>
      <c r="AG592" s="31">
        <v>0.5</v>
      </c>
      <c r="AH592" t="s">
        <v>285</v>
      </c>
    </row>
    <row r="593" spans="1:34">
      <c r="A593" s="15" t="s">
        <v>653</v>
      </c>
      <c r="B593" s="8" t="s">
        <v>581</v>
      </c>
      <c r="C593" s="41" t="s">
        <v>37</v>
      </c>
      <c r="D593" s="1" t="s">
        <v>38</v>
      </c>
      <c r="E593" s="26" t="s">
        <v>39</v>
      </c>
      <c r="F593" s="27">
        <v>1</v>
      </c>
      <c r="G593" s="33">
        <v>1</v>
      </c>
      <c r="H593" s="41"/>
      <c r="I593" s="1"/>
      <c r="J593" s="26"/>
      <c r="K593" s="27"/>
      <c r="L593" s="27"/>
      <c r="M593" s="70"/>
      <c r="N593" s="1"/>
      <c r="O593" s="26"/>
      <c r="P593" s="27"/>
      <c r="Q593" s="27"/>
      <c r="R593" s="55" t="s">
        <v>242</v>
      </c>
      <c r="S593" s="26" t="s">
        <v>38</v>
      </c>
      <c r="T593" s="26" t="s">
        <v>39</v>
      </c>
      <c r="U593" s="27">
        <v>0.84745762711864414</v>
      </c>
      <c r="V593" s="33">
        <v>1</v>
      </c>
      <c r="AG593" s="31">
        <v>0.5</v>
      </c>
      <c r="AH593" t="s">
        <v>285</v>
      </c>
    </row>
    <row r="594" spans="1:34">
      <c r="A594" s="15" t="s">
        <v>654</v>
      </c>
      <c r="B594" s="8" t="s">
        <v>581</v>
      </c>
      <c r="C594" s="41" t="s">
        <v>37</v>
      </c>
      <c r="D594" s="1" t="s">
        <v>38</v>
      </c>
      <c r="E594" s="26" t="s">
        <v>39</v>
      </c>
      <c r="F594" s="27">
        <v>1</v>
      </c>
      <c r="G594" s="33">
        <v>1</v>
      </c>
      <c r="H594" s="41"/>
      <c r="I594" s="1"/>
      <c r="J594" s="26"/>
      <c r="K594" s="27"/>
      <c r="L594" s="27"/>
      <c r="M594" s="70"/>
      <c r="N594" s="1"/>
      <c r="O594" s="26"/>
      <c r="P594" s="27"/>
      <c r="Q594" s="27"/>
      <c r="R594" s="55" t="s">
        <v>242</v>
      </c>
      <c r="S594" s="26" t="s">
        <v>38</v>
      </c>
      <c r="T594" s="26" t="s">
        <v>39</v>
      </c>
      <c r="U594" s="27">
        <v>0.84745762711864414</v>
      </c>
      <c r="V594" s="33">
        <v>1</v>
      </c>
      <c r="AG594" s="31">
        <v>0.5</v>
      </c>
      <c r="AH594" t="s">
        <v>285</v>
      </c>
    </row>
    <row r="595" spans="1:34">
      <c r="A595" s="15" t="s">
        <v>655</v>
      </c>
      <c r="B595" s="8" t="s">
        <v>581</v>
      </c>
      <c r="C595" s="41" t="s">
        <v>37</v>
      </c>
      <c r="D595" s="1" t="s">
        <v>38</v>
      </c>
      <c r="E595" s="26" t="s">
        <v>39</v>
      </c>
      <c r="F595" s="27">
        <v>1</v>
      </c>
      <c r="G595" s="33">
        <v>1</v>
      </c>
      <c r="H595" s="41"/>
      <c r="I595" s="1"/>
      <c r="J595" s="26"/>
      <c r="K595" s="27"/>
      <c r="L595" s="27"/>
      <c r="M595" s="70"/>
      <c r="N595" s="1"/>
      <c r="O595" s="26"/>
      <c r="P595" s="27"/>
      <c r="Q595" s="27"/>
      <c r="R595" s="55" t="s">
        <v>242</v>
      </c>
      <c r="S595" s="26" t="s">
        <v>38</v>
      </c>
      <c r="T595" s="26" t="s">
        <v>39</v>
      </c>
      <c r="U595" s="27">
        <v>0.84745762711864414</v>
      </c>
      <c r="V595" s="33">
        <v>1</v>
      </c>
      <c r="AG595" s="31">
        <v>0.5</v>
      </c>
      <c r="AH595" t="s">
        <v>285</v>
      </c>
    </row>
    <row r="596" spans="1:34">
      <c r="A596" s="15" t="s">
        <v>656</v>
      </c>
      <c r="B596" s="8" t="s">
        <v>581</v>
      </c>
      <c r="C596" s="41" t="s">
        <v>37</v>
      </c>
      <c r="D596" s="1" t="s">
        <v>38</v>
      </c>
      <c r="E596" s="26" t="s">
        <v>39</v>
      </c>
      <c r="F596" s="27">
        <v>1</v>
      </c>
      <c r="G596" s="33">
        <v>1</v>
      </c>
      <c r="H596" s="41"/>
      <c r="I596" s="1"/>
      <c r="J596" s="26"/>
      <c r="K596" s="27"/>
      <c r="L596" s="27"/>
      <c r="M596" s="70"/>
      <c r="N596" s="1"/>
      <c r="O596" s="26"/>
      <c r="P596" s="27"/>
      <c r="Q596" s="27"/>
      <c r="R596" s="55" t="s">
        <v>242</v>
      </c>
      <c r="S596" s="26" t="s">
        <v>38</v>
      </c>
      <c r="T596" s="26" t="s">
        <v>39</v>
      </c>
      <c r="U596" s="27">
        <v>0.84745762711864414</v>
      </c>
      <c r="V596" s="33">
        <v>1</v>
      </c>
      <c r="AG596" s="31">
        <v>0.5</v>
      </c>
      <c r="AH596" t="s">
        <v>285</v>
      </c>
    </row>
    <row r="597" spans="1:34">
      <c r="A597" s="15" t="s">
        <v>657</v>
      </c>
      <c r="B597" s="8" t="s">
        <v>581</v>
      </c>
      <c r="C597" s="41" t="s">
        <v>37</v>
      </c>
      <c r="D597" s="1" t="s">
        <v>38</v>
      </c>
      <c r="E597" s="26" t="s">
        <v>39</v>
      </c>
      <c r="F597" s="27">
        <v>1</v>
      </c>
      <c r="G597" s="33">
        <v>1</v>
      </c>
      <c r="H597" s="41"/>
      <c r="I597" s="1"/>
      <c r="J597" s="26"/>
      <c r="K597" s="27"/>
      <c r="L597" s="27"/>
      <c r="M597" s="70"/>
      <c r="N597" s="1"/>
      <c r="O597" s="26"/>
      <c r="P597" s="27"/>
      <c r="Q597" s="27"/>
      <c r="R597" s="55" t="s">
        <v>242</v>
      </c>
      <c r="S597" s="26" t="s">
        <v>38</v>
      </c>
      <c r="T597" s="26" t="s">
        <v>39</v>
      </c>
      <c r="U597" s="27">
        <v>0.84745762711864414</v>
      </c>
      <c r="V597" s="33">
        <v>1</v>
      </c>
      <c r="AG597" s="31">
        <v>0.5</v>
      </c>
      <c r="AH597" t="s">
        <v>285</v>
      </c>
    </row>
    <row r="598" spans="1:34">
      <c r="A598" s="15" t="s">
        <v>658</v>
      </c>
      <c r="B598" s="8" t="s">
        <v>581</v>
      </c>
      <c r="C598" s="41" t="s">
        <v>37</v>
      </c>
      <c r="D598" s="1" t="s">
        <v>38</v>
      </c>
      <c r="E598" s="26" t="s">
        <v>39</v>
      </c>
      <c r="F598" s="27">
        <v>1</v>
      </c>
      <c r="G598" s="33">
        <v>1</v>
      </c>
      <c r="H598" s="41"/>
      <c r="I598" s="1"/>
      <c r="J598" s="26"/>
      <c r="K598" s="27"/>
      <c r="L598" s="27"/>
      <c r="M598" s="70"/>
      <c r="N598" s="1"/>
      <c r="O598" s="26"/>
      <c r="P598" s="27"/>
      <c r="Q598" s="27"/>
      <c r="R598" s="55" t="s">
        <v>242</v>
      </c>
      <c r="S598" s="26" t="s">
        <v>38</v>
      </c>
      <c r="T598" s="26" t="s">
        <v>39</v>
      </c>
      <c r="U598" s="27">
        <v>0.84745762711864414</v>
      </c>
      <c r="V598" s="33">
        <v>1</v>
      </c>
      <c r="AG598" s="31">
        <v>0.5</v>
      </c>
      <c r="AH598" t="s">
        <v>285</v>
      </c>
    </row>
    <row r="599" spans="1:34">
      <c r="A599" s="15" t="s">
        <v>659</v>
      </c>
      <c r="B599" s="8" t="s">
        <v>581</v>
      </c>
      <c r="C599" s="41" t="s">
        <v>37</v>
      </c>
      <c r="D599" s="1" t="s">
        <v>38</v>
      </c>
      <c r="E599" s="26" t="s">
        <v>39</v>
      </c>
      <c r="F599" s="27">
        <v>1</v>
      </c>
      <c r="G599" s="33">
        <v>1</v>
      </c>
      <c r="H599" s="41"/>
      <c r="I599" s="1"/>
      <c r="J599" s="26"/>
      <c r="K599" s="27"/>
      <c r="L599" s="27"/>
      <c r="M599" s="70"/>
      <c r="N599" s="1"/>
      <c r="O599" s="26"/>
      <c r="P599" s="27"/>
      <c r="Q599" s="27"/>
      <c r="R599" s="55" t="s">
        <v>242</v>
      </c>
      <c r="S599" s="26" t="s">
        <v>38</v>
      </c>
      <c r="T599" s="26" t="s">
        <v>39</v>
      </c>
      <c r="U599" s="27">
        <v>0.84745762711864414</v>
      </c>
      <c r="V599" s="33">
        <v>1</v>
      </c>
      <c r="AG599" s="31">
        <v>0.5</v>
      </c>
      <c r="AH599" t="s">
        <v>285</v>
      </c>
    </row>
    <row r="600" spans="1:34">
      <c r="A600" s="15" t="s">
        <v>660</v>
      </c>
      <c r="B600" s="8" t="s">
        <v>581</v>
      </c>
      <c r="C600" s="41" t="s">
        <v>37</v>
      </c>
      <c r="D600" s="1" t="s">
        <v>38</v>
      </c>
      <c r="E600" s="26" t="s">
        <v>39</v>
      </c>
      <c r="F600" s="27">
        <v>1</v>
      </c>
      <c r="G600" s="33">
        <v>1</v>
      </c>
      <c r="H600" s="41"/>
      <c r="I600" s="1"/>
      <c r="J600" s="26"/>
      <c r="K600" s="27"/>
      <c r="L600" s="27"/>
      <c r="M600" s="70"/>
      <c r="N600" s="1"/>
      <c r="O600" s="26"/>
      <c r="P600" s="27"/>
      <c r="Q600" s="27"/>
      <c r="R600" s="55" t="s">
        <v>242</v>
      </c>
      <c r="S600" s="26" t="s">
        <v>38</v>
      </c>
      <c r="T600" s="26" t="s">
        <v>39</v>
      </c>
      <c r="U600" s="27">
        <v>0.84745762711864414</v>
      </c>
      <c r="V600" s="33">
        <v>1</v>
      </c>
      <c r="AG600" s="31">
        <v>0.5</v>
      </c>
      <c r="AH600" t="s">
        <v>285</v>
      </c>
    </row>
    <row r="601" spans="1:34">
      <c r="A601" s="15" t="s">
        <v>661</v>
      </c>
      <c r="B601" s="8" t="s">
        <v>581</v>
      </c>
      <c r="C601" s="41" t="s">
        <v>37</v>
      </c>
      <c r="D601" s="1" t="s">
        <v>38</v>
      </c>
      <c r="E601" s="26" t="s">
        <v>39</v>
      </c>
      <c r="F601" s="27">
        <v>1</v>
      </c>
      <c r="G601" s="33">
        <v>1</v>
      </c>
      <c r="H601" s="41"/>
      <c r="I601" s="1"/>
      <c r="J601" s="26"/>
      <c r="K601" s="27"/>
      <c r="L601" s="27"/>
      <c r="M601" s="70"/>
      <c r="N601" s="1"/>
      <c r="O601" s="26"/>
      <c r="P601" s="27"/>
      <c r="Q601" s="27"/>
      <c r="R601" s="55" t="s">
        <v>242</v>
      </c>
      <c r="S601" s="26" t="s">
        <v>38</v>
      </c>
      <c r="T601" s="26" t="s">
        <v>39</v>
      </c>
      <c r="U601" s="27">
        <v>0.84745762711864414</v>
      </c>
      <c r="V601" s="33">
        <v>1</v>
      </c>
      <c r="AG601" s="31">
        <v>0.5</v>
      </c>
      <c r="AH601" t="s">
        <v>285</v>
      </c>
    </row>
    <row r="602" spans="1:34">
      <c r="A602" s="15" t="s">
        <v>662</v>
      </c>
      <c r="B602" s="8" t="s">
        <v>581</v>
      </c>
      <c r="C602" s="41" t="s">
        <v>37</v>
      </c>
      <c r="D602" s="1" t="s">
        <v>38</v>
      </c>
      <c r="E602" s="26" t="s">
        <v>39</v>
      </c>
      <c r="F602" s="27">
        <v>1</v>
      </c>
      <c r="G602" s="33">
        <v>1</v>
      </c>
      <c r="H602" s="41"/>
      <c r="I602" s="1"/>
      <c r="J602" s="26"/>
      <c r="K602" s="27"/>
      <c r="L602" s="27"/>
      <c r="M602" s="70"/>
      <c r="N602" s="1"/>
      <c r="O602" s="26"/>
      <c r="P602" s="27"/>
      <c r="Q602" s="27"/>
      <c r="R602" s="55" t="s">
        <v>242</v>
      </c>
      <c r="S602" s="26" t="s">
        <v>38</v>
      </c>
      <c r="T602" s="26" t="s">
        <v>39</v>
      </c>
      <c r="U602" s="27">
        <v>0.84745762711864414</v>
      </c>
      <c r="V602" s="33">
        <v>1</v>
      </c>
      <c r="AG602" s="31">
        <v>0.5</v>
      </c>
      <c r="AH602" t="s">
        <v>285</v>
      </c>
    </row>
    <row r="603" spans="1:34">
      <c r="A603" s="15" t="s">
        <v>663</v>
      </c>
      <c r="B603" s="8" t="s">
        <v>581</v>
      </c>
      <c r="C603" s="41" t="s">
        <v>37</v>
      </c>
      <c r="D603" s="1" t="s">
        <v>38</v>
      </c>
      <c r="E603" s="26" t="s">
        <v>39</v>
      </c>
      <c r="F603" s="27">
        <v>1</v>
      </c>
      <c r="G603" s="33">
        <v>1</v>
      </c>
      <c r="H603" s="41"/>
      <c r="I603" s="1"/>
      <c r="J603" s="26"/>
      <c r="K603" s="27"/>
      <c r="L603" s="27"/>
      <c r="M603" s="70"/>
      <c r="N603" s="1"/>
      <c r="O603" s="26"/>
      <c r="P603" s="27"/>
      <c r="Q603" s="27"/>
      <c r="R603" s="55" t="s">
        <v>242</v>
      </c>
      <c r="S603" s="26" t="s">
        <v>38</v>
      </c>
      <c r="T603" s="26" t="s">
        <v>39</v>
      </c>
      <c r="U603" s="27">
        <v>0.84745762711864414</v>
      </c>
      <c r="V603" s="33">
        <v>1</v>
      </c>
      <c r="AG603" s="31">
        <v>0.5</v>
      </c>
      <c r="AH603" t="s">
        <v>285</v>
      </c>
    </row>
    <row r="604" spans="1:34">
      <c r="A604" s="16" t="s">
        <v>664</v>
      </c>
      <c r="B604" s="8" t="s">
        <v>581</v>
      </c>
      <c r="C604" s="41" t="s">
        <v>37</v>
      </c>
      <c r="D604" s="1" t="s">
        <v>38</v>
      </c>
      <c r="E604" s="26" t="s">
        <v>39</v>
      </c>
      <c r="F604" s="27">
        <v>1</v>
      </c>
      <c r="G604" s="33">
        <v>1</v>
      </c>
      <c r="H604" s="41"/>
      <c r="I604" s="1"/>
      <c r="J604" s="26"/>
      <c r="K604" s="27"/>
      <c r="L604" s="27"/>
      <c r="M604" s="70"/>
      <c r="N604" s="1"/>
      <c r="O604" s="26"/>
      <c r="P604" s="27"/>
      <c r="Q604" s="27"/>
      <c r="R604" s="55" t="s">
        <v>242</v>
      </c>
      <c r="S604" s="26" t="s">
        <v>38</v>
      </c>
      <c r="T604" s="26" t="s">
        <v>39</v>
      </c>
      <c r="U604" s="27">
        <v>0.84745762711864414</v>
      </c>
      <c r="V604" s="33">
        <v>1</v>
      </c>
      <c r="AG604" s="31">
        <v>0.5</v>
      </c>
      <c r="AH604" t="s">
        <v>285</v>
      </c>
    </row>
    <row r="605" spans="1:34" s="6" customFormat="1">
      <c r="A605" s="15" t="s">
        <v>665</v>
      </c>
      <c r="B605" s="9" t="s">
        <v>666</v>
      </c>
      <c r="C605" s="45" t="s">
        <v>212</v>
      </c>
      <c r="D605" s="46" t="s">
        <v>41</v>
      </c>
      <c r="E605" s="47" t="s">
        <v>39</v>
      </c>
      <c r="F605" s="48">
        <v>1</v>
      </c>
      <c r="G605" s="49">
        <v>1</v>
      </c>
      <c r="H605" s="45"/>
      <c r="I605" s="46"/>
      <c r="J605" s="47"/>
      <c r="K605" s="48"/>
      <c r="L605" s="48"/>
      <c r="M605" s="72"/>
      <c r="N605" s="46"/>
      <c r="O605" s="47"/>
      <c r="P605" s="48"/>
      <c r="Q605" s="49"/>
      <c r="R605" s="54" t="s">
        <v>212</v>
      </c>
      <c r="S605" s="47" t="s">
        <v>41</v>
      </c>
      <c r="T605" s="47" t="s">
        <v>39</v>
      </c>
      <c r="U605" s="48">
        <v>0.80645161290322587</v>
      </c>
      <c r="V605" s="49">
        <v>1</v>
      </c>
      <c r="W605" s="28"/>
      <c r="X605" s="28"/>
      <c r="Y605" s="28"/>
      <c r="Z605" s="29"/>
      <c r="AA605" s="28"/>
      <c r="AB605" s="74"/>
      <c r="AC605" s="28"/>
      <c r="AD605" s="28"/>
      <c r="AE605" s="28"/>
      <c r="AF605" s="39"/>
      <c r="AG605" s="29">
        <v>1</v>
      </c>
      <c r="AH605" s="6" t="s">
        <v>73</v>
      </c>
    </row>
    <row r="606" spans="1:34">
      <c r="A606" s="15" t="s">
        <v>667</v>
      </c>
      <c r="B606" s="8" t="s">
        <v>666</v>
      </c>
      <c r="C606" s="41" t="s">
        <v>212</v>
      </c>
      <c r="D606" s="1" t="s">
        <v>41</v>
      </c>
      <c r="E606" s="26" t="s">
        <v>39</v>
      </c>
      <c r="F606" s="27">
        <v>1</v>
      </c>
      <c r="G606" s="33">
        <v>1</v>
      </c>
      <c r="H606" s="41"/>
      <c r="I606" s="1"/>
      <c r="J606" s="26"/>
      <c r="K606" s="27"/>
      <c r="L606" s="27"/>
      <c r="M606" s="70"/>
      <c r="N606" s="1"/>
      <c r="O606" s="26"/>
      <c r="P606" s="27"/>
      <c r="Q606" s="33"/>
      <c r="R606" s="55" t="s">
        <v>212</v>
      </c>
      <c r="S606" s="26" t="s">
        <v>41</v>
      </c>
      <c r="T606" s="26" t="s">
        <v>39</v>
      </c>
      <c r="U606" s="27">
        <v>0.80645161290322587</v>
      </c>
      <c r="V606" s="33">
        <v>1</v>
      </c>
      <c r="AG606" s="31">
        <v>1</v>
      </c>
      <c r="AH606" t="s">
        <v>73</v>
      </c>
    </row>
    <row r="607" spans="1:34">
      <c r="A607" s="15" t="s">
        <v>668</v>
      </c>
      <c r="B607" s="8" t="s">
        <v>666</v>
      </c>
      <c r="C607" s="41" t="s">
        <v>212</v>
      </c>
      <c r="D607" s="1" t="s">
        <v>41</v>
      </c>
      <c r="E607" s="26" t="s">
        <v>39</v>
      </c>
      <c r="F607" s="27">
        <v>1</v>
      </c>
      <c r="G607" s="33">
        <v>1</v>
      </c>
      <c r="H607" s="41"/>
      <c r="I607" s="1"/>
      <c r="J607" s="26"/>
      <c r="K607" s="27"/>
      <c r="L607" s="27"/>
      <c r="M607" s="70"/>
      <c r="N607" s="1"/>
      <c r="O607" s="26"/>
      <c r="P607" s="27"/>
      <c r="Q607" s="33"/>
      <c r="R607" s="55" t="s">
        <v>212</v>
      </c>
      <c r="S607" s="26" t="s">
        <v>41</v>
      </c>
      <c r="T607" s="26" t="s">
        <v>39</v>
      </c>
      <c r="U607" s="27">
        <v>0.80645161290322587</v>
      </c>
      <c r="V607" s="33">
        <v>1</v>
      </c>
      <c r="AG607" s="31">
        <v>1</v>
      </c>
      <c r="AH607" t="s">
        <v>73</v>
      </c>
    </row>
    <row r="608" spans="1:34">
      <c r="A608" s="15" t="s">
        <v>669</v>
      </c>
      <c r="B608" s="8" t="s">
        <v>666</v>
      </c>
      <c r="C608" s="41" t="s">
        <v>212</v>
      </c>
      <c r="D608" s="1" t="s">
        <v>41</v>
      </c>
      <c r="E608" s="26" t="s">
        <v>39</v>
      </c>
      <c r="F608" s="27">
        <v>1</v>
      </c>
      <c r="G608" s="33">
        <v>1</v>
      </c>
      <c r="H608" s="41"/>
      <c r="I608" s="1"/>
      <c r="J608" s="26"/>
      <c r="K608" s="27"/>
      <c r="L608" s="27"/>
      <c r="M608" s="70"/>
      <c r="N608" s="1"/>
      <c r="O608" s="26"/>
      <c r="P608" s="27"/>
      <c r="Q608" s="33"/>
      <c r="R608" s="55" t="s">
        <v>212</v>
      </c>
      <c r="S608" s="26" t="s">
        <v>41</v>
      </c>
      <c r="T608" s="26" t="s">
        <v>39</v>
      </c>
      <c r="U608" s="27">
        <v>0.80645161290322587</v>
      </c>
      <c r="V608" s="33">
        <v>1</v>
      </c>
      <c r="AG608" s="31">
        <v>1</v>
      </c>
      <c r="AH608" t="s">
        <v>73</v>
      </c>
    </row>
    <row r="609" spans="1:34">
      <c r="A609" s="15" t="s">
        <v>670</v>
      </c>
      <c r="B609" s="8" t="s">
        <v>666</v>
      </c>
      <c r="C609" s="41" t="s">
        <v>212</v>
      </c>
      <c r="D609" s="1" t="s">
        <v>41</v>
      </c>
      <c r="E609" s="26" t="s">
        <v>39</v>
      </c>
      <c r="F609" s="27">
        <v>1</v>
      </c>
      <c r="G609" s="33">
        <v>1</v>
      </c>
      <c r="H609" s="41"/>
      <c r="I609" s="1"/>
      <c r="J609" s="26"/>
      <c r="K609" s="27"/>
      <c r="L609" s="27"/>
      <c r="M609" s="70"/>
      <c r="N609" s="1"/>
      <c r="O609" s="26"/>
      <c r="P609" s="27"/>
      <c r="Q609" s="33"/>
      <c r="R609" s="55" t="s">
        <v>212</v>
      </c>
      <c r="S609" s="26" t="s">
        <v>41</v>
      </c>
      <c r="T609" s="26" t="s">
        <v>39</v>
      </c>
      <c r="U609" s="27">
        <v>0.80645161290322587</v>
      </c>
      <c r="V609" s="33">
        <v>1</v>
      </c>
      <c r="AG609" s="31">
        <v>1</v>
      </c>
      <c r="AH609" t="s">
        <v>73</v>
      </c>
    </row>
    <row r="610" spans="1:34">
      <c r="A610" s="15" t="s">
        <v>671</v>
      </c>
      <c r="B610" s="8" t="s">
        <v>666</v>
      </c>
      <c r="C610" s="41" t="s">
        <v>212</v>
      </c>
      <c r="D610" s="1" t="s">
        <v>41</v>
      </c>
      <c r="E610" s="26" t="s">
        <v>39</v>
      </c>
      <c r="F610" s="27">
        <v>1</v>
      </c>
      <c r="G610" s="33">
        <v>1</v>
      </c>
      <c r="H610" s="41"/>
      <c r="I610" s="1"/>
      <c r="J610" s="26"/>
      <c r="K610" s="27"/>
      <c r="L610" s="27"/>
      <c r="M610" s="70"/>
      <c r="N610" s="1"/>
      <c r="O610" s="26"/>
      <c r="P610" s="27"/>
      <c r="Q610" s="33"/>
      <c r="R610" s="55" t="s">
        <v>212</v>
      </c>
      <c r="S610" s="26" t="s">
        <v>41</v>
      </c>
      <c r="T610" s="26" t="s">
        <v>39</v>
      </c>
      <c r="U610" s="27">
        <v>0.80645161290322587</v>
      </c>
      <c r="V610" s="33">
        <v>1</v>
      </c>
      <c r="AG610" s="31">
        <v>1</v>
      </c>
      <c r="AH610" t="s">
        <v>73</v>
      </c>
    </row>
    <row r="611" spans="1:34">
      <c r="A611" s="15" t="s">
        <v>672</v>
      </c>
      <c r="B611" s="8" t="s">
        <v>666</v>
      </c>
      <c r="C611" s="41" t="s">
        <v>212</v>
      </c>
      <c r="D611" s="1" t="s">
        <v>41</v>
      </c>
      <c r="E611" s="26" t="s">
        <v>39</v>
      </c>
      <c r="F611" s="27">
        <v>1</v>
      </c>
      <c r="G611" s="33">
        <v>1</v>
      </c>
      <c r="H611" s="41"/>
      <c r="I611" s="1"/>
      <c r="J611" s="26"/>
      <c r="K611" s="27"/>
      <c r="L611" s="27"/>
      <c r="M611" s="70"/>
      <c r="N611" s="1"/>
      <c r="O611" s="26"/>
      <c r="P611" s="27"/>
      <c r="Q611" s="33"/>
      <c r="R611" s="55" t="s">
        <v>212</v>
      </c>
      <c r="S611" s="26" t="s">
        <v>41</v>
      </c>
      <c r="T611" s="26" t="s">
        <v>39</v>
      </c>
      <c r="U611" s="27">
        <v>0.80645161290322587</v>
      </c>
      <c r="V611" s="33">
        <v>1</v>
      </c>
      <c r="AG611" s="31">
        <v>1</v>
      </c>
      <c r="AH611" t="s">
        <v>73</v>
      </c>
    </row>
    <row r="612" spans="1:34">
      <c r="A612" s="15" t="s">
        <v>673</v>
      </c>
      <c r="B612" s="8" t="s">
        <v>666</v>
      </c>
      <c r="C612" s="41" t="s">
        <v>212</v>
      </c>
      <c r="D612" s="1" t="s">
        <v>41</v>
      </c>
      <c r="E612" s="26" t="s">
        <v>39</v>
      </c>
      <c r="F612" s="27">
        <v>1</v>
      </c>
      <c r="G612" s="33">
        <v>1</v>
      </c>
      <c r="H612" s="41"/>
      <c r="I612" s="1"/>
      <c r="J612" s="26"/>
      <c r="K612" s="27"/>
      <c r="L612" s="27"/>
      <c r="M612" s="70"/>
      <c r="N612" s="1"/>
      <c r="O612" s="26"/>
      <c r="P612" s="27"/>
      <c r="Q612" s="33"/>
      <c r="R612" s="55" t="s">
        <v>212</v>
      </c>
      <c r="S612" s="26" t="s">
        <v>41</v>
      </c>
      <c r="T612" s="26" t="s">
        <v>39</v>
      </c>
      <c r="U612" s="27">
        <v>0.80645161290322587</v>
      </c>
      <c r="V612" s="33">
        <v>1</v>
      </c>
      <c r="AG612" s="31">
        <v>1</v>
      </c>
      <c r="AH612" t="s">
        <v>73</v>
      </c>
    </row>
    <row r="613" spans="1:34">
      <c r="A613" s="15" t="s">
        <v>674</v>
      </c>
      <c r="B613" s="8" t="s">
        <v>666</v>
      </c>
      <c r="C613" s="41" t="s">
        <v>212</v>
      </c>
      <c r="D613" s="1" t="s">
        <v>41</v>
      </c>
      <c r="E613" s="26" t="s">
        <v>39</v>
      </c>
      <c r="F613" s="27">
        <v>1</v>
      </c>
      <c r="G613" s="33">
        <v>1</v>
      </c>
      <c r="H613" s="41"/>
      <c r="I613" s="1"/>
      <c r="J613" s="26"/>
      <c r="K613" s="27"/>
      <c r="L613" s="27"/>
      <c r="M613" s="70"/>
      <c r="N613" s="1"/>
      <c r="O613" s="26"/>
      <c r="P613" s="27"/>
      <c r="Q613" s="33"/>
      <c r="R613" s="55" t="s">
        <v>212</v>
      </c>
      <c r="S613" s="26" t="s">
        <v>41</v>
      </c>
      <c r="T613" s="26" t="s">
        <v>39</v>
      </c>
      <c r="U613" s="27">
        <v>0.80645161290322587</v>
      </c>
      <c r="V613" s="33">
        <v>1</v>
      </c>
      <c r="AG613" s="31">
        <v>1</v>
      </c>
      <c r="AH613" t="s">
        <v>73</v>
      </c>
    </row>
    <row r="614" spans="1:34">
      <c r="A614" s="15" t="s">
        <v>675</v>
      </c>
      <c r="B614" s="8" t="s">
        <v>666</v>
      </c>
      <c r="C614" s="41" t="s">
        <v>212</v>
      </c>
      <c r="D614" s="1" t="s">
        <v>41</v>
      </c>
      <c r="E614" s="26" t="s">
        <v>39</v>
      </c>
      <c r="F614" s="27">
        <v>1</v>
      </c>
      <c r="G614" s="33">
        <v>1</v>
      </c>
      <c r="H614" s="41"/>
      <c r="I614" s="1"/>
      <c r="J614" s="26"/>
      <c r="K614" s="27"/>
      <c r="L614" s="27"/>
      <c r="M614" s="70"/>
      <c r="N614" s="1"/>
      <c r="O614" s="26"/>
      <c r="P614" s="27"/>
      <c r="Q614" s="33"/>
      <c r="R614" s="55" t="s">
        <v>212</v>
      </c>
      <c r="S614" s="26" t="s">
        <v>41</v>
      </c>
      <c r="T614" s="26" t="s">
        <v>39</v>
      </c>
      <c r="U614" s="27">
        <v>0.80645161290322587</v>
      </c>
      <c r="V614" s="33">
        <v>1</v>
      </c>
      <c r="AG614" s="31">
        <v>1</v>
      </c>
      <c r="AH614" t="s">
        <v>73</v>
      </c>
    </row>
    <row r="615" spans="1:34">
      <c r="A615" s="15" t="s">
        <v>676</v>
      </c>
      <c r="B615" s="8" t="s">
        <v>666</v>
      </c>
      <c r="C615" s="41" t="s">
        <v>212</v>
      </c>
      <c r="D615" s="1" t="s">
        <v>41</v>
      </c>
      <c r="E615" s="26" t="s">
        <v>39</v>
      </c>
      <c r="F615" s="27">
        <v>1</v>
      </c>
      <c r="G615" s="33">
        <v>1</v>
      </c>
      <c r="H615" s="41"/>
      <c r="I615" s="1"/>
      <c r="J615" s="26"/>
      <c r="K615" s="27"/>
      <c r="L615" s="27"/>
      <c r="M615" s="70"/>
      <c r="N615" s="1"/>
      <c r="O615" s="26"/>
      <c r="P615" s="27"/>
      <c r="Q615" s="33"/>
      <c r="R615" s="55" t="s">
        <v>212</v>
      </c>
      <c r="S615" s="26" t="s">
        <v>41</v>
      </c>
      <c r="T615" s="26" t="s">
        <v>39</v>
      </c>
      <c r="U615" s="27">
        <v>0.80645161290322587</v>
      </c>
      <c r="V615" s="33">
        <v>1</v>
      </c>
      <c r="AG615" s="31">
        <v>1</v>
      </c>
      <c r="AH615" t="s">
        <v>73</v>
      </c>
    </row>
    <row r="616" spans="1:34">
      <c r="A616" s="15" t="s">
        <v>677</v>
      </c>
      <c r="B616" s="8" t="s">
        <v>666</v>
      </c>
      <c r="C616" s="41" t="s">
        <v>212</v>
      </c>
      <c r="D616" s="1" t="s">
        <v>41</v>
      </c>
      <c r="E616" s="26" t="s">
        <v>39</v>
      </c>
      <c r="F616" s="27">
        <v>1</v>
      </c>
      <c r="G616" s="33">
        <v>1</v>
      </c>
      <c r="H616" s="41"/>
      <c r="I616" s="1"/>
      <c r="J616" s="26"/>
      <c r="K616" s="27"/>
      <c r="L616" s="27"/>
      <c r="M616" s="70"/>
      <c r="N616" s="1"/>
      <c r="O616" s="26"/>
      <c r="P616" s="27"/>
      <c r="Q616" s="33"/>
      <c r="R616" s="55" t="s">
        <v>212</v>
      </c>
      <c r="S616" s="26" t="s">
        <v>41</v>
      </c>
      <c r="T616" s="26" t="s">
        <v>39</v>
      </c>
      <c r="U616" s="27">
        <v>0.80645161290322587</v>
      </c>
      <c r="V616" s="33">
        <v>1</v>
      </c>
      <c r="AG616" s="31">
        <v>1</v>
      </c>
      <c r="AH616" t="s">
        <v>73</v>
      </c>
    </row>
    <row r="617" spans="1:34">
      <c r="A617" s="15" t="s">
        <v>678</v>
      </c>
      <c r="B617" s="8" t="s">
        <v>666</v>
      </c>
      <c r="C617" s="41" t="s">
        <v>212</v>
      </c>
      <c r="D617" s="1" t="s">
        <v>41</v>
      </c>
      <c r="E617" s="26" t="s">
        <v>39</v>
      </c>
      <c r="F617" s="27">
        <v>1</v>
      </c>
      <c r="G617" s="33">
        <v>1</v>
      </c>
      <c r="H617" s="41"/>
      <c r="I617" s="1"/>
      <c r="J617" s="26"/>
      <c r="K617" s="27"/>
      <c r="L617" s="27"/>
      <c r="M617" s="70"/>
      <c r="N617" s="1"/>
      <c r="O617" s="26"/>
      <c r="P617" s="27"/>
      <c r="Q617" s="33"/>
      <c r="R617" s="55" t="s">
        <v>212</v>
      </c>
      <c r="S617" s="26" t="s">
        <v>41</v>
      </c>
      <c r="T617" s="26" t="s">
        <v>39</v>
      </c>
      <c r="U617" s="27">
        <v>0.80645161290322587</v>
      </c>
      <c r="V617" s="33">
        <v>1</v>
      </c>
      <c r="AG617" s="31">
        <v>1</v>
      </c>
      <c r="AH617" t="s">
        <v>73</v>
      </c>
    </row>
    <row r="618" spans="1:34">
      <c r="A618" s="15" t="s">
        <v>679</v>
      </c>
      <c r="B618" s="8" t="s">
        <v>666</v>
      </c>
      <c r="C618" s="41" t="s">
        <v>212</v>
      </c>
      <c r="D618" s="1" t="s">
        <v>41</v>
      </c>
      <c r="E618" s="26" t="s">
        <v>39</v>
      </c>
      <c r="F618" s="27">
        <v>1</v>
      </c>
      <c r="G618" s="33">
        <v>1</v>
      </c>
      <c r="H618" s="41"/>
      <c r="I618" s="1"/>
      <c r="J618" s="26"/>
      <c r="K618" s="27"/>
      <c r="L618" s="27"/>
      <c r="M618" s="70"/>
      <c r="N618" s="1"/>
      <c r="O618" s="26"/>
      <c r="P618" s="27"/>
      <c r="Q618" s="33"/>
      <c r="R618" s="55" t="s">
        <v>212</v>
      </c>
      <c r="S618" s="26" t="s">
        <v>41</v>
      </c>
      <c r="T618" s="26" t="s">
        <v>39</v>
      </c>
      <c r="U618" s="27">
        <v>0.80645161290322587</v>
      </c>
      <c r="V618" s="33">
        <v>1</v>
      </c>
      <c r="AG618" s="31">
        <v>1</v>
      </c>
      <c r="AH618" t="s">
        <v>73</v>
      </c>
    </row>
    <row r="619" spans="1:34">
      <c r="A619" s="15" t="s">
        <v>680</v>
      </c>
      <c r="B619" s="8" t="s">
        <v>666</v>
      </c>
      <c r="C619" s="41" t="s">
        <v>37</v>
      </c>
      <c r="D619" s="1" t="s">
        <v>38</v>
      </c>
      <c r="E619" s="26" t="s">
        <v>39</v>
      </c>
      <c r="F619" s="27">
        <v>1</v>
      </c>
      <c r="G619" s="27">
        <v>0.5</v>
      </c>
      <c r="H619" s="41" t="s">
        <v>227</v>
      </c>
      <c r="I619" s="26" t="s">
        <v>41</v>
      </c>
      <c r="J619" s="26" t="s">
        <v>42</v>
      </c>
      <c r="K619" s="27">
        <v>0.94339622641509424</v>
      </c>
      <c r="L619" s="27">
        <v>0.5</v>
      </c>
      <c r="M619" s="70"/>
      <c r="N619" s="26"/>
      <c r="O619" s="26"/>
      <c r="P619" s="27"/>
      <c r="Q619" s="33"/>
      <c r="R619" s="55" t="s">
        <v>212</v>
      </c>
      <c r="S619" s="26" t="s">
        <v>41</v>
      </c>
      <c r="T619" s="26" t="s">
        <v>39</v>
      </c>
      <c r="U619" s="27">
        <v>0.80645161290322587</v>
      </c>
      <c r="V619" s="33">
        <v>1</v>
      </c>
      <c r="AG619" s="31">
        <v>1</v>
      </c>
      <c r="AH619" t="s">
        <v>73</v>
      </c>
    </row>
    <row r="620" spans="1:34">
      <c r="A620" s="15" t="s">
        <v>681</v>
      </c>
      <c r="B620" s="8" t="s">
        <v>666</v>
      </c>
      <c r="C620" s="41" t="s">
        <v>37</v>
      </c>
      <c r="D620" s="1" t="s">
        <v>38</v>
      </c>
      <c r="E620" s="26" t="s">
        <v>39</v>
      </c>
      <c r="F620" s="27">
        <v>1</v>
      </c>
      <c r="G620" s="27">
        <v>0.5</v>
      </c>
      <c r="H620" s="41" t="s">
        <v>227</v>
      </c>
      <c r="I620" s="26" t="s">
        <v>41</v>
      </c>
      <c r="J620" s="26" t="s">
        <v>42</v>
      </c>
      <c r="K620" s="27">
        <v>0.94339622641509424</v>
      </c>
      <c r="L620" s="27">
        <v>0.5</v>
      </c>
      <c r="M620" s="70"/>
      <c r="N620" s="26"/>
      <c r="O620" s="26"/>
      <c r="P620" s="27"/>
      <c r="Q620" s="33"/>
      <c r="R620" s="55" t="s">
        <v>212</v>
      </c>
      <c r="S620" s="26" t="s">
        <v>41</v>
      </c>
      <c r="T620" s="26" t="s">
        <v>39</v>
      </c>
      <c r="U620" s="27">
        <v>0.80645161290322587</v>
      </c>
      <c r="V620" s="33">
        <v>1</v>
      </c>
      <c r="AG620" s="31">
        <v>1</v>
      </c>
      <c r="AH620" t="s">
        <v>73</v>
      </c>
    </row>
    <row r="621" spans="1:34">
      <c r="A621" s="15" t="s">
        <v>682</v>
      </c>
      <c r="B621" s="8" t="s">
        <v>666</v>
      </c>
      <c r="C621" s="41" t="s">
        <v>37</v>
      </c>
      <c r="D621" s="1" t="s">
        <v>38</v>
      </c>
      <c r="E621" s="26" t="s">
        <v>39</v>
      </c>
      <c r="F621" s="27">
        <v>1</v>
      </c>
      <c r="G621" s="27">
        <v>0.5</v>
      </c>
      <c r="H621" s="41" t="s">
        <v>227</v>
      </c>
      <c r="I621" s="26" t="s">
        <v>41</v>
      </c>
      <c r="J621" s="26" t="s">
        <v>42</v>
      </c>
      <c r="K621" s="27">
        <v>0.94339622641509424</v>
      </c>
      <c r="L621" s="27">
        <v>0.5</v>
      </c>
      <c r="M621" s="70"/>
      <c r="N621" s="26"/>
      <c r="O621" s="26"/>
      <c r="P621" s="27"/>
      <c r="Q621" s="33"/>
      <c r="R621" s="55" t="s">
        <v>212</v>
      </c>
      <c r="S621" s="26" t="s">
        <v>41</v>
      </c>
      <c r="T621" s="26" t="s">
        <v>39</v>
      </c>
      <c r="U621" s="27">
        <v>0.80645161290322587</v>
      </c>
      <c r="V621" s="33">
        <v>1</v>
      </c>
      <c r="AG621" s="31">
        <v>1</v>
      </c>
      <c r="AH621" t="s">
        <v>73</v>
      </c>
    </row>
    <row r="622" spans="1:34">
      <c r="A622" s="15" t="s">
        <v>683</v>
      </c>
      <c r="B622" s="8" t="s">
        <v>666</v>
      </c>
      <c r="C622" s="41" t="s">
        <v>37</v>
      </c>
      <c r="D622" s="1" t="s">
        <v>38</v>
      </c>
      <c r="E622" s="26" t="s">
        <v>39</v>
      </c>
      <c r="F622" s="27">
        <v>1</v>
      </c>
      <c r="G622" s="27">
        <v>0.5</v>
      </c>
      <c r="H622" s="41" t="s">
        <v>227</v>
      </c>
      <c r="I622" s="26" t="s">
        <v>41</v>
      </c>
      <c r="J622" s="26" t="s">
        <v>42</v>
      </c>
      <c r="K622" s="27">
        <v>0.94339622641509424</v>
      </c>
      <c r="L622" s="27">
        <v>0.5</v>
      </c>
      <c r="M622" s="70"/>
      <c r="N622" s="26"/>
      <c r="O622" s="26"/>
      <c r="P622" s="27"/>
      <c r="Q622" s="33"/>
      <c r="R622" s="55" t="s">
        <v>212</v>
      </c>
      <c r="S622" s="26" t="s">
        <v>41</v>
      </c>
      <c r="T622" s="26" t="s">
        <v>39</v>
      </c>
      <c r="U622" s="27">
        <v>0.80645161290322587</v>
      </c>
      <c r="V622" s="33">
        <v>1</v>
      </c>
      <c r="AG622" s="31">
        <v>1</v>
      </c>
      <c r="AH622" t="s">
        <v>73</v>
      </c>
    </row>
    <row r="623" spans="1:34">
      <c r="A623" s="15" t="s">
        <v>684</v>
      </c>
      <c r="B623" s="8" t="s">
        <v>666</v>
      </c>
      <c r="C623" s="41" t="s">
        <v>37</v>
      </c>
      <c r="D623" s="1" t="s">
        <v>38</v>
      </c>
      <c r="E623" s="26" t="s">
        <v>39</v>
      </c>
      <c r="F623" s="27">
        <v>1</v>
      </c>
      <c r="G623" s="27">
        <v>0.5</v>
      </c>
      <c r="H623" s="41" t="s">
        <v>227</v>
      </c>
      <c r="I623" s="26" t="s">
        <v>41</v>
      </c>
      <c r="J623" s="26" t="s">
        <v>42</v>
      </c>
      <c r="K623" s="27">
        <v>0.94339622641509424</v>
      </c>
      <c r="L623" s="27">
        <v>0.5</v>
      </c>
      <c r="M623" s="70"/>
      <c r="N623" s="26"/>
      <c r="O623" s="26"/>
      <c r="P623" s="27"/>
      <c r="Q623" s="33"/>
      <c r="R623" s="55" t="s">
        <v>212</v>
      </c>
      <c r="S623" s="26" t="s">
        <v>41</v>
      </c>
      <c r="T623" s="26" t="s">
        <v>39</v>
      </c>
      <c r="U623" s="27">
        <v>0.80645161290322587</v>
      </c>
      <c r="V623" s="33">
        <v>1</v>
      </c>
      <c r="AG623" s="31">
        <v>1</v>
      </c>
      <c r="AH623" t="s">
        <v>73</v>
      </c>
    </row>
    <row r="624" spans="1:34">
      <c r="A624" s="15" t="s">
        <v>685</v>
      </c>
      <c r="B624" s="8" t="s">
        <v>666</v>
      </c>
      <c r="C624" s="41" t="s">
        <v>37</v>
      </c>
      <c r="D624" s="1" t="s">
        <v>38</v>
      </c>
      <c r="E624" s="26" t="s">
        <v>39</v>
      </c>
      <c r="F624" s="27">
        <v>1</v>
      </c>
      <c r="G624" s="27">
        <v>0.5</v>
      </c>
      <c r="H624" s="41" t="s">
        <v>227</v>
      </c>
      <c r="I624" s="26" t="s">
        <v>41</v>
      </c>
      <c r="J624" s="26" t="s">
        <v>42</v>
      </c>
      <c r="K624" s="27">
        <v>0.94339622641509424</v>
      </c>
      <c r="L624" s="27">
        <v>0.5</v>
      </c>
      <c r="M624" s="70"/>
      <c r="N624" s="26"/>
      <c r="O624" s="26"/>
      <c r="P624" s="27"/>
      <c r="Q624" s="33"/>
      <c r="R624" s="55" t="s">
        <v>212</v>
      </c>
      <c r="S624" s="26" t="s">
        <v>41</v>
      </c>
      <c r="T624" s="26" t="s">
        <v>39</v>
      </c>
      <c r="U624" s="27">
        <v>0.80645161290322587</v>
      </c>
      <c r="V624" s="33">
        <v>1</v>
      </c>
      <c r="AG624" s="31">
        <v>1</v>
      </c>
      <c r="AH624" t="s">
        <v>73</v>
      </c>
    </row>
    <row r="625" spans="1:34">
      <c r="A625" s="15" t="s">
        <v>686</v>
      </c>
      <c r="B625" s="8" t="s">
        <v>666</v>
      </c>
      <c r="C625" s="41" t="s">
        <v>37</v>
      </c>
      <c r="D625" s="1" t="s">
        <v>38</v>
      </c>
      <c r="E625" s="26" t="s">
        <v>39</v>
      </c>
      <c r="F625" s="27">
        <v>1</v>
      </c>
      <c r="G625" s="27">
        <v>0.5</v>
      </c>
      <c r="H625" s="41" t="s">
        <v>227</v>
      </c>
      <c r="I625" s="26" t="s">
        <v>41</v>
      </c>
      <c r="J625" s="26" t="s">
        <v>42</v>
      </c>
      <c r="K625" s="27">
        <v>0.94339622641509424</v>
      </c>
      <c r="L625" s="27">
        <v>0.5</v>
      </c>
      <c r="M625" s="70"/>
      <c r="N625" s="26"/>
      <c r="O625" s="26"/>
      <c r="P625" s="27"/>
      <c r="Q625" s="33"/>
      <c r="R625" s="55" t="s">
        <v>212</v>
      </c>
      <c r="S625" s="26" t="s">
        <v>41</v>
      </c>
      <c r="T625" s="26" t="s">
        <v>39</v>
      </c>
      <c r="U625" s="27">
        <v>0.80645161290322587</v>
      </c>
      <c r="V625" s="33">
        <v>1</v>
      </c>
      <c r="AG625" s="31">
        <v>1</v>
      </c>
      <c r="AH625" t="s">
        <v>73</v>
      </c>
    </row>
    <row r="626" spans="1:34">
      <c r="A626" s="15" t="s">
        <v>687</v>
      </c>
      <c r="B626" s="8" t="s">
        <v>666</v>
      </c>
      <c r="C626" s="41" t="s">
        <v>37</v>
      </c>
      <c r="D626" s="1" t="s">
        <v>38</v>
      </c>
      <c r="E626" s="26" t="s">
        <v>39</v>
      </c>
      <c r="F626" s="27">
        <v>1</v>
      </c>
      <c r="G626" s="27">
        <v>0.5</v>
      </c>
      <c r="H626" s="41" t="s">
        <v>227</v>
      </c>
      <c r="I626" s="26" t="s">
        <v>41</v>
      </c>
      <c r="J626" s="26" t="s">
        <v>42</v>
      </c>
      <c r="K626" s="27">
        <v>0.94339622641509424</v>
      </c>
      <c r="L626" s="27">
        <v>0.5</v>
      </c>
      <c r="M626" s="70"/>
      <c r="N626" s="26"/>
      <c r="O626" s="26"/>
      <c r="P626" s="27"/>
      <c r="Q626" s="33"/>
      <c r="R626" s="55" t="s">
        <v>212</v>
      </c>
      <c r="S626" s="26" t="s">
        <v>41</v>
      </c>
      <c r="T626" s="26" t="s">
        <v>39</v>
      </c>
      <c r="U626" s="27">
        <v>0.80645161290322587</v>
      </c>
      <c r="V626" s="33">
        <v>1</v>
      </c>
      <c r="AG626" s="31">
        <v>1</v>
      </c>
      <c r="AH626" t="s">
        <v>73</v>
      </c>
    </row>
    <row r="627" spans="1:34">
      <c r="A627" s="15" t="s">
        <v>688</v>
      </c>
      <c r="B627" s="8" t="s">
        <v>666</v>
      </c>
      <c r="C627" s="41" t="s">
        <v>37</v>
      </c>
      <c r="D627" s="1" t="s">
        <v>38</v>
      </c>
      <c r="E627" s="26" t="s">
        <v>39</v>
      </c>
      <c r="F627" s="27">
        <v>1</v>
      </c>
      <c r="G627" s="27">
        <v>0.5</v>
      </c>
      <c r="H627" s="41" t="s">
        <v>227</v>
      </c>
      <c r="I627" s="26" t="s">
        <v>41</v>
      </c>
      <c r="J627" s="26" t="s">
        <v>42</v>
      </c>
      <c r="K627" s="27">
        <v>0.94339622641509424</v>
      </c>
      <c r="L627" s="27">
        <v>0.5</v>
      </c>
      <c r="M627" s="70"/>
      <c r="N627" s="26"/>
      <c r="O627" s="26"/>
      <c r="P627" s="27"/>
      <c r="Q627" s="33"/>
      <c r="R627" s="55" t="s">
        <v>212</v>
      </c>
      <c r="S627" s="26" t="s">
        <v>41</v>
      </c>
      <c r="T627" s="26" t="s">
        <v>39</v>
      </c>
      <c r="U627" s="27">
        <v>0.80645161290322587</v>
      </c>
      <c r="V627" s="33">
        <v>1</v>
      </c>
      <c r="AG627" s="31">
        <v>1</v>
      </c>
      <c r="AH627" t="s">
        <v>73</v>
      </c>
    </row>
    <row r="628" spans="1:34">
      <c r="A628" s="15" t="s">
        <v>689</v>
      </c>
      <c r="B628" s="8" t="s">
        <v>666</v>
      </c>
      <c r="C628" s="41" t="s">
        <v>37</v>
      </c>
      <c r="D628" s="1" t="s">
        <v>38</v>
      </c>
      <c r="E628" s="26" t="s">
        <v>39</v>
      </c>
      <c r="F628" s="27">
        <v>1</v>
      </c>
      <c r="G628" s="27">
        <v>0.5</v>
      </c>
      <c r="H628" s="41" t="s">
        <v>227</v>
      </c>
      <c r="I628" s="26" t="s">
        <v>41</v>
      </c>
      <c r="J628" s="26" t="s">
        <v>42</v>
      </c>
      <c r="K628" s="27">
        <v>0.94339622641509424</v>
      </c>
      <c r="L628" s="27">
        <v>0.5</v>
      </c>
      <c r="M628" s="70"/>
      <c r="N628" s="26"/>
      <c r="O628" s="26"/>
      <c r="P628" s="27"/>
      <c r="Q628" s="33"/>
      <c r="R628" s="55" t="s">
        <v>212</v>
      </c>
      <c r="S628" s="26" t="s">
        <v>41</v>
      </c>
      <c r="T628" s="26" t="s">
        <v>39</v>
      </c>
      <c r="U628" s="27">
        <v>0.80645161290322587</v>
      </c>
      <c r="V628" s="33">
        <v>1</v>
      </c>
      <c r="AG628" s="31">
        <v>1</v>
      </c>
      <c r="AH628" t="s">
        <v>73</v>
      </c>
    </row>
    <row r="629" spans="1:34">
      <c r="A629" s="15" t="s">
        <v>690</v>
      </c>
      <c r="B629" s="8" t="s">
        <v>666</v>
      </c>
      <c r="C629" s="41" t="s">
        <v>37</v>
      </c>
      <c r="D629" s="1" t="s">
        <v>38</v>
      </c>
      <c r="E629" s="26" t="s">
        <v>39</v>
      </c>
      <c r="F629" s="27">
        <v>1</v>
      </c>
      <c r="G629" s="27">
        <v>0.5</v>
      </c>
      <c r="H629" s="41" t="s">
        <v>227</v>
      </c>
      <c r="I629" s="26" t="s">
        <v>41</v>
      </c>
      <c r="J629" s="26" t="s">
        <v>42</v>
      </c>
      <c r="K629" s="27">
        <v>0.94339622641509424</v>
      </c>
      <c r="L629" s="27">
        <v>0.5</v>
      </c>
      <c r="M629" s="70"/>
      <c r="N629" s="26"/>
      <c r="O629" s="26"/>
      <c r="P629" s="27"/>
      <c r="Q629" s="33"/>
      <c r="R629" s="55" t="s">
        <v>212</v>
      </c>
      <c r="S629" s="26" t="s">
        <v>41</v>
      </c>
      <c r="T629" s="26" t="s">
        <v>39</v>
      </c>
      <c r="U629" s="27">
        <v>0.80645161290322587</v>
      </c>
      <c r="V629" s="33">
        <v>1</v>
      </c>
      <c r="AG629" s="31">
        <v>1</v>
      </c>
      <c r="AH629" t="s">
        <v>73</v>
      </c>
    </row>
    <row r="630" spans="1:34">
      <c r="A630" s="15" t="s">
        <v>691</v>
      </c>
      <c r="B630" s="8" t="s">
        <v>666</v>
      </c>
      <c r="C630" s="41" t="s">
        <v>37</v>
      </c>
      <c r="D630" s="1" t="s">
        <v>38</v>
      </c>
      <c r="E630" s="26" t="s">
        <v>39</v>
      </c>
      <c r="F630" s="27">
        <v>1</v>
      </c>
      <c r="G630" s="27">
        <v>0.5</v>
      </c>
      <c r="H630" s="41" t="s">
        <v>227</v>
      </c>
      <c r="I630" s="26" t="s">
        <v>41</v>
      </c>
      <c r="J630" s="26" t="s">
        <v>42</v>
      </c>
      <c r="K630" s="27">
        <v>0.94339622641509424</v>
      </c>
      <c r="L630" s="27">
        <v>0.5</v>
      </c>
      <c r="M630" s="70"/>
      <c r="N630" s="26"/>
      <c r="O630" s="26"/>
      <c r="P630" s="27"/>
      <c r="Q630" s="33"/>
      <c r="R630" s="55" t="s">
        <v>212</v>
      </c>
      <c r="S630" s="26" t="s">
        <v>41</v>
      </c>
      <c r="T630" s="26" t="s">
        <v>39</v>
      </c>
      <c r="U630" s="27">
        <v>0.80645161290322587</v>
      </c>
      <c r="V630" s="33">
        <v>1</v>
      </c>
      <c r="AG630" s="31">
        <v>1</v>
      </c>
      <c r="AH630" t="s">
        <v>73</v>
      </c>
    </row>
    <row r="631" spans="1:34">
      <c r="A631" s="15" t="s">
        <v>692</v>
      </c>
      <c r="B631" s="8" t="s">
        <v>666</v>
      </c>
      <c r="C631" s="41" t="s">
        <v>37</v>
      </c>
      <c r="D631" s="1" t="s">
        <v>38</v>
      </c>
      <c r="E631" s="26" t="s">
        <v>39</v>
      </c>
      <c r="F631" s="27">
        <v>1</v>
      </c>
      <c r="G631" s="27">
        <v>0.5</v>
      </c>
      <c r="H631" s="41" t="s">
        <v>227</v>
      </c>
      <c r="I631" s="26" t="s">
        <v>41</v>
      </c>
      <c r="J631" s="26" t="s">
        <v>42</v>
      </c>
      <c r="K631" s="27">
        <v>0.94339622641509424</v>
      </c>
      <c r="L631" s="27">
        <v>0.5</v>
      </c>
      <c r="M631" s="70"/>
      <c r="N631" s="26"/>
      <c r="O631" s="26"/>
      <c r="P631" s="27"/>
      <c r="Q631" s="33"/>
      <c r="R631" s="55" t="s">
        <v>212</v>
      </c>
      <c r="S631" s="26" t="s">
        <v>41</v>
      </c>
      <c r="T631" s="26" t="s">
        <v>39</v>
      </c>
      <c r="U631" s="27">
        <v>0.80645161290322587</v>
      </c>
      <c r="V631" s="33">
        <v>1</v>
      </c>
      <c r="AG631" s="31">
        <v>1</v>
      </c>
      <c r="AH631" t="s">
        <v>73</v>
      </c>
    </row>
    <row r="632" spans="1:34">
      <c r="A632" s="15" t="s">
        <v>693</v>
      </c>
      <c r="B632" s="8" t="s">
        <v>666</v>
      </c>
      <c r="C632" s="41" t="s">
        <v>37</v>
      </c>
      <c r="D632" s="1" t="s">
        <v>38</v>
      </c>
      <c r="E632" s="26" t="s">
        <v>39</v>
      </c>
      <c r="F632" s="27">
        <v>1</v>
      </c>
      <c r="G632" s="27">
        <v>0.5</v>
      </c>
      <c r="H632" s="41" t="s">
        <v>227</v>
      </c>
      <c r="I632" s="26" t="s">
        <v>41</v>
      </c>
      <c r="J632" s="26" t="s">
        <v>42</v>
      </c>
      <c r="K632" s="27">
        <v>0.94339622641509424</v>
      </c>
      <c r="L632" s="27">
        <v>0.5</v>
      </c>
      <c r="M632" s="70"/>
      <c r="N632" s="26"/>
      <c r="O632" s="26"/>
      <c r="P632" s="27"/>
      <c r="Q632" s="33"/>
      <c r="R632" s="55" t="s">
        <v>212</v>
      </c>
      <c r="S632" s="26" t="s">
        <v>41</v>
      </c>
      <c r="T632" s="26" t="s">
        <v>39</v>
      </c>
      <c r="U632" s="27">
        <v>0.80645161290322587</v>
      </c>
      <c r="V632" s="33">
        <v>1</v>
      </c>
      <c r="AG632" s="31">
        <v>1</v>
      </c>
      <c r="AH632" t="s">
        <v>73</v>
      </c>
    </row>
    <row r="633" spans="1:34">
      <c r="A633" s="15" t="s">
        <v>694</v>
      </c>
      <c r="B633" s="8" t="s">
        <v>666</v>
      </c>
      <c r="C633" s="41" t="s">
        <v>37</v>
      </c>
      <c r="D633" s="1" t="s">
        <v>38</v>
      </c>
      <c r="E633" s="26" t="s">
        <v>39</v>
      </c>
      <c r="F633" s="27">
        <v>1</v>
      </c>
      <c r="G633" s="33">
        <v>1</v>
      </c>
      <c r="H633" s="41"/>
      <c r="I633" s="1"/>
      <c r="J633" s="26"/>
      <c r="K633" s="27"/>
      <c r="L633" s="27"/>
      <c r="M633" s="70"/>
      <c r="N633" s="1"/>
      <c r="O633" s="26"/>
      <c r="P633" s="27"/>
      <c r="Q633" s="27"/>
      <c r="R633" s="55" t="s">
        <v>242</v>
      </c>
      <c r="S633" s="26" t="s">
        <v>38</v>
      </c>
      <c r="T633" s="26" t="s">
        <v>39</v>
      </c>
      <c r="U633" s="27">
        <v>0.84745762711864414</v>
      </c>
      <c r="V633" s="33">
        <v>1</v>
      </c>
      <c r="AG633" s="31">
        <v>0</v>
      </c>
      <c r="AH633" t="s">
        <v>44</v>
      </c>
    </row>
    <row r="634" spans="1:34">
      <c r="A634" s="15" t="s">
        <v>695</v>
      </c>
      <c r="B634" s="8" t="s">
        <v>666</v>
      </c>
      <c r="C634" s="41" t="s">
        <v>37</v>
      </c>
      <c r="D634" s="1" t="s">
        <v>38</v>
      </c>
      <c r="E634" s="26" t="s">
        <v>39</v>
      </c>
      <c r="F634" s="27">
        <v>1</v>
      </c>
      <c r="G634" s="33">
        <v>1</v>
      </c>
      <c r="H634" s="41"/>
      <c r="I634" s="1"/>
      <c r="J634" s="26"/>
      <c r="K634" s="27"/>
      <c r="L634" s="27"/>
      <c r="M634" s="70"/>
      <c r="N634" s="1"/>
      <c r="O634" s="26"/>
      <c r="P634" s="27"/>
      <c r="Q634" s="27"/>
      <c r="R634" s="55" t="s">
        <v>242</v>
      </c>
      <c r="S634" s="26" t="s">
        <v>38</v>
      </c>
      <c r="T634" s="26" t="s">
        <v>39</v>
      </c>
      <c r="U634" s="27">
        <v>0.84745762711864414</v>
      </c>
      <c r="V634" s="33">
        <v>1</v>
      </c>
      <c r="AG634" s="31">
        <v>0</v>
      </c>
      <c r="AH634" t="s">
        <v>44</v>
      </c>
    </row>
    <row r="635" spans="1:34">
      <c r="A635" s="15" t="s">
        <v>696</v>
      </c>
      <c r="B635" s="8" t="s">
        <v>666</v>
      </c>
      <c r="C635" s="41" t="s">
        <v>37</v>
      </c>
      <c r="D635" s="1" t="s">
        <v>38</v>
      </c>
      <c r="E635" s="26" t="s">
        <v>39</v>
      </c>
      <c r="F635" s="27">
        <v>1</v>
      </c>
      <c r="G635" s="33">
        <v>1</v>
      </c>
      <c r="H635" s="41"/>
      <c r="I635" s="1"/>
      <c r="J635" s="26"/>
      <c r="K635" s="27"/>
      <c r="L635" s="27"/>
      <c r="M635" s="70"/>
      <c r="N635" s="1"/>
      <c r="O635" s="26"/>
      <c r="P635" s="27"/>
      <c r="Q635" s="27"/>
      <c r="R635" s="55" t="s">
        <v>242</v>
      </c>
      <c r="S635" s="26" t="s">
        <v>38</v>
      </c>
      <c r="T635" s="26" t="s">
        <v>39</v>
      </c>
      <c r="U635" s="27">
        <v>0.84745762711864414</v>
      </c>
      <c r="V635" s="33">
        <v>1</v>
      </c>
      <c r="AG635" s="31">
        <v>0</v>
      </c>
      <c r="AH635" t="s">
        <v>44</v>
      </c>
    </row>
    <row r="636" spans="1:34">
      <c r="A636" s="15" t="s">
        <v>697</v>
      </c>
      <c r="B636" s="8" t="s">
        <v>666</v>
      </c>
      <c r="C636" s="41" t="s">
        <v>37</v>
      </c>
      <c r="D636" s="1" t="s">
        <v>38</v>
      </c>
      <c r="E636" s="26" t="s">
        <v>39</v>
      </c>
      <c r="F636" s="27">
        <v>1</v>
      </c>
      <c r="G636" s="33">
        <v>1</v>
      </c>
      <c r="H636" s="41"/>
      <c r="I636" s="1"/>
      <c r="J636" s="26"/>
      <c r="K636" s="27"/>
      <c r="L636" s="27"/>
      <c r="M636" s="70"/>
      <c r="N636" s="1"/>
      <c r="O636" s="26"/>
      <c r="P636" s="27"/>
      <c r="Q636" s="27"/>
      <c r="R636" s="55" t="s">
        <v>242</v>
      </c>
      <c r="S636" s="26" t="s">
        <v>38</v>
      </c>
      <c r="T636" s="26" t="s">
        <v>39</v>
      </c>
      <c r="U636" s="27">
        <v>0.84745762711864414</v>
      </c>
      <c r="V636" s="33">
        <v>1</v>
      </c>
      <c r="AG636" s="31">
        <v>0</v>
      </c>
      <c r="AH636" t="s">
        <v>44</v>
      </c>
    </row>
    <row r="637" spans="1:34">
      <c r="A637" s="15" t="s">
        <v>698</v>
      </c>
      <c r="B637" s="8" t="s">
        <v>666</v>
      </c>
      <c r="C637" s="41" t="s">
        <v>37</v>
      </c>
      <c r="D637" s="1" t="s">
        <v>38</v>
      </c>
      <c r="E637" s="26" t="s">
        <v>39</v>
      </c>
      <c r="F637" s="27">
        <v>1</v>
      </c>
      <c r="G637" s="33">
        <v>1</v>
      </c>
      <c r="H637" s="41"/>
      <c r="I637" s="1"/>
      <c r="J637" s="26"/>
      <c r="K637" s="27"/>
      <c r="L637" s="27"/>
      <c r="M637" s="70"/>
      <c r="N637" s="1"/>
      <c r="O637" s="26"/>
      <c r="P637" s="27"/>
      <c r="Q637" s="27"/>
      <c r="R637" s="55" t="s">
        <v>242</v>
      </c>
      <c r="S637" s="26" t="s">
        <v>38</v>
      </c>
      <c r="T637" s="26" t="s">
        <v>39</v>
      </c>
      <c r="U637" s="27">
        <v>0.84745762711864414</v>
      </c>
      <c r="V637" s="33">
        <v>1</v>
      </c>
      <c r="AG637" s="31">
        <v>0</v>
      </c>
      <c r="AH637" t="s">
        <v>44</v>
      </c>
    </row>
    <row r="638" spans="1:34">
      <c r="A638" s="15" t="s">
        <v>699</v>
      </c>
      <c r="B638" s="8" t="s">
        <v>666</v>
      </c>
      <c r="C638" s="41" t="s">
        <v>37</v>
      </c>
      <c r="D638" s="1" t="s">
        <v>38</v>
      </c>
      <c r="E638" s="26" t="s">
        <v>39</v>
      </c>
      <c r="F638" s="27">
        <v>1</v>
      </c>
      <c r="G638" s="33">
        <v>1</v>
      </c>
      <c r="H638" s="41"/>
      <c r="I638" s="1"/>
      <c r="J638" s="26"/>
      <c r="K638" s="27"/>
      <c r="L638" s="27"/>
      <c r="M638" s="70"/>
      <c r="N638" s="1"/>
      <c r="O638" s="26"/>
      <c r="P638" s="27"/>
      <c r="Q638" s="27"/>
      <c r="R638" s="55" t="s">
        <v>242</v>
      </c>
      <c r="S638" s="26" t="s">
        <v>38</v>
      </c>
      <c r="T638" s="26" t="s">
        <v>39</v>
      </c>
      <c r="U638" s="27">
        <v>0.84745762711864414</v>
      </c>
      <c r="V638" s="33">
        <v>1</v>
      </c>
      <c r="AG638" s="31">
        <v>0</v>
      </c>
      <c r="AH638" t="s">
        <v>44</v>
      </c>
    </row>
    <row r="639" spans="1:34">
      <c r="A639" s="15" t="s">
        <v>700</v>
      </c>
      <c r="B639" s="8" t="s">
        <v>666</v>
      </c>
      <c r="C639" s="41" t="s">
        <v>37</v>
      </c>
      <c r="D639" s="1" t="s">
        <v>38</v>
      </c>
      <c r="E639" s="26" t="s">
        <v>39</v>
      </c>
      <c r="F639" s="27">
        <v>1</v>
      </c>
      <c r="G639" s="33">
        <v>1</v>
      </c>
      <c r="H639" s="41"/>
      <c r="I639" s="1"/>
      <c r="J639" s="26"/>
      <c r="K639" s="27"/>
      <c r="L639" s="27"/>
      <c r="M639" s="70"/>
      <c r="N639" s="1"/>
      <c r="O639" s="26"/>
      <c r="P639" s="27"/>
      <c r="Q639" s="27"/>
      <c r="R639" s="55" t="s">
        <v>242</v>
      </c>
      <c r="S639" s="26" t="s">
        <v>38</v>
      </c>
      <c r="T639" s="26" t="s">
        <v>39</v>
      </c>
      <c r="U639" s="27">
        <v>0.84745762711864414</v>
      </c>
      <c r="V639" s="33">
        <v>1</v>
      </c>
      <c r="AG639" s="31">
        <v>0</v>
      </c>
      <c r="AH639" t="s">
        <v>44</v>
      </c>
    </row>
    <row r="640" spans="1:34">
      <c r="A640" s="15" t="s">
        <v>701</v>
      </c>
      <c r="B640" s="8" t="s">
        <v>666</v>
      </c>
      <c r="C640" s="41" t="s">
        <v>37</v>
      </c>
      <c r="D640" s="1" t="s">
        <v>38</v>
      </c>
      <c r="E640" s="26" t="s">
        <v>39</v>
      </c>
      <c r="F640" s="27">
        <v>1</v>
      </c>
      <c r="G640" s="33">
        <v>1</v>
      </c>
      <c r="H640" s="41"/>
      <c r="I640" s="1"/>
      <c r="J640" s="26"/>
      <c r="K640" s="27"/>
      <c r="L640" s="27"/>
      <c r="M640" s="70"/>
      <c r="N640" s="1"/>
      <c r="O640" s="26"/>
      <c r="P640" s="27"/>
      <c r="Q640" s="27"/>
      <c r="R640" s="55" t="s">
        <v>242</v>
      </c>
      <c r="S640" s="26" t="s">
        <v>38</v>
      </c>
      <c r="T640" s="26" t="s">
        <v>39</v>
      </c>
      <c r="U640" s="27">
        <v>0.84745762711864414</v>
      </c>
      <c r="V640" s="33">
        <v>1</v>
      </c>
      <c r="AG640" s="31">
        <v>0</v>
      </c>
      <c r="AH640" t="s">
        <v>44</v>
      </c>
    </row>
    <row r="641" spans="1:34">
      <c r="A641" s="15" t="s">
        <v>702</v>
      </c>
      <c r="B641" s="8" t="s">
        <v>666</v>
      </c>
      <c r="C641" s="41" t="s">
        <v>37</v>
      </c>
      <c r="D641" s="1" t="s">
        <v>38</v>
      </c>
      <c r="E641" s="26" t="s">
        <v>39</v>
      </c>
      <c r="F641" s="27">
        <v>1</v>
      </c>
      <c r="G641" s="33">
        <v>1</v>
      </c>
      <c r="H641" s="41"/>
      <c r="I641" s="1"/>
      <c r="J641" s="26"/>
      <c r="K641" s="27"/>
      <c r="L641" s="27"/>
      <c r="M641" s="70"/>
      <c r="N641" s="1"/>
      <c r="O641" s="26"/>
      <c r="P641" s="27"/>
      <c r="Q641" s="27"/>
      <c r="R641" s="55" t="s">
        <v>242</v>
      </c>
      <c r="S641" s="26" t="s">
        <v>38</v>
      </c>
      <c r="T641" s="26" t="s">
        <v>39</v>
      </c>
      <c r="U641" s="27">
        <v>0.84745762711864414</v>
      </c>
      <c r="V641" s="33">
        <v>1</v>
      </c>
      <c r="AG641" s="31">
        <v>0</v>
      </c>
      <c r="AH641" t="s">
        <v>44</v>
      </c>
    </row>
    <row r="642" spans="1:34">
      <c r="A642" s="15" t="s">
        <v>703</v>
      </c>
      <c r="B642" s="8" t="s">
        <v>666</v>
      </c>
      <c r="C642" s="41" t="s">
        <v>37</v>
      </c>
      <c r="D642" s="1" t="s">
        <v>38</v>
      </c>
      <c r="E642" s="26" t="s">
        <v>39</v>
      </c>
      <c r="F642" s="27">
        <v>1</v>
      </c>
      <c r="G642" s="33">
        <v>1</v>
      </c>
      <c r="H642" s="41"/>
      <c r="I642" s="1"/>
      <c r="J642" s="26"/>
      <c r="K642" s="27"/>
      <c r="L642" s="27"/>
      <c r="M642" s="70"/>
      <c r="N642" s="1"/>
      <c r="O642" s="26"/>
      <c r="P642" s="27"/>
      <c r="Q642" s="27"/>
      <c r="R642" s="55" t="s">
        <v>242</v>
      </c>
      <c r="S642" s="26" t="s">
        <v>38</v>
      </c>
      <c r="T642" s="26" t="s">
        <v>39</v>
      </c>
      <c r="U642" s="27">
        <v>0.84745762711864414</v>
      </c>
      <c r="V642" s="33">
        <v>1</v>
      </c>
      <c r="AG642" s="31">
        <v>0</v>
      </c>
      <c r="AH642" t="s">
        <v>44</v>
      </c>
    </row>
    <row r="643" spans="1:34">
      <c r="A643" s="15" t="s">
        <v>704</v>
      </c>
      <c r="B643" s="8" t="s">
        <v>666</v>
      </c>
      <c r="C643" s="41" t="s">
        <v>37</v>
      </c>
      <c r="D643" s="1" t="s">
        <v>38</v>
      </c>
      <c r="E643" s="26" t="s">
        <v>39</v>
      </c>
      <c r="F643" s="27">
        <v>1</v>
      </c>
      <c r="G643" s="33">
        <v>1</v>
      </c>
      <c r="H643" s="41"/>
      <c r="I643" s="1"/>
      <c r="J643" s="26"/>
      <c r="K643" s="27"/>
      <c r="L643" s="27"/>
      <c r="M643" s="70"/>
      <c r="N643" s="1"/>
      <c r="O643" s="26"/>
      <c r="P643" s="27"/>
      <c r="Q643" s="27"/>
      <c r="R643" s="55" t="s">
        <v>242</v>
      </c>
      <c r="S643" s="26" t="s">
        <v>38</v>
      </c>
      <c r="T643" s="26" t="s">
        <v>39</v>
      </c>
      <c r="U643" s="27">
        <v>0.84745762711864414</v>
      </c>
      <c r="V643" s="33">
        <v>1</v>
      </c>
      <c r="AG643" s="31">
        <v>0</v>
      </c>
      <c r="AH643" t="s">
        <v>44</v>
      </c>
    </row>
    <row r="644" spans="1:34">
      <c r="A644" s="15" t="s">
        <v>705</v>
      </c>
      <c r="B644" s="8" t="s">
        <v>666</v>
      </c>
      <c r="C644" s="41" t="s">
        <v>37</v>
      </c>
      <c r="D644" s="1" t="s">
        <v>38</v>
      </c>
      <c r="E644" s="26" t="s">
        <v>39</v>
      </c>
      <c r="F644" s="27">
        <v>1</v>
      </c>
      <c r="G644" s="33">
        <v>1</v>
      </c>
      <c r="H644" s="41"/>
      <c r="I644" s="1"/>
      <c r="J644" s="26"/>
      <c r="K644" s="27"/>
      <c r="L644" s="27"/>
      <c r="M644" s="70"/>
      <c r="N644" s="1"/>
      <c r="O644" s="26"/>
      <c r="P644" s="27"/>
      <c r="Q644" s="27"/>
      <c r="R644" s="55" t="s">
        <v>242</v>
      </c>
      <c r="S644" s="26" t="s">
        <v>38</v>
      </c>
      <c r="T644" s="26" t="s">
        <v>39</v>
      </c>
      <c r="U644" s="27">
        <v>0.84745762711864414</v>
      </c>
      <c r="V644" s="33">
        <v>1</v>
      </c>
      <c r="AG644" s="31">
        <v>0</v>
      </c>
      <c r="AH644" t="s">
        <v>44</v>
      </c>
    </row>
    <row r="645" spans="1:34">
      <c r="A645" s="15" t="s">
        <v>706</v>
      </c>
      <c r="B645" s="8" t="s">
        <v>666</v>
      </c>
      <c r="C645" s="41" t="s">
        <v>37</v>
      </c>
      <c r="D645" s="1" t="s">
        <v>38</v>
      </c>
      <c r="E645" s="26" t="s">
        <v>39</v>
      </c>
      <c r="F645" s="27">
        <v>1</v>
      </c>
      <c r="G645" s="33">
        <v>1</v>
      </c>
      <c r="H645" s="41"/>
      <c r="I645" s="1"/>
      <c r="J645" s="26"/>
      <c r="K645" s="27"/>
      <c r="L645" s="27"/>
      <c r="M645" s="70"/>
      <c r="N645" s="1"/>
      <c r="O645" s="26"/>
      <c r="P645" s="27"/>
      <c r="Q645" s="27"/>
      <c r="R645" s="55" t="s">
        <v>242</v>
      </c>
      <c r="S645" s="26" t="s">
        <v>38</v>
      </c>
      <c r="T645" s="26" t="s">
        <v>39</v>
      </c>
      <c r="U645" s="27">
        <v>0.84745762711864414</v>
      </c>
      <c r="V645" s="33">
        <v>1</v>
      </c>
      <c r="AG645" s="31">
        <v>0</v>
      </c>
      <c r="AH645" t="s">
        <v>44</v>
      </c>
    </row>
    <row r="646" spans="1:34">
      <c r="A646" s="15" t="s">
        <v>707</v>
      </c>
      <c r="B646" s="8" t="s">
        <v>666</v>
      </c>
      <c r="C646" s="41" t="s">
        <v>37</v>
      </c>
      <c r="D646" s="1" t="s">
        <v>38</v>
      </c>
      <c r="E646" s="26" t="s">
        <v>39</v>
      </c>
      <c r="F646" s="27">
        <v>1</v>
      </c>
      <c r="G646" s="33">
        <v>1</v>
      </c>
      <c r="H646" s="41"/>
      <c r="I646" s="1"/>
      <c r="J646" s="26"/>
      <c r="K646" s="27"/>
      <c r="L646" s="27"/>
      <c r="M646" s="70"/>
      <c r="N646" s="1"/>
      <c r="O646" s="26"/>
      <c r="P646" s="27"/>
      <c r="Q646" s="27"/>
      <c r="R646" s="55" t="s">
        <v>242</v>
      </c>
      <c r="S646" s="26" t="s">
        <v>38</v>
      </c>
      <c r="T646" s="26" t="s">
        <v>39</v>
      </c>
      <c r="U646" s="27">
        <v>0.84745762711864414</v>
      </c>
      <c r="V646" s="33">
        <v>1</v>
      </c>
      <c r="AG646" s="31">
        <v>0</v>
      </c>
      <c r="AH646" t="s">
        <v>44</v>
      </c>
    </row>
    <row r="647" spans="1:34">
      <c r="A647" s="15" t="s">
        <v>708</v>
      </c>
      <c r="B647" s="8" t="s">
        <v>666</v>
      </c>
      <c r="C647" s="41" t="s">
        <v>37</v>
      </c>
      <c r="D647" s="1" t="s">
        <v>38</v>
      </c>
      <c r="E647" s="26" t="s">
        <v>39</v>
      </c>
      <c r="F647" s="27">
        <v>1</v>
      </c>
      <c r="G647" s="33">
        <v>1</v>
      </c>
      <c r="H647" s="41"/>
      <c r="I647" s="1"/>
      <c r="J647" s="26"/>
      <c r="K647" s="27"/>
      <c r="L647" s="27"/>
      <c r="M647" s="70"/>
      <c r="N647" s="1"/>
      <c r="O647" s="26"/>
      <c r="P647" s="27"/>
      <c r="Q647" s="27"/>
      <c r="R647" s="55" t="s">
        <v>242</v>
      </c>
      <c r="S647" s="26" t="s">
        <v>38</v>
      </c>
      <c r="T647" s="26" t="s">
        <v>39</v>
      </c>
      <c r="U647" s="27">
        <v>0.84745762711864414</v>
      </c>
      <c r="V647" s="33">
        <v>1</v>
      </c>
      <c r="AG647" s="31">
        <v>1</v>
      </c>
      <c r="AH647" t="s">
        <v>73</v>
      </c>
    </row>
    <row r="648" spans="1:34">
      <c r="A648" s="15" t="s">
        <v>709</v>
      </c>
      <c r="B648" s="8" t="s">
        <v>666</v>
      </c>
      <c r="C648" s="41" t="s">
        <v>37</v>
      </c>
      <c r="D648" s="1" t="s">
        <v>38</v>
      </c>
      <c r="E648" s="26" t="s">
        <v>39</v>
      </c>
      <c r="F648" s="27">
        <v>1</v>
      </c>
      <c r="G648" s="33">
        <v>1</v>
      </c>
      <c r="H648" s="41"/>
      <c r="I648" s="1"/>
      <c r="J648" s="26"/>
      <c r="K648" s="27"/>
      <c r="L648" s="27"/>
      <c r="M648" s="70"/>
      <c r="N648" s="1"/>
      <c r="O648" s="26"/>
      <c r="P648" s="27"/>
      <c r="Q648" s="27"/>
      <c r="R648" s="55" t="s">
        <v>242</v>
      </c>
      <c r="S648" s="26" t="s">
        <v>38</v>
      </c>
      <c r="T648" s="26" t="s">
        <v>39</v>
      </c>
      <c r="U648" s="27">
        <v>0.84745762711864414</v>
      </c>
      <c r="V648" s="33">
        <v>1</v>
      </c>
      <c r="AG648" s="31">
        <v>1</v>
      </c>
      <c r="AH648" t="s">
        <v>73</v>
      </c>
    </row>
    <row r="649" spans="1:34">
      <c r="A649" s="15" t="s">
        <v>710</v>
      </c>
      <c r="B649" s="8" t="s">
        <v>666</v>
      </c>
      <c r="C649" s="41" t="s">
        <v>37</v>
      </c>
      <c r="D649" s="1" t="s">
        <v>38</v>
      </c>
      <c r="E649" s="26" t="s">
        <v>39</v>
      </c>
      <c r="F649" s="27">
        <v>1</v>
      </c>
      <c r="G649" s="33">
        <v>1</v>
      </c>
      <c r="H649" s="41"/>
      <c r="I649" s="1"/>
      <c r="J649" s="26"/>
      <c r="K649" s="27"/>
      <c r="L649" s="27"/>
      <c r="M649" s="70"/>
      <c r="N649" s="1"/>
      <c r="O649" s="26"/>
      <c r="P649" s="27"/>
      <c r="Q649" s="27"/>
      <c r="R649" s="55" t="s">
        <v>242</v>
      </c>
      <c r="S649" s="26" t="s">
        <v>38</v>
      </c>
      <c r="T649" s="26" t="s">
        <v>39</v>
      </c>
      <c r="U649" s="27">
        <v>0.84745762711864414</v>
      </c>
      <c r="V649" s="33">
        <v>1</v>
      </c>
      <c r="AG649" s="31">
        <v>1</v>
      </c>
      <c r="AH649" t="s">
        <v>73</v>
      </c>
    </row>
    <row r="650" spans="1:34">
      <c r="A650" s="15" t="s">
        <v>711</v>
      </c>
      <c r="B650" s="8" t="s">
        <v>666</v>
      </c>
      <c r="C650" s="41" t="s">
        <v>37</v>
      </c>
      <c r="D650" s="1" t="s">
        <v>38</v>
      </c>
      <c r="E650" s="26" t="s">
        <v>39</v>
      </c>
      <c r="F650" s="27">
        <v>1</v>
      </c>
      <c r="G650" s="33">
        <v>1</v>
      </c>
      <c r="H650" s="41"/>
      <c r="I650" s="1"/>
      <c r="J650" s="26"/>
      <c r="K650" s="27"/>
      <c r="L650" s="27"/>
      <c r="M650" s="70"/>
      <c r="N650" s="1"/>
      <c r="O650" s="26"/>
      <c r="P650" s="27"/>
      <c r="Q650" s="27"/>
      <c r="R650" s="55" t="s">
        <v>242</v>
      </c>
      <c r="S650" s="26" t="s">
        <v>38</v>
      </c>
      <c r="T650" s="26" t="s">
        <v>39</v>
      </c>
      <c r="U650" s="27">
        <v>0.84745762711864414</v>
      </c>
      <c r="V650" s="33">
        <v>1</v>
      </c>
      <c r="AG650" s="31">
        <v>1</v>
      </c>
      <c r="AH650" t="s">
        <v>73</v>
      </c>
    </row>
    <row r="651" spans="1:34">
      <c r="A651" s="15" t="s">
        <v>712</v>
      </c>
      <c r="B651" s="8" t="s">
        <v>666</v>
      </c>
      <c r="C651" s="41" t="s">
        <v>37</v>
      </c>
      <c r="D651" s="1" t="s">
        <v>38</v>
      </c>
      <c r="E651" s="26" t="s">
        <v>39</v>
      </c>
      <c r="F651" s="27">
        <v>1</v>
      </c>
      <c r="G651" s="33">
        <v>1</v>
      </c>
      <c r="H651" s="41"/>
      <c r="I651" s="1"/>
      <c r="J651" s="26"/>
      <c r="K651" s="27"/>
      <c r="L651" s="27"/>
      <c r="M651" s="70"/>
      <c r="N651" s="1"/>
      <c r="O651" s="26"/>
      <c r="P651" s="27"/>
      <c r="Q651" s="27"/>
      <c r="R651" s="55" t="s">
        <v>242</v>
      </c>
      <c r="S651" s="26" t="s">
        <v>38</v>
      </c>
      <c r="T651" s="26" t="s">
        <v>39</v>
      </c>
      <c r="U651" s="27">
        <v>0.84745762711864414</v>
      </c>
      <c r="V651" s="33">
        <v>1</v>
      </c>
      <c r="AG651" s="31">
        <v>1</v>
      </c>
      <c r="AH651" t="s">
        <v>73</v>
      </c>
    </row>
    <row r="652" spans="1:34">
      <c r="A652" s="15" t="s">
        <v>713</v>
      </c>
      <c r="B652" s="8" t="s">
        <v>666</v>
      </c>
      <c r="C652" s="41" t="s">
        <v>37</v>
      </c>
      <c r="D652" s="1" t="s">
        <v>38</v>
      </c>
      <c r="E652" s="26" t="s">
        <v>39</v>
      </c>
      <c r="F652" s="27">
        <v>1</v>
      </c>
      <c r="G652" s="33">
        <v>1</v>
      </c>
      <c r="H652" s="41"/>
      <c r="I652" s="1"/>
      <c r="J652" s="26"/>
      <c r="K652" s="27"/>
      <c r="L652" s="27"/>
      <c r="M652" s="70"/>
      <c r="N652" s="1"/>
      <c r="O652" s="26"/>
      <c r="P652" s="27"/>
      <c r="Q652" s="27"/>
      <c r="R652" s="55" t="s">
        <v>242</v>
      </c>
      <c r="S652" s="26" t="s">
        <v>38</v>
      </c>
      <c r="T652" s="26" t="s">
        <v>39</v>
      </c>
      <c r="U652" s="27">
        <v>0.84745762711864414</v>
      </c>
      <c r="V652" s="33">
        <v>1</v>
      </c>
      <c r="AG652" s="31">
        <v>1</v>
      </c>
      <c r="AH652" t="s">
        <v>73</v>
      </c>
    </row>
    <row r="653" spans="1:34">
      <c r="A653" s="15" t="s">
        <v>714</v>
      </c>
      <c r="B653" s="8" t="s">
        <v>666</v>
      </c>
      <c r="C653" s="41" t="s">
        <v>37</v>
      </c>
      <c r="D653" s="1" t="s">
        <v>38</v>
      </c>
      <c r="E653" s="26" t="s">
        <v>39</v>
      </c>
      <c r="F653" s="27">
        <v>1</v>
      </c>
      <c r="G653" s="33">
        <v>1</v>
      </c>
      <c r="H653" s="41"/>
      <c r="I653" s="1"/>
      <c r="J653" s="26"/>
      <c r="K653" s="27"/>
      <c r="L653" s="27"/>
      <c r="M653" s="70"/>
      <c r="N653" s="1"/>
      <c r="O653" s="26"/>
      <c r="P653" s="27"/>
      <c r="Q653" s="27"/>
      <c r="R653" s="55" t="s">
        <v>242</v>
      </c>
      <c r="S653" s="26" t="s">
        <v>38</v>
      </c>
      <c r="T653" s="26" t="s">
        <v>39</v>
      </c>
      <c r="U653" s="27">
        <v>0.84745762711864414</v>
      </c>
      <c r="V653" s="33">
        <v>1</v>
      </c>
      <c r="AG653" s="31">
        <v>1</v>
      </c>
      <c r="AH653" t="s">
        <v>73</v>
      </c>
    </row>
    <row r="654" spans="1:34">
      <c r="A654" s="15" t="s">
        <v>715</v>
      </c>
      <c r="B654" s="8" t="s">
        <v>666</v>
      </c>
      <c r="C654" s="41" t="s">
        <v>37</v>
      </c>
      <c r="D654" s="1" t="s">
        <v>38</v>
      </c>
      <c r="E654" s="26" t="s">
        <v>39</v>
      </c>
      <c r="F654" s="27">
        <v>1</v>
      </c>
      <c r="G654" s="33">
        <v>1</v>
      </c>
      <c r="H654" s="41"/>
      <c r="I654" s="1"/>
      <c r="J654" s="26"/>
      <c r="K654" s="27"/>
      <c r="L654" s="27"/>
      <c r="M654" s="70"/>
      <c r="N654" s="1"/>
      <c r="O654" s="26"/>
      <c r="P654" s="27"/>
      <c r="Q654" s="27"/>
      <c r="R654" s="55" t="s">
        <v>242</v>
      </c>
      <c r="S654" s="26" t="s">
        <v>38</v>
      </c>
      <c r="T654" s="26" t="s">
        <v>39</v>
      </c>
      <c r="U654" s="27">
        <v>0.84745762711864414</v>
      </c>
      <c r="V654" s="33">
        <v>1</v>
      </c>
      <c r="AG654" s="31">
        <v>1</v>
      </c>
      <c r="AH654" t="s">
        <v>73</v>
      </c>
    </row>
    <row r="655" spans="1:34">
      <c r="A655" s="15" t="s">
        <v>716</v>
      </c>
      <c r="B655" s="8" t="s">
        <v>666</v>
      </c>
      <c r="C655" s="41" t="s">
        <v>37</v>
      </c>
      <c r="D655" s="1" t="s">
        <v>38</v>
      </c>
      <c r="E655" s="26" t="s">
        <v>39</v>
      </c>
      <c r="F655" s="27">
        <v>1</v>
      </c>
      <c r="G655" s="33">
        <v>1</v>
      </c>
      <c r="H655" s="41"/>
      <c r="I655" s="1"/>
      <c r="J655" s="26"/>
      <c r="K655" s="27"/>
      <c r="L655" s="27"/>
      <c r="M655" s="70"/>
      <c r="N655" s="1"/>
      <c r="O655" s="26"/>
      <c r="P655" s="27"/>
      <c r="Q655" s="27"/>
      <c r="R655" s="55" t="s">
        <v>242</v>
      </c>
      <c r="S655" s="26" t="s">
        <v>38</v>
      </c>
      <c r="T655" s="26" t="s">
        <v>39</v>
      </c>
      <c r="U655" s="27">
        <v>0.84745762711864414</v>
      </c>
      <c r="V655" s="33">
        <v>1</v>
      </c>
      <c r="AG655" s="31">
        <v>1</v>
      </c>
      <c r="AH655" t="s">
        <v>73</v>
      </c>
    </row>
    <row r="656" spans="1:34">
      <c r="A656" s="15" t="s">
        <v>717</v>
      </c>
      <c r="B656" s="8" t="s">
        <v>666</v>
      </c>
      <c r="C656" s="41" t="s">
        <v>37</v>
      </c>
      <c r="D656" s="1" t="s">
        <v>38</v>
      </c>
      <c r="E656" s="26" t="s">
        <v>39</v>
      </c>
      <c r="F656" s="27">
        <v>1</v>
      </c>
      <c r="G656" s="33">
        <v>1</v>
      </c>
      <c r="H656" s="41"/>
      <c r="I656" s="1"/>
      <c r="J656" s="26"/>
      <c r="K656" s="27"/>
      <c r="L656" s="27"/>
      <c r="M656" s="70"/>
      <c r="N656" s="1"/>
      <c r="O656" s="26"/>
      <c r="P656" s="27"/>
      <c r="Q656" s="27"/>
      <c r="R656" s="55" t="s">
        <v>242</v>
      </c>
      <c r="S656" s="26" t="s">
        <v>38</v>
      </c>
      <c r="T656" s="26" t="s">
        <v>39</v>
      </c>
      <c r="U656" s="27">
        <v>0.84745762711864414</v>
      </c>
      <c r="V656" s="33">
        <v>1</v>
      </c>
      <c r="AG656" s="31">
        <v>1</v>
      </c>
      <c r="AH656" t="s">
        <v>73</v>
      </c>
    </row>
    <row r="657" spans="1:34">
      <c r="A657" s="15" t="s">
        <v>718</v>
      </c>
      <c r="B657" s="8" t="s">
        <v>666</v>
      </c>
      <c r="C657" s="41" t="s">
        <v>37</v>
      </c>
      <c r="D657" s="1" t="s">
        <v>38</v>
      </c>
      <c r="E657" s="26" t="s">
        <v>39</v>
      </c>
      <c r="F657" s="27">
        <v>1</v>
      </c>
      <c r="G657" s="33">
        <v>1</v>
      </c>
      <c r="H657" s="41"/>
      <c r="I657" s="1"/>
      <c r="J657" s="26"/>
      <c r="K657" s="27"/>
      <c r="L657" s="27"/>
      <c r="M657" s="70"/>
      <c r="N657" s="1"/>
      <c r="O657" s="26"/>
      <c r="P657" s="27"/>
      <c r="Q657" s="27"/>
      <c r="R657" s="55" t="s">
        <v>242</v>
      </c>
      <c r="S657" s="26" t="s">
        <v>38</v>
      </c>
      <c r="T657" s="26" t="s">
        <v>39</v>
      </c>
      <c r="U657" s="27">
        <v>0.84745762711864414</v>
      </c>
      <c r="V657" s="33">
        <v>1</v>
      </c>
      <c r="AG657" s="31">
        <v>1</v>
      </c>
      <c r="AH657" t="s">
        <v>73</v>
      </c>
    </row>
    <row r="658" spans="1:34">
      <c r="A658" s="15" t="s">
        <v>719</v>
      </c>
      <c r="B658" s="8" t="s">
        <v>666</v>
      </c>
      <c r="C658" s="41" t="s">
        <v>37</v>
      </c>
      <c r="D658" s="1" t="s">
        <v>38</v>
      </c>
      <c r="E658" s="26" t="s">
        <v>39</v>
      </c>
      <c r="F658" s="27">
        <v>1</v>
      </c>
      <c r="G658" s="33">
        <v>1</v>
      </c>
      <c r="H658" s="41"/>
      <c r="I658" s="1"/>
      <c r="J658" s="26"/>
      <c r="K658" s="27"/>
      <c r="L658" s="27"/>
      <c r="M658" s="70"/>
      <c r="N658" s="1"/>
      <c r="O658" s="26"/>
      <c r="P658" s="27"/>
      <c r="Q658" s="27"/>
      <c r="R658" s="55" t="s">
        <v>242</v>
      </c>
      <c r="S658" s="26" t="s">
        <v>38</v>
      </c>
      <c r="T658" s="26" t="s">
        <v>39</v>
      </c>
      <c r="U658" s="27">
        <v>0.84745762711864414</v>
      </c>
      <c r="V658" s="33">
        <v>1</v>
      </c>
      <c r="AG658" s="31">
        <v>1</v>
      </c>
      <c r="AH658" t="s">
        <v>73</v>
      </c>
    </row>
    <row r="659" spans="1:34">
      <c r="A659" s="15" t="s">
        <v>720</v>
      </c>
      <c r="B659" s="8" t="s">
        <v>666</v>
      </c>
      <c r="C659" s="41" t="s">
        <v>37</v>
      </c>
      <c r="D659" s="1" t="s">
        <v>38</v>
      </c>
      <c r="E659" s="26" t="s">
        <v>39</v>
      </c>
      <c r="F659" s="27">
        <v>1</v>
      </c>
      <c r="G659" s="33">
        <v>1</v>
      </c>
      <c r="H659" s="41"/>
      <c r="I659" s="1"/>
      <c r="J659" s="26"/>
      <c r="K659" s="27"/>
      <c r="L659" s="27"/>
      <c r="M659" s="70"/>
      <c r="N659" s="1"/>
      <c r="O659" s="26"/>
      <c r="P659" s="27"/>
      <c r="Q659" s="27"/>
      <c r="R659" s="55" t="s">
        <v>242</v>
      </c>
      <c r="S659" s="26" t="s">
        <v>38</v>
      </c>
      <c r="T659" s="26" t="s">
        <v>39</v>
      </c>
      <c r="U659" s="27">
        <v>0.84745762711864414</v>
      </c>
      <c r="V659" s="33">
        <v>1</v>
      </c>
      <c r="AG659" s="31">
        <v>1</v>
      </c>
      <c r="AH659" t="s">
        <v>73</v>
      </c>
    </row>
    <row r="660" spans="1:34">
      <c r="A660" s="15" t="s">
        <v>721</v>
      </c>
      <c r="B660" s="8" t="s">
        <v>666</v>
      </c>
      <c r="C660" s="41" t="s">
        <v>37</v>
      </c>
      <c r="D660" s="1" t="s">
        <v>38</v>
      </c>
      <c r="E660" s="26" t="s">
        <v>39</v>
      </c>
      <c r="F660" s="27">
        <v>1</v>
      </c>
      <c r="G660" s="33">
        <v>1</v>
      </c>
      <c r="H660" s="41"/>
      <c r="I660" s="1"/>
      <c r="J660" s="26"/>
      <c r="K660" s="27"/>
      <c r="L660" s="27"/>
      <c r="M660" s="70"/>
      <c r="N660" s="1"/>
      <c r="O660" s="26"/>
      <c r="P660" s="27"/>
      <c r="Q660" s="27"/>
      <c r="R660" s="55" t="s">
        <v>242</v>
      </c>
      <c r="S660" s="26" t="s">
        <v>38</v>
      </c>
      <c r="T660" s="26" t="s">
        <v>39</v>
      </c>
      <c r="U660" s="27">
        <v>0.84745762711864414</v>
      </c>
      <c r="V660" s="33">
        <v>1</v>
      </c>
      <c r="AG660" s="31">
        <v>1</v>
      </c>
      <c r="AH660" t="s">
        <v>73</v>
      </c>
    </row>
    <row r="661" spans="1:34">
      <c r="A661" s="15" t="s">
        <v>722</v>
      </c>
      <c r="B661" s="8" t="s">
        <v>666</v>
      </c>
      <c r="C661" s="41" t="s">
        <v>37</v>
      </c>
      <c r="D661" s="1" t="s">
        <v>38</v>
      </c>
      <c r="E661" s="26" t="s">
        <v>39</v>
      </c>
      <c r="F661" s="27">
        <v>1</v>
      </c>
      <c r="G661" s="33">
        <v>1</v>
      </c>
      <c r="H661" s="41"/>
      <c r="I661" s="1"/>
      <c r="J661" s="26"/>
      <c r="K661" s="27"/>
      <c r="L661" s="27"/>
      <c r="M661" s="70"/>
      <c r="N661" s="1"/>
      <c r="O661" s="26"/>
      <c r="P661" s="27"/>
      <c r="Q661" s="27"/>
      <c r="R661" s="55" t="s">
        <v>242</v>
      </c>
      <c r="S661" s="26" t="s">
        <v>38</v>
      </c>
      <c r="T661" s="26" t="s">
        <v>39</v>
      </c>
      <c r="U661" s="27">
        <v>0.84745762711864414</v>
      </c>
      <c r="V661" s="33">
        <v>1</v>
      </c>
      <c r="AG661" s="31">
        <v>1</v>
      </c>
      <c r="AH661" t="s">
        <v>73</v>
      </c>
    </row>
    <row r="662" spans="1:34">
      <c r="A662" s="15" t="s">
        <v>723</v>
      </c>
      <c r="B662" s="8" t="s">
        <v>666</v>
      </c>
      <c r="C662" s="41" t="s">
        <v>37</v>
      </c>
      <c r="D662" s="1" t="s">
        <v>38</v>
      </c>
      <c r="E662" s="26" t="s">
        <v>39</v>
      </c>
      <c r="F662" s="27">
        <v>1</v>
      </c>
      <c r="G662" s="33">
        <v>1</v>
      </c>
      <c r="H662" s="41"/>
      <c r="I662" s="1"/>
      <c r="J662" s="26"/>
      <c r="K662" s="27"/>
      <c r="L662" s="27"/>
      <c r="M662" s="70"/>
      <c r="N662" s="1"/>
      <c r="O662" s="26"/>
      <c r="P662" s="27"/>
      <c r="Q662" s="27"/>
      <c r="R662" s="55" t="s">
        <v>242</v>
      </c>
      <c r="S662" s="26" t="s">
        <v>38</v>
      </c>
      <c r="T662" s="26" t="s">
        <v>39</v>
      </c>
      <c r="U662" s="27">
        <v>0.84745762711864414</v>
      </c>
      <c r="V662" s="33">
        <v>1</v>
      </c>
      <c r="AG662" s="31">
        <v>1</v>
      </c>
      <c r="AH662" t="s">
        <v>73</v>
      </c>
    </row>
    <row r="663" spans="1:34">
      <c r="A663" s="15" t="s">
        <v>724</v>
      </c>
      <c r="B663" s="8" t="s">
        <v>666</v>
      </c>
      <c r="C663" s="41" t="s">
        <v>37</v>
      </c>
      <c r="D663" s="1" t="s">
        <v>38</v>
      </c>
      <c r="E663" s="26" t="s">
        <v>39</v>
      </c>
      <c r="F663" s="27">
        <v>1</v>
      </c>
      <c r="G663" s="33">
        <v>1</v>
      </c>
      <c r="H663" s="41"/>
      <c r="I663" s="1"/>
      <c r="J663" s="26"/>
      <c r="K663" s="27"/>
      <c r="L663" s="27"/>
      <c r="M663" s="70"/>
      <c r="N663" s="1"/>
      <c r="O663" s="26"/>
      <c r="P663" s="27"/>
      <c r="Q663" s="27"/>
      <c r="R663" s="55" t="s">
        <v>242</v>
      </c>
      <c r="S663" s="26" t="s">
        <v>38</v>
      </c>
      <c r="T663" s="26" t="s">
        <v>39</v>
      </c>
      <c r="U663" s="27">
        <v>0.84745762711864414</v>
      </c>
      <c r="V663" s="33">
        <v>1</v>
      </c>
      <c r="AG663" s="31">
        <v>1</v>
      </c>
      <c r="AH663" t="s">
        <v>73</v>
      </c>
    </row>
    <row r="664" spans="1:34">
      <c r="A664" s="15" t="s">
        <v>725</v>
      </c>
      <c r="B664" s="8" t="s">
        <v>666</v>
      </c>
      <c r="C664" s="41" t="s">
        <v>37</v>
      </c>
      <c r="D664" s="1" t="s">
        <v>38</v>
      </c>
      <c r="E664" s="26" t="s">
        <v>39</v>
      </c>
      <c r="F664" s="27">
        <v>1</v>
      </c>
      <c r="G664" s="33">
        <v>1</v>
      </c>
      <c r="H664" s="41"/>
      <c r="I664" s="1"/>
      <c r="J664" s="26"/>
      <c r="K664" s="27"/>
      <c r="L664" s="27"/>
      <c r="M664" s="70"/>
      <c r="N664" s="1"/>
      <c r="O664" s="26"/>
      <c r="P664" s="27"/>
      <c r="Q664" s="27"/>
      <c r="R664" s="55" t="s">
        <v>242</v>
      </c>
      <c r="S664" s="26" t="s">
        <v>38</v>
      </c>
      <c r="T664" s="26" t="s">
        <v>39</v>
      </c>
      <c r="U664" s="27">
        <v>0.84745762711864414</v>
      </c>
      <c r="V664" s="33">
        <v>1</v>
      </c>
      <c r="AG664" s="31">
        <v>1</v>
      </c>
      <c r="AH664" t="s">
        <v>73</v>
      </c>
    </row>
    <row r="665" spans="1:34">
      <c r="A665" s="15" t="s">
        <v>726</v>
      </c>
      <c r="B665" s="8" t="s">
        <v>666</v>
      </c>
      <c r="C665" s="41" t="s">
        <v>37</v>
      </c>
      <c r="D665" s="1" t="s">
        <v>38</v>
      </c>
      <c r="E665" s="26" t="s">
        <v>39</v>
      </c>
      <c r="F665" s="27">
        <v>1</v>
      </c>
      <c r="G665" s="33">
        <v>1</v>
      </c>
      <c r="H665" s="41"/>
      <c r="I665" s="1"/>
      <c r="J665" s="26"/>
      <c r="K665" s="27"/>
      <c r="L665" s="27"/>
      <c r="M665" s="70"/>
      <c r="N665" s="1"/>
      <c r="O665" s="26"/>
      <c r="P665" s="27"/>
      <c r="Q665" s="27"/>
      <c r="R665" s="55" t="s">
        <v>242</v>
      </c>
      <c r="S665" s="26" t="s">
        <v>38</v>
      </c>
      <c r="T665" s="26" t="s">
        <v>39</v>
      </c>
      <c r="U665" s="27">
        <v>0.84745762711864414</v>
      </c>
      <c r="V665" s="33">
        <v>1</v>
      </c>
      <c r="AG665" s="31">
        <v>1</v>
      </c>
      <c r="AH665" t="s">
        <v>73</v>
      </c>
    </row>
    <row r="666" spans="1:34">
      <c r="A666" s="15" t="s">
        <v>727</v>
      </c>
      <c r="B666" s="8" t="s">
        <v>666</v>
      </c>
      <c r="C666" s="41" t="s">
        <v>37</v>
      </c>
      <c r="D666" s="1" t="s">
        <v>38</v>
      </c>
      <c r="E666" s="26" t="s">
        <v>39</v>
      </c>
      <c r="F666" s="27">
        <v>1</v>
      </c>
      <c r="G666" s="33">
        <v>1</v>
      </c>
      <c r="H666" s="41"/>
      <c r="I666" s="1"/>
      <c r="J666" s="26"/>
      <c r="K666" s="27"/>
      <c r="L666" s="27"/>
      <c r="M666" s="70"/>
      <c r="N666" s="1"/>
      <c r="O666" s="26"/>
      <c r="P666" s="27"/>
      <c r="Q666" s="27"/>
      <c r="R666" s="55" t="s">
        <v>242</v>
      </c>
      <c r="S666" s="26" t="s">
        <v>38</v>
      </c>
      <c r="T666" s="26" t="s">
        <v>39</v>
      </c>
      <c r="U666" s="27">
        <v>0.84745762711864414</v>
      </c>
      <c r="V666" s="33">
        <v>1</v>
      </c>
      <c r="AG666" s="31">
        <v>1</v>
      </c>
      <c r="AH666" t="s">
        <v>73</v>
      </c>
    </row>
    <row r="667" spans="1:34">
      <c r="A667" s="15" t="s">
        <v>728</v>
      </c>
      <c r="B667" s="8" t="s">
        <v>666</v>
      </c>
      <c r="C667" s="41" t="s">
        <v>37</v>
      </c>
      <c r="D667" s="1" t="s">
        <v>38</v>
      </c>
      <c r="E667" s="26" t="s">
        <v>39</v>
      </c>
      <c r="F667" s="27">
        <v>1</v>
      </c>
      <c r="G667" s="33">
        <v>1</v>
      </c>
      <c r="H667" s="41"/>
      <c r="I667" s="1"/>
      <c r="J667" s="26"/>
      <c r="K667" s="27"/>
      <c r="L667" s="27"/>
      <c r="M667" s="70"/>
      <c r="N667" s="1"/>
      <c r="O667" s="26"/>
      <c r="P667" s="27"/>
      <c r="Q667" s="27"/>
      <c r="R667" s="55" t="s">
        <v>242</v>
      </c>
      <c r="S667" s="26" t="s">
        <v>38</v>
      </c>
      <c r="T667" s="26" t="s">
        <v>39</v>
      </c>
      <c r="U667" s="27">
        <v>0.84745762711864414</v>
      </c>
      <c r="V667" s="33">
        <v>1</v>
      </c>
      <c r="AG667" s="31">
        <v>1</v>
      </c>
      <c r="AH667" t="s">
        <v>73</v>
      </c>
    </row>
    <row r="668" spans="1:34">
      <c r="A668" s="15" t="s">
        <v>729</v>
      </c>
      <c r="B668" s="8" t="s">
        <v>666</v>
      </c>
      <c r="C668" s="41" t="s">
        <v>37</v>
      </c>
      <c r="D668" s="1" t="s">
        <v>38</v>
      </c>
      <c r="E668" s="26" t="s">
        <v>39</v>
      </c>
      <c r="F668" s="27">
        <v>1</v>
      </c>
      <c r="G668" s="33">
        <v>1</v>
      </c>
      <c r="H668" s="41"/>
      <c r="I668" s="1"/>
      <c r="J668" s="26"/>
      <c r="K668" s="27"/>
      <c r="L668" s="27"/>
      <c r="M668" s="70"/>
      <c r="N668" s="1"/>
      <c r="O668" s="26"/>
      <c r="P668" s="27"/>
      <c r="Q668" s="27"/>
      <c r="R668" s="55" t="s">
        <v>242</v>
      </c>
      <c r="S668" s="26" t="s">
        <v>38</v>
      </c>
      <c r="T668" s="26" t="s">
        <v>39</v>
      </c>
      <c r="U668" s="27">
        <v>0.84745762711864414</v>
      </c>
      <c r="V668" s="33">
        <v>1</v>
      </c>
      <c r="AG668" s="31">
        <v>1</v>
      </c>
      <c r="AH668" t="s">
        <v>73</v>
      </c>
    </row>
    <row r="669" spans="1:34">
      <c r="A669" s="15" t="s">
        <v>730</v>
      </c>
      <c r="B669" s="8" t="s">
        <v>666</v>
      </c>
      <c r="C669" s="41" t="s">
        <v>37</v>
      </c>
      <c r="D669" s="1" t="s">
        <v>38</v>
      </c>
      <c r="E669" s="26" t="s">
        <v>39</v>
      </c>
      <c r="F669" s="27">
        <v>1</v>
      </c>
      <c r="G669" s="33">
        <v>1</v>
      </c>
      <c r="H669" s="41"/>
      <c r="I669" s="1"/>
      <c r="J669" s="26"/>
      <c r="K669" s="27"/>
      <c r="L669" s="27"/>
      <c r="M669" s="70"/>
      <c r="N669" s="1"/>
      <c r="O669" s="26"/>
      <c r="P669" s="27"/>
      <c r="Q669" s="27"/>
      <c r="R669" s="55" t="s">
        <v>242</v>
      </c>
      <c r="S669" s="26" t="s">
        <v>38</v>
      </c>
      <c r="T669" s="26" t="s">
        <v>39</v>
      </c>
      <c r="U669" s="27">
        <v>0.84745762711864414</v>
      </c>
      <c r="V669" s="33">
        <v>1</v>
      </c>
      <c r="AG669" s="31">
        <v>1</v>
      </c>
      <c r="AH669" t="s">
        <v>73</v>
      </c>
    </row>
    <row r="670" spans="1:34">
      <c r="A670" s="15" t="s">
        <v>731</v>
      </c>
      <c r="B670" s="8" t="s">
        <v>666</v>
      </c>
      <c r="C670" s="41" t="s">
        <v>37</v>
      </c>
      <c r="D670" s="1" t="s">
        <v>38</v>
      </c>
      <c r="E670" s="26" t="s">
        <v>39</v>
      </c>
      <c r="F670" s="27">
        <v>1</v>
      </c>
      <c r="G670" s="33">
        <v>1</v>
      </c>
      <c r="H670" s="41"/>
      <c r="I670" s="1"/>
      <c r="J670" s="26"/>
      <c r="K670" s="27"/>
      <c r="L670" s="27"/>
      <c r="M670" s="70"/>
      <c r="N670" s="1"/>
      <c r="O670" s="26"/>
      <c r="P670" s="27"/>
      <c r="Q670" s="27"/>
      <c r="R670" s="55" t="s">
        <v>242</v>
      </c>
      <c r="S670" s="26" t="s">
        <v>38</v>
      </c>
      <c r="T670" s="26" t="s">
        <v>39</v>
      </c>
      <c r="U670" s="27">
        <v>0.84745762711864414</v>
      </c>
      <c r="V670" s="33">
        <v>1</v>
      </c>
      <c r="AG670" s="31">
        <v>1</v>
      </c>
      <c r="AH670" t="s">
        <v>73</v>
      </c>
    </row>
    <row r="671" spans="1:34">
      <c r="A671" s="15" t="s">
        <v>732</v>
      </c>
      <c r="B671" s="8" t="s">
        <v>666</v>
      </c>
      <c r="C671" s="41" t="s">
        <v>37</v>
      </c>
      <c r="D671" s="1" t="s">
        <v>38</v>
      </c>
      <c r="E671" s="26" t="s">
        <v>39</v>
      </c>
      <c r="F671" s="27">
        <v>1</v>
      </c>
      <c r="G671" s="33">
        <v>1</v>
      </c>
      <c r="H671" s="41"/>
      <c r="I671" s="1"/>
      <c r="J671" s="26"/>
      <c r="K671" s="27"/>
      <c r="L671" s="27"/>
      <c r="M671" s="70"/>
      <c r="N671" s="1"/>
      <c r="O671" s="26"/>
      <c r="P671" s="27"/>
      <c r="Q671" s="27"/>
      <c r="R671" s="55" t="s">
        <v>242</v>
      </c>
      <c r="S671" s="26" t="s">
        <v>38</v>
      </c>
      <c r="T671" s="26" t="s">
        <v>39</v>
      </c>
      <c r="U671" s="27">
        <v>0.84745762711864414</v>
      </c>
      <c r="V671" s="33">
        <v>1</v>
      </c>
      <c r="AG671" s="31">
        <v>1</v>
      </c>
      <c r="AH671" t="s">
        <v>73</v>
      </c>
    </row>
    <row r="672" spans="1:34">
      <c r="A672" s="15" t="s">
        <v>733</v>
      </c>
      <c r="B672" s="8" t="s">
        <v>666</v>
      </c>
      <c r="C672" s="41" t="s">
        <v>37</v>
      </c>
      <c r="D672" s="1" t="s">
        <v>38</v>
      </c>
      <c r="E672" s="26" t="s">
        <v>39</v>
      </c>
      <c r="F672" s="27">
        <v>1</v>
      </c>
      <c r="G672" s="33">
        <v>1</v>
      </c>
      <c r="H672" s="41"/>
      <c r="I672" s="1"/>
      <c r="J672" s="26"/>
      <c r="K672" s="27"/>
      <c r="L672" s="27"/>
      <c r="M672" s="70"/>
      <c r="N672" s="1"/>
      <c r="O672" s="26"/>
      <c r="P672" s="27"/>
      <c r="Q672" s="27"/>
      <c r="R672" s="55" t="s">
        <v>242</v>
      </c>
      <c r="S672" s="26" t="s">
        <v>38</v>
      </c>
      <c r="T672" s="26" t="s">
        <v>39</v>
      </c>
      <c r="U672" s="27">
        <v>0.84745762711864414</v>
      </c>
      <c r="V672" s="33">
        <v>1</v>
      </c>
      <c r="AG672" s="31">
        <v>1</v>
      </c>
      <c r="AH672" t="s">
        <v>73</v>
      </c>
    </row>
    <row r="673" spans="1:34">
      <c r="A673" s="15" t="s">
        <v>734</v>
      </c>
      <c r="B673" s="8" t="s">
        <v>666</v>
      </c>
      <c r="C673" s="41" t="s">
        <v>37</v>
      </c>
      <c r="D673" s="1" t="s">
        <v>38</v>
      </c>
      <c r="E673" s="26" t="s">
        <v>39</v>
      </c>
      <c r="F673" s="27">
        <v>1</v>
      </c>
      <c r="G673" s="33">
        <v>1</v>
      </c>
      <c r="H673" s="41"/>
      <c r="I673" s="1"/>
      <c r="J673" s="26"/>
      <c r="K673" s="27"/>
      <c r="L673" s="27"/>
      <c r="M673" s="70"/>
      <c r="N673" s="1"/>
      <c r="O673" s="26"/>
      <c r="P673" s="27"/>
      <c r="Q673" s="27"/>
      <c r="R673" s="55" t="s">
        <v>242</v>
      </c>
      <c r="S673" s="26" t="s">
        <v>38</v>
      </c>
      <c r="T673" s="26" t="s">
        <v>39</v>
      </c>
      <c r="U673" s="27">
        <v>0.84745762711864414</v>
      </c>
      <c r="V673" s="33">
        <v>1</v>
      </c>
      <c r="AG673" s="31">
        <v>1</v>
      </c>
      <c r="AH673" t="s">
        <v>73</v>
      </c>
    </row>
    <row r="674" spans="1:34">
      <c r="A674" s="15" t="s">
        <v>735</v>
      </c>
      <c r="B674" s="8" t="s">
        <v>666</v>
      </c>
      <c r="C674" s="41" t="s">
        <v>37</v>
      </c>
      <c r="D674" s="1" t="s">
        <v>38</v>
      </c>
      <c r="E674" s="26" t="s">
        <v>39</v>
      </c>
      <c r="F674" s="27">
        <v>1</v>
      </c>
      <c r="G674" s="33">
        <v>1</v>
      </c>
      <c r="H674" s="41"/>
      <c r="I674" s="1"/>
      <c r="J674" s="26"/>
      <c r="K674" s="27"/>
      <c r="L674" s="27"/>
      <c r="M674" s="70"/>
      <c r="N674" s="1"/>
      <c r="O674" s="26"/>
      <c r="P674" s="27"/>
      <c r="Q674" s="27"/>
      <c r="R674" s="55" t="s">
        <v>242</v>
      </c>
      <c r="S674" s="26" t="s">
        <v>38</v>
      </c>
      <c r="T674" s="26" t="s">
        <v>39</v>
      </c>
      <c r="U674" s="27">
        <v>0.84745762711864414</v>
      </c>
      <c r="V674" s="33">
        <v>1</v>
      </c>
      <c r="AG674" s="31">
        <v>1</v>
      </c>
      <c r="AH674" t="s">
        <v>73</v>
      </c>
    </row>
    <row r="675" spans="1:34">
      <c r="A675" s="15" t="s">
        <v>736</v>
      </c>
      <c r="B675" s="8" t="s">
        <v>666</v>
      </c>
      <c r="C675" s="41" t="s">
        <v>37</v>
      </c>
      <c r="D675" s="1" t="s">
        <v>38</v>
      </c>
      <c r="E675" s="26" t="s">
        <v>39</v>
      </c>
      <c r="F675" s="27">
        <v>1</v>
      </c>
      <c r="G675" s="33">
        <v>1</v>
      </c>
      <c r="H675" s="41"/>
      <c r="I675" s="1"/>
      <c r="J675" s="26"/>
      <c r="K675" s="27"/>
      <c r="L675" s="27"/>
      <c r="M675" s="70"/>
      <c r="N675" s="1"/>
      <c r="O675" s="26"/>
      <c r="P675" s="27"/>
      <c r="Q675" s="27"/>
      <c r="R675" s="55" t="s">
        <v>242</v>
      </c>
      <c r="S675" s="26" t="s">
        <v>38</v>
      </c>
      <c r="T675" s="26" t="s">
        <v>39</v>
      </c>
      <c r="U675" s="27">
        <v>0.84745762711864414</v>
      </c>
      <c r="V675" s="33">
        <v>1</v>
      </c>
      <c r="AG675" s="31">
        <v>0.5</v>
      </c>
      <c r="AH675" t="s">
        <v>285</v>
      </c>
    </row>
    <row r="676" spans="1:34">
      <c r="A676" s="15" t="s">
        <v>737</v>
      </c>
      <c r="B676" s="8" t="s">
        <v>666</v>
      </c>
      <c r="C676" s="41" t="s">
        <v>37</v>
      </c>
      <c r="D676" s="1" t="s">
        <v>38</v>
      </c>
      <c r="E676" s="26" t="s">
        <v>39</v>
      </c>
      <c r="F676" s="27">
        <v>1</v>
      </c>
      <c r="G676" s="33">
        <v>1</v>
      </c>
      <c r="H676" s="41"/>
      <c r="I676" s="1"/>
      <c r="J676" s="26"/>
      <c r="K676" s="27"/>
      <c r="L676" s="27"/>
      <c r="M676" s="70"/>
      <c r="N676" s="1"/>
      <c r="O676" s="26"/>
      <c r="P676" s="27"/>
      <c r="Q676" s="27"/>
      <c r="R676" s="55" t="s">
        <v>242</v>
      </c>
      <c r="S676" s="26" t="s">
        <v>38</v>
      </c>
      <c r="T676" s="26" t="s">
        <v>39</v>
      </c>
      <c r="U676" s="27">
        <v>0.84745762711864414</v>
      </c>
      <c r="V676" s="33">
        <v>1</v>
      </c>
      <c r="AG676" s="31">
        <v>0.5</v>
      </c>
      <c r="AH676" t="s">
        <v>285</v>
      </c>
    </row>
    <row r="677" spans="1:34">
      <c r="A677" s="15" t="s">
        <v>738</v>
      </c>
      <c r="B677" s="8" t="s">
        <v>666</v>
      </c>
      <c r="C677" s="41" t="s">
        <v>37</v>
      </c>
      <c r="D677" s="1" t="s">
        <v>38</v>
      </c>
      <c r="E677" s="26" t="s">
        <v>39</v>
      </c>
      <c r="F677" s="27">
        <v>1</v>
      </c>
      <c r="G677" s="33">
        <v>1</v>
      </c>
      <c r="H677" s="41"/>
      <c r="I677" s="1"/>
      <c r="J677" s="26"/>
      <c r="K677" s="27"/>
      <c r="L677" s="27"/>
      <c r="M677" s="70"/>
      <c r="N677" s="1"/>
      <c r="O677" s="26"/>
      <c r="P677" s="27"/>
      <c r="Q677" s="27"/>
      <c r="R677" s="55" t="s">
        <v>242</v>
      </c>
      <c r="S677" s="26" t="s">
        <v>38</v>
      </c>
      <c r="T677" s="26" t="s">
        <v>39</v>
      </c>
      <c r="U677" s="27">
        <v>0.84745762711864414</v>
      </c>
      <c r="V677" s="33">
        <v>1</v>
      </c>
      <c r="AG677" s="31">
        <v>0.5</v>
      </c>
      <c r="AH677" t="s">
        <v>285</v>
      </c>
    </row>
    <row r="678" spans="1:34">
      <c r="A678" s="15" t="s">
        <v>739</v>
      </c>
      <c r="B678" s="8" t="s">
        <v>666</v>
      </c>
      <c r="C678" s="41" t="s">
        <v>37</v>
      </c>
      <c r="D678" s="1" t="s">
        <v>38</v>
      </c>
      <c r="E678" s="26" t="s">
        <v>39</v>
      </c>
      <c r="F678" s="27">
        <v>1</v>
      </c>
      <c r="G678" s="33">
        <v>1</v>
      </c>
      <c r="H678" s="41"/>
      <c r="I678" s="1"/>
      <c r="J678" s="26"/>
      <c r="K678" s="27"/>
      <c r="L678" s="27"/>
      <c r="M678" s="70"/>
      <c r="N678" s="1"/>
      <c r="O678" s="26"/>
      <c r="P678" s="27"/>
      <c r="Q678" s="27"/>
      <c r="R678" s="55" t="s">
        <v>242</v>
      </c>
      <c r="S678" s="26" t="s">
        <v>38</v>
      </c>
      <c r="T678" s="26" t="s">
        <v>39</v>
      </c>
      <c r="U678" s="27">
        <v>0.84745762711864414</v>
      </c>
      <c r="V678" s="33">
        <v>1</v>
      </c>
      <c r="AG678" s="31">
        <v>0.5</v>
      </c>
      <c r="AH678" t="s">
        <v>285</v>
      </c>
    </row>
    <row r="679" spans="1:34">
      <c r="A679" s="15" t="s">
        <v>740</v>
      </c>
      <c r="B679" s="8" t="s">
        <v>666</v>
      </c>
      <c r="C679" s="41" t="s">
        <v>37</v>
      </c>
      <c r="D679" s="1" t="s">
        <v>38</v>
      </c>
      <c r="E679" s="26" t="s">
        <v>39</v>
      </c>
      <c r="F679" s="27">
        <v>1</v>
      </c>
      <c r="G679" s="33">
        <v>1</v>
      </c>
      <c r="H679" s="41"/>
      <c r="I679" s="1"/>
      <c r="J679" s="26"/>
      <c r="K679" s="27"/>
      <c r="L679" s="27"/>
      <c r="M679" s="70"/>
      <c r="N679" s="1"/>
      <c r="O679" s="26"/>
      <c r="P679" s="27"/>
      <c r="Q679" s="27"/>
      <c r="R679" s="55" t="s">
        <v>242</v>
      </c>
      <c r="S679" s="26" t="s">
        <v>38</v>
      </c>
      <c r="T679" s="26" t="s">
        <v>39</v>
      </c>
      <c r="U679" s="27">
        <v>0.84745762711864414</v>
      </c>
      <c r="V679" s="33">
        <v>1</v>
      </c>
      <c r="AG679" s="31">
        <v>0.5</v>
      </c>
      <c r="AH679" t="s">
        <v>285</v>
      </c>
    </row>
    <row r="680" spans="1:34">
      <c r="A680" s="15" t="s">
        <v>741</v>
      </c>
      <c r="B680" s="8" t="s">
        <v>666</v>
      </c>
      <c r="C680" s="41" t="s">
        <v>37</v>
      </c>
      <c r="D680" s="1" t="s">
        <v>38</v>
      </c>
      <c r="E680" s="26" t="s">
        <v>39</v>
      </c>
      <c r="F680" s="27">
        <v>1</v>
      </c>
      <c r="G680" s="33">
        <v>1</v>
      </c>
      <c r="H680" s="41"/>
      <c r="I680" s="1"/>
      <c r="J680" s="26"/>
      <c r="K680" s="27"/>
      <c r="L680" s="27"/>
      <c r="M680" s="70"/>
      <c r="N680" s="1"/>
      <c r="O680" s="26"/>
      <c r="P680" s="27"/>
      <c r="Q680" s="27"/>
      <c r="R680" s="55" t="s">
        <v>242</v>
      </c>
      <c r="S680" s="26" t="s">
        <v>38</v>
      </c>
      <c r="T680" s="26" t="s">
        <v>39</v>
      </c>
      <c r="U680" s="27">
        <v>0.84745762711864414</v>
      </c>
      <c r="V680" s="33">
        <v>1</v>
      </c>
      <c r="AG680" s="31">
        <v>0.5</v>
      </c>
      <c r="AH680" t="s">
        <v>285</v>
      </c>
    </row>
    <row r="681" spans="1:34">
      <c r="A681" s="15" t="s">
        <v>742</v>
      </c>
      <c r="B681" s="8" t="s">
        <v>666</v>
      </c>
      <c r="C681" s="41" t="s">
        <v>37</v>
      </c>
      <c r="D681" s="1" t="s">
        <v>38</v>
      </c>
      <c r="E681" s="26" t="s">
        <v>39</v>
      </c>
      <c r="F681" s="27">
        <v>1</v>
      </c>
      <c r="G681" s="33">
        <v>1</v>
      </c>
      <c r="H681" s="41"/>
      <c r="I681" s="1"/>
      <c r="J681" s="26"/>
      <c r="K681" s="27"/>
      <c r="L681" s="27"/>
      <c r="M681" s="70"/>
      <c r="N681" s="1"/>
      <c r="O681" s="26"/>
      <c r="P681" s="27"/>
      <c r="Q681" s="27"/>
      <c r="R681" s="55" t="s">
        <v>242</v>
      </c>
      <c r="S681" s="26" t="s">
        <v>38</v>
      </c>
      <c r="T681" s="26" t="s">
        <v>39</v>
      </c>
      <c r="U681" s="27">
        <v>0.84745762711864414</v>
      </c>
      <c r="V681" s="33">
        <v>1</v>
      </c>
      <c r="AG681" s="31">
        <v>0.5</v>
      </c>
      <c r="AH681" t="s">
        <v>285</v>
      </c>
    </row>
    <row r="682" spans="1:34">
      <c r="A682" s="15" t="s">
        <v>743</v>
      </c>
      <c r="B682" s="8" t="s">
        <v>666</v>
      </c>
      <c r="C682" s="41" t="s">
        <v>37</v>
      </c>
      <c r="D682" s="1" t="s">
        <v>38</v>
      </c>
      <c r="E682" s="26" t="s">
        <v>39</v>
      </c>
      <c r="F682" s="27">
        <v>1</v>
      </c>
      <c r="G682" s="33">
        <v>1</v>
      </c>
      <c r="H682" s="41"/>
      <c r="I682" s="1"/>
      <c r="J682" s="26"/>
      <c r="K682" s="27"/>
      <c r="L682" s="27"/>
      <c r="M682" s="70"/>
      <c r="N682" s="1"/>
      <c r="O682" s="26"/>
      <c r="P682" s="27"/>
      <c r="Q682" s="27"/>
      <c r="R682" s="55" t="s">
        <v>242</v>
      </c>
      <c r="S682" s="26" t="s">
        <v>38</v>
      </c>
      <c r="T682" s="26" t="s">
        <v>39</v>
      </c>
      <c r="U682" s="27">
        <v>0.84745762711864414</v>
      </c>
      <c r="V682" s="33">
        <v>1</v>
      </c>
      <c r="AG682" s="31">
        <v>0.5</v>
      </c>
      <c r="AH682" t="s">
        <v>285</v>
      </c>
    </row>
    <row r="683" spans="1:34">
      <c r="A683" s="15" t="s">
        <v>744</v>
      </c>
      <c r="B683" s="8" t="s">
        <v>666</v>
      </c>
      <c r="C683" s="41" t="s">
        <v>37</v>
      </c>
      <c r="D683" s="1" t="s">
        <v>38</v>
      </c>
      <c r="E683" s="26" t="s">
        <v>39</v>
      </c>
      <c r="F683" s="27">
        <v>1</v>
      </c>
      <c r="G683" s="33">
        <v>1</v>
      </c>
      <c r="H683" s="41"/>
      <c r="I683" s="1"/>
      <c r="J683" s="26"/>
      <c r="K683" s="27"/>
      <c r="L683" s="27"/>
      <c r="M683" s="70"/>
      <c r="N683" s="1"/>
      <c r="O683" s="26"/>
      <c r="P683" s="27"/>
      <c r="Q683" s="27"/>
      <c r="R683" s="55" t="s">
        <v>242</v>
      </c>
      <c r="S683" s="26" t="s">
        <v>38</v>
      </c>
      <c r="T683" s="26" t="s">
        <v>39</v>
      </c>
      <c r="U683" s="27">
        <v>0.84745762711864414</v>
      </c>
      <c r="V683" s="33">
        <v>1</v>
      </c>
      <c r="AG683" s="31">
        <v>0.5</v>
      </c>
      <c r="AH683" t="s">
        <v>285</v>
      </c>
    </row>
    <row r="684" spans="1:34">
      <c r="A684" s="15" t="s">
        <v>745</v>
      </c>
      <c r="B684" s="8" t="s">
        <v>666</v>
      </c>
      <c r="C684" s="41" t="s">
        <v>37</v>
      </c>
      <c r="D684" s="1" t="s">
        <v>38</v>
      </c>
      <c r="E684" s="26" t="s">
        <v>39</v>
      </c>
      <c r="F684" s="27">
        <v>1</v>
      </c>
      <c r="G684" s="33">
        <v>1</v>
      </c>
      <c r="H684" s="41"/>
      <c r="I684" s="1"/>
      <c r="J684" s="26"/>
      <c r="K684" s="27"/>
      <c r="L684" s="27"/>
      <c r="M684" s="70"/>
      <c r="N684" s="1"/>
      <c r="O684" s="26"/>
      <c r="P684" s="27"/>
      <c r="Q684" s="27"/>
      <c r="R684" s="55" t="s">
        <v>242</v>
      </c>
      <c r="S684" s="26" t="s">
        <v>38</v>
      </c>
      <c r="T684" s="26" t="s">
        <v>39</v>
      </c>
      <c r="U684" s="27">
        <v>0.84745762711864414</v>
      </c>
      <c r="V684" s="33">
        <v>1</v>
      </c>
      <c r="AG684" s="31">
        <v>0.5</v>
      </c>
      <c r="AH684" t="s">
        <v>285</v>
      </c>
    </row>
    <row r="685" spans="1:34">
      <c r="A685" s="15" t="s">
        <v>746</v>
      </c>
      <c r="B685" s="8" t="s">
        <v>666</v>
      </c>
      <c r="C685" s="41" t="s">
        <v>37</v>
      </c>
      <c r="D685" s="1" t="s">
        <v>38</v>
      </c>
      <c r="E685" s="26" t="s">
        <v>39</v>
      </c>
      <c r="F685" s="27">
        <v>1</v>
      </c>
      <c r="G685" s="33">
        <v>1</v>
      </c>
      <c r="H685" s="41"/>
      <c r="I685" s="1"/>
      <c r="J685" s="26"/>
      <c r="K685" s="27"/>
      <c r="L685" s="27"/>
      <c r="M685" s="70"/>
      <c r="N685" s="1"/>
      <c r="O685" s="26"/>
      <c r="P685" s="27"/>
      <c r="Q685" s="27"/>
      <c r="R685" s="55" t="s">
        <v>242</v>
      </c>
      <c r="S685" s="26" t="s">
        <v>38</v>
      </c>
      <c r="T685" s="26" t="s">
        <v>39</v>
      </c>
      <c r="U685" s="27">
        <v>0.84745762711864414</v>
      </c>
      <c r="V685" s="33">
        <v>1</v>
      </c>
      <c r="AG685" s="31">
        <v>0.5</v>
      </c>
      <c r="AH685" t="s">
        <v>285</v>
      </c>
    </row>
    <row r="686" spans="1:34">
      <c r="A686" s="15" t="s">
        <v>747</v>
      </c>
      <c r="B686" s="8" t="s">
        <v>666</v>
      </c>
      <c r="C686" s="41" t="s">
        <v>37</v>
      </c>
      <c r="D686" s="1" t="s">
        <v>38</v>
      </c>
      <c r="E686" s="26" t="s">
        <v>39</v>
      </c>
      <c r="F686" s="27">
        <v>1</v>
      </c>
      <c r="G686" s="33">
        <v>1</v>
      </c>
      <c r="H686" s="41"/>
      <c r="I686" s="1"/>
      <c r="J686" s="26"/>
      <c r="K686" s="27"/>
      <c r="L686" s="27"/>
      <c r="M686" s="70"/>
      <c r="N686" s="1"/>
      <c r="O686" s="26"/>
      <c r="P686" s="27"/>
      <c r="Q686" s="27"/>
      <c r="R686" s="55" t="s">
        <v>242</v>
      </c>
      <c r="S686" s="26" t="s">
        <v>38</v>
      </c>
      <c r="T686" s="26" t="s">
        <v>39</v>
      </c>
      <c r="U686" s="27">
        <v>0.84745762711864414</v>
      </c>
      <c r="V686" s="33">
        <v>1</v>
      </c>
      <c r="AG686" s="31">
        <v>0.5</v>
      </c>
      <c r="AH686" t="s">
        <v>285</v>
      </c>
    </row>
    <row r="687" spans="1:34">
      <c r="A687" s="15" t="s">
        <v>748</v>
      </c>
      <c r="B687" s="8" t="s">
        <v>666</v>
      </c>
      <c r="C687" s="41" t="s">
        <v>37</v>
      </c>
      <c r="D687" s="1" t="s">
        <v>38</v>
      </c>
      <c r="E687" s="26" t="s">
        <v>39</v>
      </c>
      <c r="F687" s="27">
        <v>1</v>
      </c>
      <c r="G687" s="33">
        <v>1</v>
      </c>
      <c r="H687" s="41"/>
      <c r="I687" s="1"/>
      <c r="J687" s="26"/>
      <c r="K687" s="27"/>
      <c r="L687" s="27"/>
      <c r="M687" s="70"/>
      <c r="N687" s="1"/>
      <c r="O687" s="26"/>
      <c r="P687" s="27"/>
      <c r="Q687" s="27"/>
      <c r="R687" s="55" t="s">
        <v>242</v>
      </c>
      <c r="S687" s="26" t="s">
        <v>38</v>
      </c>
      <c r="T687" s="26" t="s">
        <v>39</v>
      </c>
      <c r="U687" s="27">
        <v>0.84745762711864414</v>
      </c>
      <c r="V687" s="33">
        <v>1</v>
      </c>
      <c r="AG687" s="31">
        <v>0.5</v>
      </c>
      <c r="AH687" t="s">
        <v>285</v>
      </c>
    </row>
    <row r="688" spans="1:34">
      <c r="A688" s="16" t="s">
        <v>749</v>
      </c>
      <c r="B688" s="8" t="s">
        <v>666</v>
      </c>
      <c r="C688" s="41" t="s">
        <v>37</v>
      </c>
      <c r="D688" s="1" t="s">
        <v>38</v>
      </c>
      <c r="E688" s="26" t="s">
        <v>39</v>
      </c>
      <c r="F688" s="27">
        <v>1</v>
      </c>
      <c r="G688" s="33">
        <v>1</v>
      </c>
      <c r="H688" s="41"/>
      <c r="I688" s="1"/>
      <c r="J688" s="26"/>
      <c r="K688" s="27"/>
      <c r="L688" s="27"/>
      <c r="M688" s="70"/>
      <c r="N688" s="1"/>
      <c r="O688" s="26"/>
      <c r="P688" s="27"/>
      <c r="Q688" s="27"/>
      <c r="R688" s="55" t="s">
        <v>242</v>
      </c>
      <c r="S688" s="26" t="s">
        <v>38</v>
      </c>
      <c r="T688" s="26" t="s">
        <v>39</v>
      </c>
      <c r="U688" s="27">
        <v>0.84745762711864414</v>
      </c>
      <c r="V688" s="33">
        <v>1</v>
      </c>
      <c r="AG688" s="31">
        <v>0.5</v>
      </c>
      <c r="AH688" t="s">
        <v>285</v>
      </c>
    </row>
    <row r="689" spans="1:34" s="6" customFormat="1">
      <c r="A689" s="15" t="s">
        <v>750</v>
      </c>
      <c r="B689" s="9" t="s">
        <v>751</v>
      </c>
      <c r="C689" s="45" t="s">
        <v>37</v>
      </c>
      <c r="D689" s="46" t="s">
        <v>38</v>
      </c>
      <c r="E689" s="47" t="s">
        <v>39</v>
      </c>
      <c r="F689" s="48">
        <v>0.95238095238095233</v>
      </c>
      <c r="G689" s="49">
        <v>0.33333333333333331</v>
      </c>
      <c r="H689" s="45" t="s">
        <v>408</v>
      </c>
      <c r="I689" s="46" t="s">
        <v>409</v>
      </c>
      <c r="J689" s="47" t="s">
        <v>39</v>
      </c>
      <c r="K689" s="48">
        <v>0.94339622641509424</v>
      </c>
      <c r="L689" s="49">
        <v>0.33333333333333331</v>
      </c>
      <c r="M689" s="45" t="s">
        <v>410</v>
      </c>
      <c r="N689" s="46" t="s">
        <v>38</v>
      </c>
      <c r="O689" s="47" t="s">
        <v>42</v>
      </c>
      <c r="P689" s="48">
        <v>3.2258064516129035</v>
      </c>
      <c r="Q689" s="49">
        <v>0.33333333333333331</v>
      </c>
      <c r="R689" s="54" t="s">
        <v>37</v>
      </c>
      <c r="S689" s="47" t="s">
        <v>38</v>
      </c>
      <c r="T689" s="47" t="s">
        <v>39</v>
      </c>
      <c r="U689" s="48">
        <v>0.95238095238095233</v>
      </c>
      <c r="V689" s="49">
        <v>0.33333333333333331</v>
      </c>
      <c r="W689" s="47" t="s">
        <v>408</v>
      </c>
      <c r="X689" s="47" t="s">
        <v>409</v>
      </c>
      <c r="Y689" s="47" t="s">
        <v>39</v>
      </c>
      <c r="Z689" s="48">
        <v>0.94339622641509424</v>
      </c>
      <c r="AA689" s="49">
        <v>0.33333333333333331</v>
      </c>
      <c r="AB689" s="47" t="s">
        <v>411</v>
      </c>
      <c r="AC689" s="47" t="s">
        <v>38</v>
      </c>
      <c r="AD689" s="47" t="s">
        <v>42</v>
      </c>
      <c r="AE689" s="48">
        <v>2.5</v>
      </c>
      <c r="AF689" s="50">
        <v>0.33333333333333331</v>
      </c>
      <c r="AG689" s="29">
        <v>0</v>
      </c>
      <c r="AH689" s="6" t="s">
        <v>44</v>
      </c>
    </row>
    <row r="690" spans="1:34">
      <c r="A690" s="15" t="s">
        <v>752</v>
      </c>
      <c r="B690" s="8" t="s">
        <v>751</v>
      </c>
      <c r="C690" s="41" t="s">
        <v>37</v>
      </c>
      <c r="D690" s="1" t="s">
        <v>38</v>
      </c>
      <c r="E690" s="26" t="s">
        <v>39</v>
      </c>
      <c r="F690" s="27">
        <v>0.95238095238095233</v>
      </c>
      <c r="G690" s="33">
        <v>0.33333333333333331</v>
      </c>
      <c r="H690" s="41" t="s">
        <v>408</v>
      </c>
      <c r="I690" s="1" t="s">
        <v>409</v>
      </c>
      <c r="J690" s="26" t="s">
        <v>39</v>
      </c>
      <c r="K690" s="27">
        <v>0.94339622641509424</v>
      </c>
      <c r="L690" s="33">
        <v>0.33333333333333331</v>
      </c>
      <c r="M690" s="41" t="s">
        <v>410</v>
      </c>
      <c r="N690" s="1" t="s">
        <v>38</v>
      </c>
      <c r="O690" s="26" t="s">
        <v>42</v>
      </c>
      <c r="P690" s="27">
        <v>3.2258064516129035</v>
      </c>
      <c r="Q690" s="33">
        <v>0.33333333333333331</v>
      </c>
      <c r="R690" s="55" t="s">
        <v>37</v>
      </c>
      <c r="S690" s="26" t="s">
        <v>38</v>
      </c>
      <c r="T690" s="26" t="s">
        <v>39</v>
      </c>
      <c r="U690" s="27">
        <v>0.95238095238095233</v>
      </c>
      <c r="V690" s="33">
        <v>0.33333333333333331</v>
      </c>
      <c r="W690" s="26" t="s">
        <v>408</v>
      </c>
      <c r="X690" s="26" t="s">
        <v>409</v>
      </c>
      <c r="Y690" s="26" t="s">
        <v>39</v>
      </c>
      <c r="Z690" s="27">
        <v>0.94339622641509424</v>
      </c>
      <c r="AA690" s="33">
        <v>0.33333333333333331</v>
      </c>
      <c r="AB690" s="26" t="s">
        <v>411</v>
      </c>
      <c r="AC690" s="26" t="s">
        <v>38</v>
      </c>
      <c r="AD690" s="26" t="s">
        <v>42</v>
      </c>
      <c r="AE690" s="27">
        <v>2.5</v>
      </c>
      <c r="AF690" s="36">
        <v>0.33333333333333331</v>
      </c>
      <c r="AG690" s="31">
        <v>0</v>
      </c>
      <c r="AH690" t="s">
        <v>44</v>
      </c>
    </row>
    <row r="691" spans="1:34">
      <c r="A691" s="15" t="s">
        <v>753</v>
      </c>
      <c r="B691" s="8" t="s">
        <v>751</v>
      </c>
      <c r="C691" s="41" t="s">
        <v>37</v>
      </c>
      <c r="D691" s="1" t="s">
        <v>38</v>
      </c>
      <c r="E691" s="26" t="s">
        <v>39</v>
      </c>
      <c r="F691" s="27">
        <v>0.95238095238095233</v>
      </c>
      <c r="G691" s="33">
        <v>0.33333333333333331</v>
      </c>
      <c r="H691" s="41" t="s">
        <v>408</v>
      </c>
      <c r="I691" s="1" t="s">
        <v>409</v>
      </c>
      <c r="J691" s="26" t="s">
        <v>39</v>
      </c>
      <c r="K691" s="27">
        <v>0.94339622641509424</v>
      </c>
      <c r="L691" s="33">
        <v>0.33333333333333331</v>
      </c>
      <c r="M691" s="41" t="s">
        <v>410</v>
      </c>
      <c r="N691" s="1" t="s">
        <v>38</v>
      </c>
      <c r="O691" s="26" t="s">
        <v>42</v>
      </c>
      <c r="P691" s="27">
        <v>3.2258064516129035</v>
      </c>
      <c r="Q691" s="33">
        <v>0.33333333333333331</v>
      </c>
      <c r="R691" s="55" t="s">
        <v>37</v>
      </c>
      <c r="S691" s="26" t="s">
        <v>38</v>
      </c>
      <c r="T691" s="26" t="s">
        <v>39</v>
      </c>
      <c r="U691" s="27">
        <v>0.95238095238095233</v>
      </c>
      <c r="V691" s="33">
        <v>0.33333333333333331</v>
      </c>
      <c r="W691" s="26" t="s">
        <v>408</v>
      </c>
      <c r="X691" s="26" t="s">
        <v>409</v>
      </c>
      <c r="Y691" s="26" t="s">
        <v>39</v>
      </c>
      <c r="Z691" s="27">
        <v>0.94339622641509424</v>
      </c>
      <c r="AA691" s="33">
        <v>0.33333333333333331</v>
      </c>
      <c r="AB691" s="26" t="s">
        <v>411</v>
      </c>
      <c r="AC691" s="26" t="s">
        <v>38</v>
      </c>
      <c r="AD691" s="26" t="s">
        <v>42</v>
      </c>
      <c r="AE691" s="27">
        <v>2.5</v>
      </c>
      <c r="AF691" s="36">
        <v>0.33333333333333331</v>
      </c>
      <c r="AG691" s="31">
        <v>0</v>
      </c>
      <c r="AH691" t="s">
        <v>44</v>
      </c>
    </row>
    <row r="692" spans="1:34">
      <c r="A692" s="15" t="s">
        <v>754</v>
      </c>
      <c r="B692" s="8" t="s">
        <v>751</v>
      </c>
      <c r="C692" s="41" t="s">
        <v>37</v>
      </c>
      <c r="D692" s="1" t="s">
        <v>38</v>
      </c>
      <c r="E692" s="26" t="s">
        <v>39</v>
      </c>
      <c r="F692" s="27">
        <v>0.95238095238095233</v>
      </c>
      <c r="G692" s="33">
        <v>0.33333333333333331</v>
      </c>
      <c r="H692" s="41" t="s">
        <v>408</v>
      </c>
      <c r="I692" s="1" t="s">
        <v>409</v>
      </c>
      <c r="J692" s="26" t="s">
        <v>39</v>
      </c>
      <c r="K692" s="27">
        <v>0.94339622641509424</v>
      </c>
      <c r="L692" s="33">
        <v>0.33333333333333331</v>
      </c>
      <c r="M692" s="41" t="s">
        <v>410</v>
      </c>
      <c r="N692" s="1" t="s">
        <v>38</v>
      </c>
      <c r="O692" s="26" t="s">
        <v>42</v>
      </c>
      <c r="P692" s="27">
        <v>3.2258064516129035</v>
      </c>
      <c r="Q692" s="33">
        <v>0.33333333333333331</v>
      </c>
      <c r="R692" s="55" t="s">
        <v>37</v>
      </c>
      <c r="S692" s="26" t="s">
        <v>38</v>
      </c>
      <c r="T692" s="26" t="s">
        <v>39</v>
      </c>
      <c r="U692" s="27">
        <v>0.95238095238095233</v>
      </c>
      <c r="V692" s="33">
        <v>0.33333333333333331</v>
      </c>
      <c r="W692" s="26" t="s">
        <v>408</v>
      </c>
      <c r="X692" s="26" t="s">
        <v>409</v>
      </c>
      <c r="Y692" s="26" t="s">
        <v>39</v>
      </c>
      <c r="Z692" s="27">
        <v>0.94339622641509424</v>
      </c>
      <c r="AA692" s="33">
        <v>0.33333333333333331</v>
      </c>
      <c r="AB692" s="26" t="s">
        <v>411</v>
      </c>
      <c r="AC692" s="26" t="s">
        <v>38</v>
      </c>
      <c r="AD692" s="26" t="s">
        <v>42</v>
      </c>
      <c r="AE692" s="27">
        <v>2.5</v>
      </c>
      <c r="AF692" s="36">
        <v>0.33333333333333331</v>
      </c>
      <c r="AG692" s="31">
        <v>0</v>
      </c>
      <c r="AH692" t="s">
        <v>44</v>
      </c>
    </row>
    <row r="693" spans="1:34">
      <c r="A693" s="15" t="s">
        <v>755</v>
      </c>
      <c r="B693" s="8" t="s">
        <v>751</v>
      </c>
      <c r="C693" s="41" t="s">
        <v>37</v>
      </c>
      <c r="D693" s="1" t="s">
        <v>38</v>
      </c>
      <c r="E693" s="26" t="s">
        <v>39</v>
      </c>
      <c r="F693" s="27">
        <v>0.95238095238095233</v>
      </c>
      <c r="G693" s="33">
        <v>0.33333333333333331</v>
      </c>
      <c r="H693" s="41" t="s">
        <v>408</v>
      </c>
      <c r="I693" s="1" t="s">
        <v>409</v>
      </c>
      <c r="J693" s="26" t="s">
        <v>39</v>
      </c>
      <c r="K693" s="27">
        <v>0.94339622641509424</v>
      </c>
      <c r="L693" s="33">
        <v>0.33333333333333331</v>
      </c>
      <c r="M693" s="41" t="s">
        <v>410</v>
      </c>
      <c r="N693" s="1" t="s">
        <v>38</v>
      </c>
      <c r="O693" s="26" t="s">
        <v>42</v>
      </c>
      <c r="P693" s="27">
        <v>3.2258064516129035</v>
      </c>
      <c r="Q693" s="33">
        <v>0.33333333333333331</v>
      </c>
      <c r="R693" s="55" t="s">
        <v>37</v>
      </c>
      <c r="S693" s="26" t="s">
        <v>38</v>
      </c>
      <c r="T693" s="26" t="s">
        <v>39</v>
      </c>
      <c r="U693" s="27">
        <v>0.95238095238095233</v>
      </c>
      <c r="V693" s="33">
        <v>0.33333333333333331</v>
      </c>
      <c r="W693" s="26" t="s">
        <v>408</v>
      </c>
      <c r="X693" s="26" t="s">
        <v>409</v>
      </c>
      <c r="Y693" s="26" t="s">
        <v>39</v>
      </c>
      <c r="Z693" s="27">
        <v>0.94339622641509424</v>
      </c>
      <c r="AA693" s="33">
        <v>0.33333333333333331</v>
      </c>
      <c r="AB693" s="26" t="s">
        <v>411</v>
      </c>
      <c r="AC693" s="26" t="s">
        <v>38</v>
      </c>
      <c r="AD693" s="26" t="s">
        <v>42</v>
      </c>
      <c r="AE693" s="27">
        <v>2.5</v>
      </c>
      <c r="AF693" s="36">
        <v>0.33333333333333331</v>
      </c>
      <c r="AG693" s="31">
        <v>0</v>
      </c>
      <c r="AH693" t="s">
        <v>44</v>
      </c>
    </row>
    <row r="694" spans="1:34">
      <c r="A694" s="15" t="s">
        <v>756</v>
      </c>
      <c r="B694" s="8" t="s">
        <v>751</v>
      </c>
      <c r="C694" s="41" t="s">
        <v>37</v>
      </c>
      <c r="D694" s="1" t="s">
        <v>38</v>
      </c>
      <c r="E694" s="26" t="s">
        <v>39</v>
      </c>
      <c r="F694" s="27">
        <v>0.95238095238095233</v>
      </c>
      <c r="G694" s="33">
        <v>0.33333333333333331</v>
      </c>
      <c r="H694" s="41" t="s">
        <v>408</v>
      </c>
      <c r="I694" s="1" t="s">
        <v>409</v>
      </c>
      <c r="J694" s="26" t="s">
        <v>39</v>
      </c>
      <c r="K694" s="27">
        <v>0.94339622641509424</v>
      </c>
      <c r="L694" s="33">
        <v>0.33333333333333331</v>
      </c>
      <c r="M694" s="41" t="s">
        <v>410</v>
      </c>
      <c r="N694" s="1" t="s">
        <v>38</v>
      </c>
      <c r="O694" s="26" t="s">
        <v>42</v>
      </c>
      <c r="P694" s="27">
        <v>3.2258064516129035</v>
      </c>
      <c r="Q694" s="33">
        <v>0.33333333333333331</v>
      </c>
      <c r="R694" s="55" t="s">
        <v>37</v>
      </c>
      <c r="S694" s="26" t="s">
        <v>38</v>
      </c>
      <c r="T694" s="26" t="s">
        <v>39</v>
      </c>
      <c r="U694" s="27">
        <v>0.95238095238095233</v>
      </c>
      <c r="V694" s="33">
        <v>0.33333333333333331</v>
      </c>
      <c r="W694" s="26" t="s">
        <v>408</v>
      </c>
      <c r="X694" s="26" t="s">
        <v>409</v>
      </c>
      <c r="Y694" s="26" t="s">
        <v>39</v>
      </c>
      <c r="Z694" s="27">
        <v>0.94339622641509424</v>
      </c>
      <c r="AA694" s="33">
        <v>0.33333333333333331</v>
      </c>
      <c r="AB694" s="26" t="s">
        <v>411</v>
      </c>
      <c r="AC694" s="26" t="s">
        <v>38</v>
      </c>
      <c r="AD694" s="26" t="s">
        <v>42</v>
      </c>
      <c r="AE694" s="27">
        <v>2.5</v>
      </c>
      <c r="AF694" s="36">
        <v>0.33333333333333331</v>
      </c>
      <c r="AG694" s="31">
        <v>0</v>
      </c>
      <c r="AH694" t="s">
        <v>44</v>
      </c>
    </row>
    <row r="695" spans="1:34">
      <c r="A695" s="15" t="s">
        <v>757</v>
      </c>
      <c r="B695" s="8" t="s">
        <v>751</v>
      </c>
      <c r="C695" s="41" t="s">
        <v>37</v>
      </c>
      <c r="D695" s="1" t="s">
        <v>38</v>
      </c>
      <c r="E695" s="26" t="s">
        <v>39</v>
      </c>
      <c r="F695" s="27">
        <v>0.95238095238095233</v>
      </c>
      <c r="G695" s="33">
        <v>0.33333333333333331</v>
      </c>
      <c r="H695" s="41" t="s">
        <v>408</v>
      </c>
      <c r="I695" s="1" t="s">
        <v>409</v>
      </c>
      <c r="J695" s="26" t="s">
        <v>39</v>
      </c>
      <c r="K695" s="27">
        <v>0.94339622641509424</v>
      </c>
      <c r="L695" s="33">
        <v>0.33333333333333331</v>
      </c>
      <c r="M695" s="41" t="s">
        <v>410</v>
      </c>
      <c r="N695" s="1" t="s">
        <v>38</v>
      </c>
      <c r="O695" s="26" t="s">
        <v>42</v>
      </c>
      <c r="P695" s="27">
        <v>3.2258064516129035</v>
      </c>
      <c r="Q695" s="33">
        <v>0.33333333333333331</v>
      </c>
      <c r="R695" s="55" t="s">
        <v>37</v>
      </c>
      <c r="S695" s="26" t="s">
        <v>38</v>
      </c>
      <c r="T695" s="26" t="s">
        <v>39</v>
      </c>
      <c r="U695" s="27">
        <v>0.95238095238095233</v>
      </c>
      <c r="V695" s="33">
        <v>0.33333333333333331</v>
      </c>
      <c r="W695" s="26" t="s">
        <v>408</v>
      </c>
      <c r="X695" s="26" t="s">
        <v>409</v>
      </c>
      <c r="Y695" s="26" t="s">
        <v>39</v>
      </c>
      <c r="Z695" s="27">
        <v>0.94339622641509424</v>
      </c>
      <c r="AA695" s="33">
        <v>0.33333333333333331</v>
      </c>
      <c r="AB695" s="26" t="s">
        <v>411</v>
      </c>
      <c r="AC695" s="26" t="s">
        <v>38</v>
      </c>
      <c r="AD695" s="26" t="s">
        <v>42</v>
      </c>
      <c r="AE695" s="27">
        <v>2.5</v>
      </c>
      <c r="AF695" s="36">
        <v>0.33333333333333331</v>
      </c>
      <c r="AG695" s="31">
        <v>0</v>
      </c>
      <c r="AH695" t="s">
        <v>44</v>
      </c>
    </row>
    <row r="696" spans="1:34">
      <c r="A696" s="15" t="s">
        <v>758</v>
      </c>
      <c r="B696" s="8" t="s">
        <v>751</v>
      </c>
      <c r="C696" s="41" t="s">
        <v>37</v>
      </c>
      <c r="D696" s="1" t="s">
        <v>38</v>
      </c>
      <c r="E696" s="26" t="s">
        <v>39</v>
      </c>
      <c r="F696" s="27">
        <v>0.95238095238095233</v>
      </c>
      <c r="G696" s="33">
        <v>0.33333333333333331</v>
      </c>
      <c r="H696" s="41" t="s">
        <v>408</v>
      </c>
      <c r="I696" s="1" t="s">
        <v>409</v>
      </c>
      <c r="J696" s="26" t="s">
        <v>39</v>
      </c>
      <c r="K696" s="27">
        <v>0.94339622641509424</v>
      </c>
      <c r="L696" s="33">
        <v>0.33333333333333331</v>
      </c>
      <c r="M696" s="41" t="s">
        <v>410</v>
      </c>
      <c r="N696" s="1" t="s">
        <v>38</v>
      </c>
      <c r="O696" s="26" t="s">
        <v>42</v>
      </c>
      <c r="P696" s="27">
        <v>3.2258064516129035</v>
      </c>
      <c r="Q696" s="33">
        <v>0.33333333333333331</v>
      </c>
      <c r="R696" s="55" t="s">
        <v>37</v>
      </c>
      <c r="S696" s="26" t="s">
        <v>38</v>
      </c>
      <c r="T696" s="26" t="s">
        <v>39</v>
      </c>
      <c r="U696" s="27">
        <v>0.95238095238095233</v>
      </c>
      <c r="V696" s="33">
        <v>0.33333333333333331</v>
      </c>
      <c r="W696" s="26" t="s">
        <v>408</v>
      </c>
      <c r="X696" s="26" t="s">
        <v>409</v>
      </c>
      <c r="Y696" s="26" t="s">
        <v>39</v>
      </c>
      <c r="Z696" s="27">
        <v>0.94339622641509424</v>
      </c>
      <c r="AA696" s="33">
        <v>0.33333333333333331</v>
      </c>
      <c r="AB696" s="26" t="s">
        <v>411</v>
      </c>
      <c r="AC696" s="26" t="s">
        <v>38</v>
      </c>
      <c r="AD696" s="26" t="s">
        <v>42</v>
      </c>
      <c r="AE696" s="27">
        <v>2.5</v>
      </c>
      <c r="AF696" s="36">
        <v>0.33333333333333331</v>
      </c>
      <c r="AG696" s="31">
        <v>0</v>
      </c>
      <c r="AH696" t="s">
        <v>44</v>
      </c>
    </row>
    <row r="697" spans="1:34">
      <c r="A697" s="15" t="s">
        <v>759</v>
      </c>
      <c r="B697" s="8" t="s">
        <v>751</v>
      </c>
      <c r="C697" s="41" t="s">
        <v>37</v>
      </c>
      <c r="D697" s="1" t="s">
        <v>38</v>
      </c>
      <c r="E697" s="26" t="s">
        <v>39</v>
      </c>
      <c r="F697" s="27">
        <v>0.95238095238095233</v>
      </c>
      <c r="G697" s="33">
        <v>0.33333333333333331</v>
      </c>
      <c r="H697" s="41" t="s">
        <v>408</v>
      </c>
      <c r="I697" s="1" t="s">
        <v>409</v>
      </c>
      <c r="J697" s="26" t="s">
        <v>39</v>
      </c>
      <c r="K697" s="27">
        <v>0.94339622641509424</v>
      </c>
      <c r="L697" s="33">
        <v>0.33333333333333331</v>
      </c>
      <c r="M697" s="41" t="s">
        <v>410</v>
      </c>
      <c r="N697" s="1" t="s">
        <v>38</v>
      </c>
      <c r="O697" s="26" t="s">
        <v>42</v>
      </c>
      <c r="P697" s="27">
        <v>3.2258064516129035</v>
      </c>
      <c r="Q697" s="33">
        <v>0.33333333333333331</v>
      </c>
      <c r="R697" s="55" t="s">
        <v>37</v>
      </c>
      <c r="S697" s="26" t="s">
        <v>38</v>
      </c>
      <c r="T697" s="26" t="s">
        <v>39</v>
      </c>
      <c r="U697" s="27">
        <v>0.95238095238095233</v>
      </c>
      <c r="V697" s="33">
        <v>0.33333333333333331</v>
      </c>
      <c r="W697" s="26" t="s">
        <v>408</v>
      </c>
      <c r="X697" s="26" t="s">
        <v>409</v>
      </c>
      <c r="Y697" s="26" t="s">
        <v>39</v>
      </c>
      <c r="Z697" s="27">
        <v>0.94339622641509424</v>
      </c>
      <c r="AA697" s="33">
        <v>0.33333333333333331</v>
      </c>
      <c r="AB697" s="26" t="s">
        <v>411</v>
      </c>
      <c r="AC697" s="26" t="s">
        <v>38</v>
      </c>
      <c r="AD697" s="26" t="s">
        <v>42</v>
      </c>
      <c r="AE697" s="27">
        <v>2.5</v>
      </c>
      <c r="AF697" s="36">
        <v>0.33333333333333331</v>
      </c>
      <c r="AG697" s="31">
        <v>0</v>
      </c>
      <c r="AH697" t="s">
        <v>44</v>
      </c>
    </row>
    <row r="698" spans="1:34">
      <c r="A698" s="15" t="s">
        <v>760</v>
      </c>
      <c r="B698" s="8" t="s">
        <v>751</v>
      </c>
      <c r="C698" s="41" t="s">
        <v>37</v>
      </c>
      <c r="D698" s="1" t="s">
        <v>38</v>
      </c>
      <c r="E698" s="26" t="s">
        <v>39</v>
      </c>
      <c r="F698" s="27">
        <v>0.95238095238095233</v>
      </c>
      <c r="G698" s="33">
        <v>0.33333333333333331</v>
      </c>
      <c r="H698" s="41" t="s">
        <v>408</v>
      </c>
      <c r="I698" s="1" t="s">
        <v>409</v>
      </c>
      <c r="J698" s="26" t="s">
        <v>39</v>
      </c>
      <c r="K698" s="27">
        <v>0.94339622641509424</v>
      </c>
      <c r="L698" s="33">
        <v>0.33333333333333331</v>
      </c>
      <c r="M698" s="41" t="s">
        <v>410</v>
      </c>
      <c r="N698" s="1" t="s">
        <v>38</v>
      </c>
      <c r="O698" s="26" t="s">
        <v>42</v>
      </c>
      <c r="P698" s="27">
        <v>3.2258064516129035</v>
      </c>
      <c r="Q698" s="33">
        <v>0.33333333333333331</v>
      </c>
      <c r="R698" s="55" t="s">
        <v>37</v>
      </c>
      <c r="S698" s="26" t="s">
        <v>38</v>
      </c>
      <c r="T698" s="26" t="s">
        <v>39</v>
      </c>
      <c r="U698" s="27">
        <v>0.95238095238095233</v>
      </c>
      <c r="V698" s="33">
        <v>0.33333333333333331</v>
      </c>
      <c r="W698" s="26" t="s">
        <v>408</v>
      </c>
      <c r="X698" s="26" t="s">
        <v>409</v>
      </c>
      <c r="Y698" s="26" t="s">
        <v>39</v>
      </c>
      <c r="Z698" s="27">
        <v>0.94339622641509424</v>
      </c>
      <c r="AA698" s="33">
        <v>0.33333333333333331</v>
      </c>
      <c r="AB698" s="26" t="s">
        <v>411</v>
      </c>
      <c r="AC698" s="26" t="s">
        <v>38</v>
      </c>
      <c r="AD698" s="26" t="s">
        <v>42</v>
      </c>
      <c r="AE698" s="27">
        <v>2.5</v>
      </c>
      <c r="AF698" s="36">
        <v>0.33333333333333331</v>
      </c>
      <c r="AG698" s="31">
        <v>0</v>
      </c>
      <c r="AH698" t="s">
        <v>44</v>
      </c>
    </row>
    <row r="699" spans="1:34">
      <c r="A699" s="15" t="s">
        <v>761</v>
      </c>
      <c r="B699" s="8" t="s">
        <v>751</v>
      </c>
      <c r="C699" s="41" t="s">
        <v>37</v>
      </c>
      <c r="D699" s="1" t="s">
        <v>38</v>
      </c>
      <c r="E699" s="26" t="s">
        <v>39</v>
      </c>
      <c r="F699" s="27">
        <v>0.95238095238095233</v>
      </c>
      <c r="G699" s="33">
        <v>0.33333333333333331</v>
      </c>
      <c r="H699" s="41" t="s">
        <v>408</v>
      </c>
      <c r="I699" s="1" t="s">
        <v>409</v>
      </c>
      <c r="J699" s="26" t="s">
        <v>39</v>
      </c>
      <c r="K699" s="27">
        <v>0.94339622641509424</v>
      </c>
      <c r="L699" s="33">
        <v>0.33333333333333331</v>
      </c>
      <c r="M699" s="41" t="s">
        <v>410</v>
      </c>
      <c r="N699" s="1" t="s">
        <v>38</v>
      </c>
      <c r="O699" s="26" t="s">
        <v>42</v>
      </c>
      <c r="P699" s="27">
        <v>3.2258064516129035</v>
      </c>
      <c r="Q699" s="33">
        <v>0.33333333333333331</v>
      </c>
      <c r="R699" s="55" t="s">
        <v>37</v>
      </c>
      <c r="S699" s="26" t="s">
        <v>38</v>
      </c>
      <c r="T699" s="26" t="s">
        <v>39</v>
      </c>
      <c r="U699" s="27">
        <v>0.95238095238095233</v>
      </c>
      <c r="V699" s="33">
        <v>0.33333333333333331</v>
      </c>
      <c r="W699" s="26" t="s">
        <v>408</v>
      </c>
      <c r="X699" s="26" t="s">
        <v>409</v>
      </c>
      <c r="Y699" s="26" t="s">
        <v>39</v>
      </c>
      <c r="Z699" s="27">
        <v>0.94339622641509424</v>
      </c>
      <c r="AA699" s="33">
        <v>0.33333333333333331</v>
      </c>
      <c r="AB699" s="26" t="s">
        <v>411</v>
      </c>
      <c r="AC699" s="26" t="s">
        <v>38</v>
      </c>
      <c r="AD699" s="26" t="s">
        <v>42</v>
      </c>
      <c r="AE699" s="27">
        <v>2.5</v>
      </c>
      <c r="AF699" s="36">
        <v>0.33333333333333331</v>
      </c>
      <c r="AG699" s="31">
        <v>0</v>
      </c>
      <c r="AH699" t="s">
        <v>44</v>
      </c>
    </row>
    <row r="700" spans="1:34">
      <c r="A700" s="15" t="s">
        <v>762</v>
      </c>
      <c r="B700" s="8" t="s">
        <v>751</v>
      </c>
      <c r="C700" s="41" t="s">
        <v>37</v>
      </c>
      <c r="D700" s="1" t="s">
        <v>38</v>
      </c>
      <c r="E700" s="26" t="s">
        <v>39</v>
      </c>
      <c r="F700" s="27">
        <v>0.95238095238095233</v>
      </c>
      <c r="G700" s="33">
        <v>0.33333333333333331</v>
      </c>
      <c r="H700" s="41" t="s">
        <v>408</v>
      </c>
      <c r="I700" s="1" t="s">
        <v>409</v>
      </c>
      <c r="J700" s="26" t="s">
        <v>39</v>
      </c>
      <c r="K700" s="27">
        <v>0.94339622641509424</v>
      </c>
      <c r="L700" s="33">
        <v>0.33333333333333331</v>
      </c>
      <c r="M700" s="41" t="s">
        <v>410</v>
      </c>
      <c r="N700" s="1" t="s">
        <v>38</v>
      </c>
      <c r="O700" s="26" t="s">
        <v>42</v>
      </c>
      <c r="P700" s="27">
        <v>3.2258064516129035</v>
      </c>
      <c r="Q700" s="33">
        <v>0.33333333333333331</v>
      </c>
      <c r="R700" s="55" t="s">
        <v>37</v>
      </c>
      <c r="S700" s="26" t="s">
        <v>38</v>
      </c>
      <c r="T700" s="26" t="s">
        <v>39</v>
      </c>
      <c r="U700" s="27">
        <v>0.95238095238095233</v>
      </c>
      <c r="V700" s="33">
        <v>0.33333333333333331</v>
      </c>
      <c r="W700" s="26" t="s">
        <v>408</v>
      </c>
      <c r="X700" s="26" t="s">
        <v>409</v>
      </c>
      <c r="Y700" s="26" t="s">
        <v>39</v>
      </c>
      <c r="Z700" s="27">
        <v>0.94339622641509424</v>
      </c>
      <c r="AA700" s="33">
        <v>0.33333333333333331</v>
      </c>
      <c r="AB700" s="26" t="s">
        <v>411</v>
      </c>
      <c r="AC700" s="26" t="s">
        <v>38</v>
      </c>
      <c r="AD700" s="26" t="s">
        <v>42</v>
      </c>
      <c r="AE700" s="27">
        <v>2.5</v>
      </c>
      <c r="AF700" s="36">
        <v>0.33333333333333331</v>
      </c>
      <c r="AG700" s="31">
        <v>0</v>
      </c>
      <c r="AH700" t="s">
        <v>44</v>
      </c>
    </row>
    <row r="701" spans="1:34">
      <c r="A701" s="15" t="s">
        <v>763</v>
      </c>
      <c r="B701" s="8" t="s">
        <v>751</v>
      </c>
      <c r="C701" s="41" t="s">
        <v>37</v>
      </c>
      <c r="D701" s="1" t="s">
        <v>38</v>
      </c>
      <c r="E701" s="26" t="s">
        <v>39</v>
      </c>
      <c r="F701" s="27">
        <v>0.95238095238095233</v>
      </c>
      <c r="G701" s="33">
        <v>0.33333333333333331</v>
      </c>
      <c r="H701" s="41" t="s">
        <v>408</v>
      </c>
      <c r="I701" s="1" t="s">
        <v>409</v>
      </c>
      <c r="J701" s="26" t="s">
        <v>39</v>
      </c>
      <c r="K701" s="27">
        <v>0.94339622641509424</v>
      </c>
      <c r="L701" s="33">
        <v>0.33333333333333331</v>
      </c>
      <c r="M701" s="41" t="s">
        <v>410</v>
      </c>
      <c r="N701" s="1" t="s">
        <v>38</v>
      </c>
      <c r="O701" s="26" t="s">
        <v>42</v>
      </c>
      <c r="P701" s="27">
        <v>3.2258064516129035</v>
      </c>
      <c r="Q701" s="33">
        <v>0.33333333333333331</v>
      </c>
      <c r="R701" s="55" t="s">
        <v>37</v>
      </c>
      <c r="S701" s="26" t="s">
        <v>38</v>
      </c>
      <c r="T701" s="26" t="s">
        <v>39</v>
      </c>
      <c r="U701" s="27">
        <v>0.95238095238095233</v>
      </c>
      <c r="V701" s="33">
        <v>0.33333333333333331</v>
      </c>
      <c r="W701" s="26" t="s">
        <v>408</v>
      </c>
      <c r="X701" s="26" t="s">
        <v>409</v>
      </c>
      <c r="Y701" s="26" t="s">
        <v>39</v>
      </c>
      <c r="Z701" s="27">
        <v>0.94339622641509424</v>
      </c>
      <c r="AA701" s="33">
        <v>0.33333333333333331</v>
      </c>
      <c r="AB701" s="26" t="s">
        <v>411</v>
      </c>
      <c r="AC701" s="26" t="s">
        <v>38</v>
      </c>
      <c r="AD701" s="26" t="s">
        <v>42</v>
      </c>
      <c r="AE701" s="27">
        <v>2.5</v>
      </c>
      <c r="AF701" s="36">
        <v>0.33333333333333331</v>
      </c>
      <c r="AG701" s="31">
        <v>0</v>
      </c>
      <c r="AH701" t="s">
        <v>44</v>
      </c>
    </row>
    <row r="702" spans="1:34">
      <c r="A702" s="15" t="s">
        <v>764</v>
      </c>
      <c r="B702" s="8" t="s">
        <v>751</v>
      </c>
      <c r="C702" s="41" t="s">
        <v>37</v>
      </c>
      <c r="D702" s="1" t="s">
        <v>38</v>
      </c>
      <c r="E702" s="26" t="s">
        <v>39</v>
      </c>
      <c r="F702" s="27">
        <v>0.95238095238095233</v>
      </c>
      <c r="G702" s="33">
        <v>0.33333333333333331</v>
      </c>
      <c r="H702" s="41" t="s">
        <v>408</v>
      </c>
      <c r="I702" s="1" t="s">
        <v>409</v>
      </c>
      <c r="J702" s="26" t="s">
        <v>39</v>
      </c>
      <c r="K702" s="27">
        <v>0.94339622641509424</v>
      </c>
      <c r="L702" s="33">
        <v>0.33333333333333331</v>
      </c>
      <c r="M702" s="41" t="s">
        <v>410</v>
      </c>
      <c r="N702" s="1" t="s">
        <v>38</v>
      </c>
      <c r="O702" s="26" t="s">
        <v>42</v>
      </c>
      <c r="P702" s="27">
        <v>3.2258064516129035</v>
      </c>
      <c r="Q702" s="33">
        <v>0.33333333333333331</v>
      </c>
      <c r="R702" s="55" t="s">
        <v>37</v>
      </c>
      <c r="S702" s="26" t="s">
        <v>38</v>
      </c>
      <c r="T702" s="26" t="s">
        <v>39</v>
      </c>
      <c r="U702" s="27">
        <v>0.95238095238095233</v>
      </c>
      <c r="V702" s="33">
        <v>0.33333333333333331</v>
      </c>
      <c r="W702" s="26" t="s">
        <v>408</v>
      </c>
      <c r="X702" s="26" t="s">
        <v>409</v>
      </c>
      <c r="Y702" s="26" t="s">
        <v>39</v>
      </c>
      <c r="Z702" s="27">
        <v>0.94339622641509424</v>
      </c>
      <c r="AA702" s="33">
        <v>0.33333333333333331</v>
      </c>
      <c r="AB702" s="26" t="s">
        <v>411</v>
      </c>
      <c r="AC702" s="26" t="s">
        <v>38</v>
      </c>
      <c r="AD702" s="26" t="s">
        <v>42</v>
      </c>
      <c r="AE702" s="27">
        <v>2.5</v>
      </c>
      <c r="AF702" s="36">
        <v>0.33333333333333331</v>
      </c>
      <c r="AG702" s="31">
        <v>0</v>
      </c>
      <c r="AH702" t="s">
        <v>44</v>
      </c>
    </row>
    <row r="703" spans="1:34">
      <c r="A703" s="15" t="s">
        <v>765</v>
      </c>
      <c r="B703" s="8" t="s">
        <v>751</v>
      </c>
      <c r="C703" s="41" t="s">
        <v>37</v>
      </c>
      <c r="D703" s="1" t="s">
        <v>38</v>
      </c>
      <c r="E703" s="26" t="s">
        <v>39</v>
      </c>
      <c r="F703" s="27">
        <v>0.95238095238095233</v>
      </c>
      <c r="G703" s="33">
        <v>0.33333333333333331</v>
      </c>
      <c r="H703" s="41" t="s">
        <v>408</v>
      </c>
      <c r="I703" s="1" t="s">
        <v>409</v>
      </c>
      <c r="J703" s="26" t="s">
        <v>39</v>
      </c>
      <c r="K703" s="27">
        <v>0.94339622641509424</v>
      </c>
      <c r="L703" s="33">
        <v>0.33333333333333331</v>
      </c>
      <c r="M703" s="41" t="s">
        <v>410</v>
      </c>
      <c r="N703" s="1" t="s">
        <v>38</v>
      </c>
      <c r="O703" s="26" t="s">
        <v>42</v>
      </c>
      <c r="P703" s="27">
        <v>3.2258064516129035</v>
      </c>
      <c r="Q703" s="33">
        <v>0.33333333333333331</v>
      </c>
      <c r="R703" s="55" t="s">
        <v>37</v>
      </c>
      <c r="S703" s="26" t="s">
        <v>38</v>
      </c>
      <c r="T703" s="26" t="s">
        <v>39</v>
      </c>
      <c r="U703" s="27">
        <v>0.95238095238095233</v>
      </c>
      <c r="V703" s="33">
        <v>0.33333333333333331</v>
      </c>
      <c r="W703" s="26" t="s">
        <v>408</v>
      </c>
      <c r="X703" s="26" t="s">
        <v>409</v>
      </c>
      <c r="Y703" s="26" t="s">
        <v>39</v>
      </c>
      <c r="Z703" s="27">
        <v>0.94339622641509424</v>
      </c>
      <c r="AA703" s="33">
        <v>0.33333333333333331</v>
      </c>
      <c r="AB703" s="26" t="s">
        <v>411</v>
      </c>
      <c r="AC703" s="26" t="s">
        <v>38</v>
      </c>
      <c r="AD703" s="26" t="s">
        <v>42</v>
      </c>
      <c r="AE703" s="27">
        <v>2.5</v>
      </c>
      <c r="AF703" s="36">
        <v>0.33333333333333331</v>
      </c>
      <c r="AG703" s="31">
        <v>0</v>
      </c>
      <c r="AH703" t="s">
        <v>44</v>
      </c>
    </row>
    <row r="704" spans="1:34">
      <c r="A704" s="15" t="s">
        <v>766</v>
      </c>
      <c r="B704" s="8" t="s">
        <v>751</v>
      </c>
      <c r="C704" s="41" t="s">
        <v>37</v>
      </c>
      <c r="D704" s="1" t="s">
        <v>38</v>
      </c>
      <c r="E704" s="26" t="s">
        <v>39</v>
      </c>
      <c r="F704" s="27">
        <v>0.95238095238095233</v>
      </c>
      <c r="G704" s="33">
        <v>0.33333333333333331</v>
      </c>
      <c r="H704" s="41" t="s">
        <v>408</v>
      </c>
      <c r="I704" s="1" t="s">
        <v>409</v>
      </c>
      <c r="J704" s="26" t="s">
        <v>39</v>
      </c>
      <c r="K704" s="27">
        <v>0.94339622641509424</v>
      </c>
      <c r="L704" s="33">
        <v>0.33333333333333331</v>
      </c>
      <c r="M704" s="41" t="s">
        <v>410</v>
      </c>
      <c r="N704" s="1" t="s">
        <v>38</v>
      </c>
      <c r="O704" s="26" t="s">
        <v>42</v>
      </c>
      <c r="P704" s="27">
        <v>3.2258064516129035</v>
      </c>
      <c r="Q704" s="33">
        <v>0.33333333333333331</v>
      </c>
      <c r="R704" s="55" t="s">
        <v>37</v>
      </c>
      <c r="S704" s="26" t="s">
        <v>38</v>
      </c>
      <c r="T704" s="26" t="s">
        <v>39</v>
      </c>
      <c r="U704" s="27">
        <v>0.95238095238095233</v>
      </c>
      <c r="V704" s="33">
        <v>0.33333333333333331</v>
      </c>
      <c r="W704" s="26" t="s">
        <v>408</v>
      </c>
      <c r="X704" s="26" t="s">
        <v>409</v>
      </c>
      <c r="Y704" s="26" t="s">
        <v>39</v>
      </c>
      <c r="Z704" s="27">
        <v>0.94339622641509424</v>
      </c>
      <c r="AA704" s="33">
        <v>0.33333333333333331</v>
      </c>
      <c r="AB704" s="26" t="s">
        <v>411</v>
      </c>
      <c r="AC704" s="26" t="s">
        <v>38</v>
      </c>
      <c r="AD704" s="26" t="s">
        <v>42</v>
      </c>
      <c r="AE704" s="27">
        <v>2.5</v>
      </c>
      <c r="AF704" s="36">
        <v>0.33333333333333331</v>
      </c>
      <c r="AG704" s="31">
        <v>0</v>
      </c>
      <c r="AH704" t="s">
        <v>44</v>
      </c>
    </row>
    <row r="705" spans="1:34">
      <c r="A705" s="15" t="s">
        <v>767</v>
      </c>
      <c r="B705" s="8" t="s">
        <v>751</v>
      </c>
      <c r="C705" s="41" t="s">
        <v>37</v>
      </c>
      <c r="D705" s="1" t="s">
        <v>38</v>
      </c>
      <c r="E705" s="26" t="s">
        <v>39</v>
      </c>
      <c r="F705" s="27">
        <v>0.95238095238095233</v>
      </c>
      <c r="G705" s="33">
        <v>0.33333333333333331</v>
      </c>
      <c r="H705" s="41" t="s">
        <v>408</v>
      </c>
      <c r="I705" s="1" t="s">
        <v>409</v>
      </c>
      <c r="J705" s="26" t="s">
        <v>39</v>
      </c>
      <c r="K705" s="27">
        <v>0.94339622641509424</v>
      </c>
      <c r="L705" s="33">
        <v>0.33333333333333331</v>
      </c>
      <c r="M705" s="41" t="s">
        <v>410</v>
      </c>
      <c r="N705" s="1" t="s">
        <v>38</v>
      </c>
      <c r="O705" s="26" t="s">
        <v>42</v>
      </c>
      <c r="P705" s="27">
        <v>3.2258064516129035</v>
      </c>
      <c r="Q705" s="33">
        <v>0.33333333333333331</v>
      </c>
      <c r="R705" s="55" t="s">
        <v>37</v>
      </c>
      <c r="S705" s="26" t="s">
        <v>38</v>
      </c>
      <c r="T705" s="26" t="s">
        <v>39</v>
      </c>
      <c r="U705" s="27">
        <v>0.95238095238095233</v>
      </c>
      <c r="V705" s="33">
        <v>0.33333333333333331</v>
      </c>
      <c r="W705" s="26" t="s">
        <v>408</v>
      </c>
      <c r="X705" s="26" t="s">
        <v>409</v>
      </c>
      <c r="Y705" s="26" t="s">
        <v>39</v>
      </c>
      <c r="Z705" s="27">
        <v>0.94339622641509424</v>
      </c>
      <c r="AA705" s="33">
        <v>0.33333333333333331</v>
      </c>
      <c r="AB705" s="26" t="s">
        <v>411</v>
      </c>
      <c r="AC705" s="26" t="s">
        <v>38</v>
      </c>
      <c r="AD705" s="26" t="s">
        <v>42</v>
      </c>
      <c r="AE705" s="27">
        <v>2.5</v>
      </c>
      <c r="AF705" s="36">
        <v>0.33333333333333331</v>
      </c>
      <c r="AG705" s="31">
        <v>0</v>
      </c>
      <c r="AH705" t="s">
        <v>44</v>
      </c>
    </row>
    <row r="706" spans="1:34">
      <c r="A706" s="15" t="s">
        <v>768</v>
      </c>
      <c r="B706" s="8" t="s">
        <v>751</v>
      </c>
      <c r="C706" s="41" t="s">
        <v>37</v>
      </c>
      <c r="D706" s="1" t="s">
        <v>38</v>
      </c>
      <c r="E706" s="26" t="s">
        <v>39</v>
      </c>
      <c r="F706" s="27">
        <v>0.95238095238095233</v>
      </c>
      <c r="G706" s="33">
        <v>0.33333333333333331</v>
      </c>
      <c r="H706" s="41" t="s">
        <v>408</v>
      </c>
      <c r="I706" s="1" t="s">
        <v>409</v>
      </c>
      <c r="J706" s="26" t="s">
        <v>39</v>
      </c>
      <c r="K706" s="27">
        <v>0.94339622641509424</v>
      </c>
      <c r="L706" s="33">
        <v>0.33333333333333331</v>
      </c>
      <c r="M706" s="41" t="s">
        <v>410</v>
      </c>
      <c r="N706" s="1" t="s">
        <v>38</v>
      </c>
      <c r="O706" s="26" t="s">
        <v>42</v>
      </c>
      <c r="P706" s="27">
        <v>3.2258064516129035</v>
      </c>
      <c r="Q706" s="33">
        <v>0.33333333333333331</v>
      </c>
      <c r="R706" s="55" t="s">
        <v>37</v>
      </c>
      <c r="S706" s="26" t="s">
        <v>38</v>
      </c>
      <c r="T706" s="26" t="s">
        <v>39</v>
      </c>
      <c r="U706" s="27">
        <v>0.95238095238095233</v>
      </c>
      <c r="V706" s="33">
        <v>0.33333333333333331</v>
      </c>
      <c r="W706" s="26" t="s">
        <v>408</v>
      </c>
      <c r="X706" s="26" t="s">
        <v>409</v>
      </c>
      <c r="Y706" s="26" t="s">
        <v>39</v>
      </c>
      <c r="Z706" s="27">
        <v>0.94339622641509424</v>
      </c>
      <c r="AA706" s="33">
        <v>0.33333333333333331</v>
      </c>
      <c r="AB706" s="26" t="s">
        <v>411</v>
      </c>
      <c r="AC706" s="26" t="s">
        <v>38</v>
      </c>
      <c r="AD706" s="26" t="s">
        <v>42</v>
      </c>
      <c r="AE706" s="27">
        <v>2.5</v>
      </c>
      <c r="AF706" s="36">
        <v>0.33333333333333331</v>
      </c>
      <c r="AG706" s="31">
        <v>0</v>
      </c>
      <c r="AH706" t="s">
        <v>44</v>
      </c>
    </row>
    <row r="707" spans="1:34">
      <c r="A707" s="15" t="s">
        <v>769</v>
      </c>
      <c r="B707" s="8" t="s">
        <v>751</v>
      </c>
      <c r="C707" s="41" t="s">
        <v>37</v>
      </c>
      <c r="D707" s="1" t="s">
        <v>38</v>
      </c>
      <c r="E707" s="26" t="s">
        <v>39</v>
      </c>
      <c r="F707" s="27">
        <v>0.95238095238095233</v>
      </c>
      <c r="G707" s="33">
        <v>0.33333333333333331</v>
      </c>
      <c r="H707" s="41" t="s">
        <v>408</v>
      </c>
      <c r="I707" s="1" t="s">
        <v>409</v>
      </c>
      <c r="J707" s="26" t="s">
        <v>39</v>
      </c>
      <c r="K707" s="27">
        <v>0.94339622641509424</v>
      </c>
      <c r="L707" s="33">
        <v>0.33333333333333331</v>
      </c>
      <c r="M707" s="41" t="s">
        <v>410</v>
      </c>
      <c r="N707" s="1" t="s">
        <v>38</v>
      </c>
      <c r="O707" s="26" t="s">
        <v>42</v>
      </c>
      <c r="P707" s="27">
        <v>3.2258064516129035</v>
      </c>
      <c r="Q707" s="33">
        <v>0.33333333333333331</v>
      </c>
      <c r="R707" s="55" t="s">
        <v>37</v>
      </c>
      <c r="S707" s="26" t="s">
        <v>38</v>
      </c>
      <c r="T707" s="26" t="s">
        <v>39</v>
      </c>
      <c r="U707" s="27">
        <v>0.95238095238095233</v>
      </c>
      <c r="V707" s="33">
        <v>0.33333333333333331</v>
      </c>
      <c r="W707" s="26" t="s">
        <v>408</v>
      </c>
      <c r="X707" s="26" t="s">
        <v>409</v>
      </c>
      <c r="Y707" s="26" t="s">
        <v>39</v>
      </c>
      <c r="Z707" s="27">
        <v>0.94339622641509424</v>
      </c>
      <c r="AA707" s="33">
        <v>0.33333333333333331</v>
      </c>
      <c r="AB707" s="26" t="s">
        <v>411</v>
      </c>
      <c r="AC707" s="26" t="s">
        <v>38</v>
      </c>
      <c r="AD707" s="26" t="s">
        <v>42</v>
      </c>
      <c r="AE707" s="27">
        <v>2.5</v>
      </c>
      <c r="AF707" s="36">
        <v>0.33333333333333331</v>
      </c>
      <c r="AG707" s="31">
        <v>0</v>
      </c>
      <c r="AH707" t="s">
        <v>44</v>
      </c>
    </row>
    <row r="708" spans="1:34">
      <c r="A708" s="15" t="s">
        <v>770</v>
      </c>
      <c r="B708" s="8" t="s">
        <v>751</v>
      </c>
      <c r="C708" s="41" t="s">
        <v>37</v>
      </c>
      <c r="D708" s="1" t="s">
        <v>38</v>
      </c>
      <c r="E708" s="26" t="s">
        <v>39</v>
      </c>
      <c r="F708" s="27">
        <v>0.95238095238095233</v>
      </c>
      <c r="G708" s="33">
        <v>0.33333333333333331</v>
      </c>
      <c r="H708" s="41" t="s">
        <v>408</v>
      </c>
      <c r="I708" s="1" t="s">
        <v>409</v>
      </c>
      <c r="J708" s="26" t="s">
        <v>39</v>
      </c>
      <c r="K708" s="27">
        <v>0.94339622641509424</v>
      </c>
      <c r="L708" s="33">
        <v>0.33333333333333331</v>
      </c>
      <c r="M708" s="41" t="s">
        <v>410</v>
      </c>
      <c r="N708" s="1" t="s">
        <v>38</v>
      </c>
      <c r="O708" s="26" t="s">
        <v>42</v>
      </c>
      <c r="P708" s="27">
        <v>3.2258064516129035</v>
      </c>
      <c r="Q708" s="33">
        <v>0.33333333333333331</v>
      </c>
      <c r="R708" s="55" t="s">
        <v>37</v>
      </c>
      <c r="S708" s="26" t="s">
        <v>38</v>
      </c>
      <c r="T708" s="26" t="s">
        <v>39</v>
      </c>
      <c r="U708" s="27">
        <v>0.95238095238095233</v>
      </c>
      <c r="V708" s="33">
        <v>0.33333333333333331</v>
      </c>
      <c r="W708" s="26" t="s">
        <v>408</v>
      </c>
      <c r="X708" s="26" t="s">
        <v>409</v>
      </c>
      <c r="Y708" s="26" t="s">
        <v>39</v>
      </c>
      <c r="Z708" s="27">
        <v>0.94339622641509424</v>
      </c>
      <c r="AA708" s="33">
        <v>0.33333333333333331</v>
      </c>
      <c r="AB708" s="26" t="s">
        <v>411</v>
      </c>
      <c r="AC708" s="26" t="s">
        <v>38</v>
      </c>
      <c r="AD708" s="26" t="s">
        <v>42</v>
      </c>
      <c r="AE708" s="27">
        <v>2.5</v>
      </c>
      <c r="AF708" s="36">
        <v>0.33333333333333331</v>
      </c>
      <c r="AG708" s="31">
        <v>0</v>
      </c>
      <c r="AH708" t="s">
        <v>44</v>
      </c>
    </row>
    <row r="709" spans="1:34">
      <c r="A709" s="15" t="s">
        <v>771</v>
      </c>
      <c r="B709" s="8" t="s">
        <v>751</v>
      </c>
      <c r="C709" s="41" t="s">
        <v>37</v>
      </c>
      <c r="D709" s="1" t="s">
        <v>38</v>
      </c>
      <c r="E709" s="26" t="s">
        <v>39</v>
      </c>
      <c r="F709" s="27">
        <v>0.95238095238095233</v>
      </c>
      <c r="G709" s="33">
        <v>0.33333333333333331</v>
      </c>
      <c r="H709" s="41" t="s">
        <v>408</v>
      </c>
      <c r="I709" s="1" t="s">
        <v>409</v>
      </c>
      <c r="J709" s="26" t="s">
        <v>39</v>
      </c>
      <c r="K709" s="27">
        <v>0.94339622641509424</v>
      </c>
      <c r="L709" s="33">
        <v>0.33333333333333331</v>
      </c>
      <c r="M709" s="41" t="s">
        <v>410</v>
      </c>
      <c r="N709" s="1" t="s">
        <v>38</v>
      </c>
      <c r="O709" s="26" t="s">
        <v>42</v>
      </c>
      <c r="P709" s="27">
        <v>3.2258064516129035</v>
      </c>
      <c r="Q709" s="33">
        <v>0.33333333333333331</v>
      </c>
      <c r="R709" s="55" t="s">
        <v>37</v>
      </c>
      <c r="S709" s="26" t="s">
        <v>38</v>
      </c>
      <c r="T709" s="26" t="s">
        <v>39</v>
      </c>
      <c r="U709" s="27">
        <v>0.95238095238095233</v>
      </c>
      <c r="V709" s="33">
        <v>0.33333333333333331</v>
      </c>
      <c r="W709" s="26" t="s">
        <v>408</v>
      </c>
      <c r="X709" s="26" t="s">
        <v>409</v>
      </c>
      <c r="Y709" s="26" t="s">
        <v>39</v>
      </c>
      <c r="Z709" s="27">
        <v>0.94339622641509424</v>
      </c>
      <c r="AA709" s="33">
        <v>0.33333333333333331</v>
      </c>
      <c r="AB709" s="26" t="s">
        <v>411</v>
      </c>
      <c r="AC709" s="26" t="s">
        <v>38</v>
      </c>
      <c r="AD709" s="26" t="s">
        <v>42</v>
      </c>
      <c r="AE709" s="27">
        <v>2.5</v>
      </c>
      <c r="AF709" s="36">
        <v>0.33333333333333331</v>
      </c>
      <c r="AG709" s="31">
        <v>0</v>
      </c>
      <c r="AH709" t="s">
        <v>44</v>
      </c>
    </row>
    <row r="710" spans="1:34">
      <c r="A710" s="15" t="s">
        <v>772</v>
      </c>
      <c r="B710" s="8" t="s">
        <v>751</v>
      </c>
      <c r="C710" s="41" t="s">
        <v>37</v>
      </c>
      <c r="D710" s="1" t="s">
        <v>38</v>
      </c>
      <c r="E710" s="26" t="s">
        <v>39</v>
      </c>
      <c r="F710" s="27">
        <v>0.95238095238095233</v>
      </c>
      <c r="G710" s="33">
        <v>0.33333333333333331</v>
      </c>
      <c r="H710" s="41" t="s">
        <v>408</v>
      </c>
      <c r="I710" s="1" t="s">
        <v>409</v>
      </c>
      <c r="J710" s="26" t="s">
        <v>39</v>
      </c>
      <c r="K710" s="27">
        <v>0.94339622641509424</v>
      </c>
      <c r="L710" s="33">
        <v>0.33333333333333331</v>
      </c>
      <c r="M710" s="41" t="s">
        <v>410</v>
      </c>
      <c r="N710" s="1" t="s">
        <v>38</v>
      </c>
      <c r="O710" s="26" t="s">
        <v>42</v>
      </c>
      <c r="P710" s="27">
        <v>3.2258064516129035</v>
      </c>
      <c r="Q710" s="33">
        <v>0.33333333333333331</v>
      </c>
      <c r="R710" s="55" t="s">
        <v>37</v>
      </c>
      <c r="S710" s="26" t="s">
        <v>38</v>
      </c>
      <c r="T710" s="26" t="s">
        <v>39</v>
      </c>
      <c r="U710" s="27">
        <v>0.95238095238095233</v>
      </c>
      <c r="V710" s="33">
        <v>0.33333333333333331</v>
      </c>
      <c r="W710" s="26" t="s">
        <v>408</v>
      </c>
      <c r="X710" s="26" t="s">
        <v>409</v>
      </c>
      <c r="Y710" s="26" t="s">
        <v>39</v>
      </c>
      <c r="Z710" s="27">
        <v>0.94339622641509424</v>
      </c>
      <c r="AA710" s="33">
        <v>0.33333333333333331</v>
      </c>
      <c r="AB710" s="26" t="s">
        <v>411</v>
      </c>
      <c r="AC710" s="26" t="s">
        <v>38</v>
      </c>
      <c r="AD710" s="26" t="s">
        <v>42</v>
      </c>
      <c r="AE710" s="27">
        <v>2.5</v>
      </c>
      <c r="AF710" s="36">
        <v>0.33333333333333331</v>
      </c>
      <c r="AG710" s="31">
        <v>0</v>
      </c>
      <c r="AH710" t="s">
        <v>44</v>
      </c>
    </row>
    <row r="711" spans="1:34">
      <c r="A711" s="15" t="s">
        <v>773</v>
      </c>
      <c r="B711" s="8" t="s">
        <v>751</v>
      </c>
      <c r="C711" s="41" t="s">
        <v>37</v>
      </c>
      <c r="D711" s="1" t="s">
        <v>38</v>
      </c>
      <c r="E711" s="26" t="s">
        <v>39</v>
      </c>
      <c r="F711" s="27">
        <v>0.95238095238095233</v>
      </c>
      <c r="G711" s="33">
        <v>0.33333333333333331</v>
      </c>
      <c r="H711" s="41" t="s">
        <v>408</v>
      </c>
      <c r="I711" s="1" t="s">
        <v>409</v>
      </c>
      <c r="J711" s="26" t="s">
        <v>39</v>
      </c>
      <c r="K711" s="27">
        <v>0.94339622641509424</v>
      </c>
      <c r="L711" s="33">
        <v>0.33333333333333331</v>
      </c>
      <c r="M711" s="41" t="s">
        <v>410</v>
      </c>
      <c r="N711" s="1" t="s">
        <v>38</v>
      </c>
      <c r="O711" s="26" t="s">
        <v>42</v>
      </c>
      <c r="P711" s="27">
        <v>3.2258064516129035</v>
      </c>
      <c r="Q711" s="33">
        <v>0.33333333333333331</v>
      </c>
      <c r="R711" s="55" t="s">
        <v>37</v>
      </c>
      <c r="S711" s="26" t="s">
        <v>38</v>
      </c>
      <c r="T711" s="26" t="s">
        <v>39</v>
      </c>
      <c r="U711" s="27">
        <v>0.95238095238095233</v>
      </c>
      <c r="V711" s="33">
        <v>0.33333333333333331</v>
      </c>
      <c r="W711" s="26" t="s">
        <v>408</v>
      </c>
      <c r="X711" s="26" t="s">
        <v>409</v>
      </c>
      <c r="Y711" s="26" t="s">
        <v>39</v>
      </c>
      <c r="Z711" s="27">
        <v>0.94339622641509424</v>
      </c>
      <c r="AA711" s="33">
        <v>0.33333333333333331</v>
      </c>
      <c r="AB711" s="26" t="s">
        <v>411</v>
      </c>
      <c r="AC711" s="26" t="s">
        <v>38</v>
      </c>
      <c r="AD711" s="26" t="s">
        <v>42</v>
      </c>
      <c r="AE711" s="27">
        <v>2.5</v>
      </c>
      <c r="AF711" s="36">
        <v>0.33333333333333331</v>
      </c>
      <c r="AG711" s="31">
        <v>0</v>
      </c>
      <c r="AH711" t="s">
        <v>44</v>
      </c>
    </row>
    <row r="712" spans="1:34">
      <c r="A712" s="15" t="s">
        <v>774</v>
      </c>
      <c r="B712" s="8" t="s">
        <v>751</v>
      </c>
      <c r="C712" s="41" t="s">
        <v>37</v>
      </c>
      <c r="D712" s="1" t="s">
        <v>38</v>
      </c>
      <c r="E712" s="26" t="s">
        <v>39</v>
      </c>
      <c r="F712" s="27">
        <v>0.95238095238095233</v>
      </c>
      <c r="G712" s="33">
        <v>0.33333333333333331</v>
      </c>
      <c r="H712" s="41" t="s">
        <v>408</v>
      </c>
      <c r="I712" s="1" t="s">
        <v>409</v>
      </c>
      <c r="J712" s="26" t="s">
        <v>39</v>
      </c>
      <c r="K712" s="27">
        <v>0.94339622641509424</v>
      </c>
      <c r="L712" s="33">
        <v>0.33333333333333331</v>
      </c>
      <c r="M712" s="41" t="s">
        <v>410</v>
      </c>
      <c r="N712" s="1" t="s">
        <v>38</v>
      </c>
      <c r="O712" s="26" t="s">
        <v>42</v>
      </c>
      <c r="P712" s="27">
        <v>3.2258064516129035</v>
      </c>
      <c r="Q712" s="33">
        <v>0.33333333333333331</v>
      </c>
      <c r="R712" s="55" t="s">
        <v>37</v>
      </c>
      <c r="S712" s="26" t="s">
        <v>38</v>
      </c>
      <c r="T712" s="26" t="s">
        <v>39</v>
      </c>
      <c r="U712" s="27">
        <v>0.95238095238095233</v>
      </c>
      <c r="V712" s="33">
        <v>0.33333333333333331</v>
      </c>
      <c r="W712" s="26" t="s">
        <v>408</v>
      </c>
      <c r="X712" s="26" t="s">
        <v>409</v>
      </c>
      <c r="Y712" s="26" t="s">
        <v>39</v>
      </c>
      <c r="Z712" s="27">
        <v>0.94339622641509424</v>
      </c>
      <c r="AA712" s="33">
        <v>0.33333333333333331</v>
      </c>
      <c r="AB712" s="26" t="s">
        <v>411</v>
      </c>
      <c r="AC712" s="26" t="s">
        <v>38</v>
      </c>
      <c r="AD712" s="26" t="s">
        <v>42</v>
      </c>
      <c r="AE712" s="27">
        <v>2.5</v>
      </c>
      <c r="AF712" s="36">
        <v>0.33333333333333331</v>
      </c>
      <c r="AG712" s="31">
        <v>0</v>
      </c>
      <c r="AH712" t="s">
        <v>44</v>
      </c>
    </row>
    <row r="713" spans="1:34">
      <c r="A713" s="15" t="s">
        <v>775</v>
      </c>
      <c r="B713" s="8" t="s">
        <v>751</v>
      </c>
      <c r="C713" s="41" t="s">
        <v>37</v>
      </c>
      <c r="D713" s="1" t="s">
        <v>38</v>
      </c>
      <c r="E713" s="26" t="s">
        <v>39</v>
      </c>
      <c r="F713" s="27">
        <v>0.95238095238095233</v>
      </c>
      <c r="G713" s="33">
        <v>0.33333333333333331</v>
      </c>
      <c r="H713" s="41" t="s">
        <v>408</v>
      </c>
      <c r="I713" s="1" t="s">
        <v>409</v>
      </c>
      <c r="J713" s="26" t="s">
        <v>39</v>
      </c>
      <c r="K713" s="27">
        <v>0.94339622641509424</v>
      </c>
      <c r="L713" s="33">
        <v>0.33333333333333331</v>
      </c>
      <c r="M713" s="41" t="s">
        <v>410</v>
      </c>
      <c r="N713" s="1" t="s">
        <v>38</v>
      </c>
      <c r="O713" s="26" t="s">
        <v>42</v>
      </c>
      <c r="P713" s="27">
        <v>3.2258064516129035</v>
      </c>
      <c r="Q713" s="33">
        <v>0.33333333333333331</v>
      </c>
      <c r="R713" s="55" t="s">
        <v>37</v>
      </c>
      <c r="S713" s="26" t="s">
        <v>38</v>
      </c>
      <c r="T713" s="26" t="s">
        <v>39</v>
      </c>
      <c r="U713" s="27">
        <v>0.95238095238095233</v>
      </c>
      <c r="V713" s="33">
        <v>0.33333333333333331</v>
      </c>
      <c r="W713" s="26" t="s">
        <v>408</v>
      </c>
      <c r="X713" s="26" t="s">
        <v>409</v>
      </c>
      <c r="Y713" s="26" t="s">
        <v>39</v>
      </c>
      <c r="Z713" s="27">
        <v>0.94339622641509424</v>
      </c>
      <c r="AA713" s="33">
        <v>0.33333333333333331</v>
      </c>
      <c r="AB713" s="26" t="s">
        <v>411</v>
      </c>
      <c r="AC713" s="26" t="s">
        <v>38</v>
      </c>
      <c r="AD713" s="26" t="s">
        <v>42</v>
      </c>
      <c r="AE713" s="27">
        <v>2.5</v>
      </c>
      <c r="AF713" s="36">
        <v>0.33333333333333331</v>
      </c>
      <c r="AG713" s="31">
        <v>0</v>
      </c>
      <c r="AH713" t="s">
        <v>44</v>
      </c>
    </row>
    <row r="714" spans="1:34">
      <c r="A714" s="15" t="s">
        <v>776</v>
      </c>
      <c r="B714" s="8" t="s">
        <v>751</v>
      </c>
      <c r="C714" s="41" t="s">
        <v>37</v>
      </c>
      <c r="D714" s="1" t="s">
        <v>38</v>
      </c>
      <c r="E714" s="26" t="s">
        <v>39</v>
      </c>
      <c r="F714" s="27">
        <v>0.95238095238095233</v>
      </c>
      <c r="G714" s="33">
        <v>0.33333333333333331</v>
      </c>
      <c r="H714" s="41" t="s">
        <v>408</v>
      </c>
      <c r="I714" s="1" t="s">
        <v>409</v>
      </c>
      <c r="J714" s="26" t="s">
        <v>39</v>
      </c>
      <c r="K714" s="27">
        <v>0.94339622641509424</v>
      </c>
      <c r="L714" s="33">
        <v>0.33333333333333331</v>
      </c>
      <c r="M714" s="41" t="s">
        <v>410</v>
      </c>
      <c r="N714" s="1" t="s">
        <v>38</v>
      </c>
      <c r="O714" s="26" t="s">
        <v>42</v>
      </c>
      <c r="P714" s="27">
        <v>3.2258064516129035</v>
      </c>
      <c r="Q714" s="33">
        <v>0.33333333333333331</v>
      </c>
      <c r="R714" s="55" t="s">
        <v>37</v>
      </c>
      <c r="S714" s="26" t="s">
        <v>38</v>
      </c>
      <c r="T714" s="26" t="s">
        <v>39</v>
      </c>
      <c r="U714" s="27">
        <v>0.95238095238095233</v>
      </c>
      <c r="V714" s="33">
        <v>0.33333333333333331</v>
      </c>
      <c r="W714" s="26" t="s">
        <v>408</v>
      </c>
      <c r="X714" s="26" t="s">
        <v>409</v>
      </c>
      <c r="Y714" s="26" t="s">
        <v>39</v>
      </c>
      <c r="Z714" s="27">
        <v>0.94339622641509424</v>
      </c>
      <c r="AA714" s="33">
        <v>0.33333333333333331</v>
      </c>
      <c r="AB714" s="26" t="s">
        <v>411</v>
      </c>
      <c r="AC714" s="26" t="s">
        <v>38</v>
      </c>
      <c r="AD714" s="26" t="s">
        <v>42</v>
      </c>
      <c r="AE714" s="27">
        <v>2.5</v>
      </c>
      <c r="AF714" s="36">
        <v>0.33333333333333331</v>
      </c>
      <c r="AG714" s="31">
        <v>0</v>
      </c>
      <c r="AH714" t="s">
        <v>44</v>
      </c>
    </row>
    <row r="715" spans="1:34">
      <c r="A715" s="15" t="s">
        <v>777</v>
      </c>
      <c r="B715" s="8" t="s">
        <v>751</v>
      </c>
      <c r="C715" s="41" t="s">
        <v>37</v>
      </c>
      <c r="D715" s="1" t="s">
        <v>38</v>
      </c>
      <c r="E715" s="26" t="s">
        <v>39</v>
      </c>
      <c r="F715" s="27">
        <v>0.95238095238095233</v>
      </c>
      <c r="G715" s="33">
        <v>0.33333333333333331</v>
      </c>
      <c r="H715" s="41" t="s">
        <v>408</v>
      </c>
      <c r="I715" s="1" t="s">
        <v>409</v>
      </c>
      <c r="J715" s="26" t="s">
        <v>39</v>
      </c>
      <c r="K715" s="27">
        <v>0.94339622641509424</v>
      </c>
      <c r="L715" s="33">
        <v>0.33333333333333331</v>
      </c>
      <c r="M715" s="41" t="s">
        <v>410</v>
      </c>
      <c r="N715" s="1" t="s">
        <v>38</v>
      </c>
      <c r="O715" s="26" t="s">
        <v>42</v>
      </c>
      <c r="P715" s="27">
        <v>3.2258064516129035</v>
      </c>
      <c r="Q715" s="33">
        <v>0.33333333333333331</v>
      </c>
      <c r="R715" s="55" t="s">
        <v>37</v>
      </c>
      <c r="S715" s="26" t="s">
        <v>38</v>
      </c>
      <c r="T715" s="26" t="s">
        <v>39</v>
      </c>
      <c r="U715" s="27">
        <v>0.95238095238095233</v>
      </c>
      <c r="V715" s="33">
        <v>0.33333333333333331</v>
      </c>
      <c r="W715" s="26" t="s">
        <v>408</v>
      </c>
      <c r="X715" s="26" t="s">
        <v>409</v>
      </c>
      <c r="Y715" s="26" t="s">
        <v>39</v>
      </c>
      <c r="Z715" s="27">
        <v>0.94339622641509424</v>
      </c>
      <c r="AA715" s="33">
        <v>0.33333333333333331</v>
      </c>
      <c r="AB715" s="26" t="s">
        <v>411</v>
      </c>
      <c r="AC715" s="26" t="s">
        <v>38</v>
      </c>
      <c r="AD715" s="26" t="s">
        <v>42</v>
      </c>
      <c r="AE715" s="27">
        <v>2.5</v>
      </c>
      <c r="AF715" s="36">
        <v>0.33333333333333331</v>
      </c>
      <c r="AG715" s="31">
        <v>0</v>
      </c>
      <c r="AH715" t="s">
        <v>44</v>
      </c>
    </row>
    <row r="716" spans="1:34">
      <c r="A716" s="15" t="s">
        <v>778</v>
      </c>
      <c r="B716" s="8" t="s">
        <v>751</v>
      </c>
      <c r="C716" s="41" t="s">
        <v>37</v>
      </c>
      <c r="D716" s="1" t="s">
        <v>38</v>
      </c>
      <c r="E716" s="26" t="s">
        <v>39</v>
      </c>
      <c r="F716" s="27">
        <v>0.95238095238095233</v>
      </c>
      <c r="G716" s="33">
        <v>0.33333333333333331</v>
      </c>
      <c r="H716" s="41" t="s">
        <v>408</v>
      </c>
      <c r="I716" s="1" t="s">
        <v>409</v>
      </c>
      <c r="J716" s="26" t="s">
        <v>39</v>
      </c>
      <c r="K716" s="27">
        <v>0.94339622641509424</v>
      </c>
      <c r="L716" s="33">
        <v>0.33333333333333331</v>
      </c>
      <c r="M716" s="41" t="s">
        <v>410</v>
      </c>
      <c r="N716" s="1" t="s">
        <v>38</v>
      </c>
      <c r="O716" s="26" t="s">
        <v>42</v>
      </c>
      <c r="P716" s="27">
        <v>3.2258064516129035</v>
      </c>
      <c r="Q716" s="33">
        <v>0.33333333333333331</v>
      </c>
      <c r="R716" s="55" t="s">
        <v>37</v>
      </c>
      <c r="S716" s="26" t="s">
        <v>38</v>
      </c>
      <c r="T716" s="26" t="s">
        <v>39</v>
      </c>
      <c r="U716" s="27">
        <v>0.95238095238095233</v>
      </c>
      <c r="V716" s="33">
        <v>0.33333333333333331</v>
      </c>
      <c r="W716" s="26" t="s">
        <v>408</v>
      </c>
      <c r="X716" s="26" t="s">
        <v>409</v>
      </c>
      <c r="Y716" s="26" t="s">
        <v>39</v>
      </c>
      <c r="Z716" s="27">
        <v>0.94339622641509424</v>
      </c>
      <c r="AA716" s="33">
        <v>0.33333333333333331</v>
      </c>
      <c r="AB716" s="26" t="s">
        <v>411</v>
      </c>
      <c r="AC716" s="26" t="s">
        <v>38</v>
      </c>
      <c r="AD716" s="26" t="s">
        <v>42</v>
      </c>
      <c r="AE716" s="27">
        <v>2.5</v>
      </c>
      <c r="AF716" s="36">
        <v>0.33333333333333331</v>
      </c>
      <c r="AG716" s="31">
        <v>0</v>
      </c>
      <c r="AH716" t="s">
        <v>44</v>
      </c>
    </row>
    <row r="717" spans="1:34">
      <c r="A717" s="15" t="s">
        <v>779</v>
      </c>
      <c r="B717" s="8" t="s">
        <v>751</v>
      </c>
      <c r="C717" s="41" t="s">
        <v>37</v>
      </c>
      <c r="D717" s="1" t="s">
        <v>38</v>
      </c>
      <c r="E717" s="26" t="s">
        <v>39</v>
      </c>
      <c r="F717" s="27">
        <v>0.95238095238095233</v>
      </c>
      <c r="G717" s="33">
        <v>0.33333333333333331</v>
      </c>
      <c r="H717" s="41" t="s">
        <v>408</v>
      </c>
      <c r="I717" s="1" t="s">
        <v>409</v>
      </c>
      <c r="J717" s="26" t="s">
        <v>39</v>
      </c>
      <c r="K717" s="27">
        <v>0.94339622641509424</v>
      </c>
      <c r="L717" s="33">
        <v>0.33333333333333331</v>
      </c>
      <c r="M717" s="41" t="s">
        <v>410</v>
      </c>
      <c r="N717" s="1" t="s">
        <v>38</v>
      </c>
      <c r="O717" s="26" t="s">
        <v>42</v>
      </c>
      <c r="P717" s="27">
        <v>3.2258064516129035</v>
      </c>
      <c r="Q717" s="33">
        <v>0.33333333333333331</v>
      </c>
      <c r="R717" s="55" t="s">
        <v>37</v>
      </c>
      <c r="S717" s="26" t="s">
        <v>38</v>
      </c>
      <c r="T717" s="26" t="s">
        <v>39</v>
      </c>
      <c r="U717" s="27">
        <v>0.95238095238095233</v>
      </c>
      <c r="V717" s="33">
        <v>0.33333333333333331</v>
      </c>
      <c r="W717" s="26" t="s">
        <v>408</v>
      </c>
      <c r="X717" s="26" t="s">
        <v>409</v>
      </c>
      <c r="Y717" s="26" t="s">
        <v>39</v>
      </c>
      <c r="Z717" s="27">
        <v>0.94339622641509424</v>
      </c>
      <c r="AA717" s="33">
        <v>0.33333333333333331</v>
      </c>
      <c r="AB717" s="26" t="s">
        <v>411</v>
      </c>
      <c r="AC717" s="26" t="s">
        <v>38</v>
      </c>
      <c r="AD717" s="26" t="s">
        <v>42</v>
      </c>
      <c r="AE717" s="27">
        <v>2.5</v>
      </c>
      <c r="AF717" s="36">
        <v>0.33333333333333331</v>
      </c>
      <c r="AG717" s="31">
        <v>0</v>
      </c>
      <c r="AH717" t="s">
        <v>44</v>
      </c>
    </row>
    <row r="718" spans="1:34">
      <c r="A718" s="15" t="s">
        <v>780</v>
      </c>
      <c r="B718" s="8" t="s">
        <v>751</v>
      </c>
      <c r="C718" s="41" t="s">
        <v>37</v>
      </c>
      <c r="D718" s="1" t="s">
        <v>38</v>
      </c>
      <c r="E718" s="26" t="s">
        <v>39</v>
      </c>
      <c r="F718" s="27">
        <v>0.95238095238095233</v>
      </c>
      <c r="G718" s="33">
        <v>0.33333333333333331</v>
      </c>
      <c r="H718" s="41" t="s">
        <v>408</v>
      </c>
      <c r="I718" s="1" t="s">
        <v>409</v>
      </c>
      <c r="J718" s="26" t="s">
        <v>39</v>
      </c>
      <c r="K718" s="27">
        <v>0.94339622641509424</v>
      </c>
      <c r="L718" s="33">
        <v>0.33333333333333331</v>
      </c>
      <c r="M718" s="41" t="s">
        <v>410</v>
      </c>
      <c r="N718" s="1" t="s">
        <v>38</v>
      </c>
      <c r="O718" s="26" t="s">
        <v>42</v>
      </c>
      <c r="P718" s="27">
        <v>3.2258064516129035</v>
      </c>
      <c r="Q718" s="33">
        <v>0.33333333333333331</v>
      </c>
      <c r="R718" s="55" t="s">
        <v>37</v>
      </c>
      <c r="S718" s="26" t="s">
        <v>38</v>
      </c>
      <c r="T718" s="26" t="s">
        <v>39</v>
      </c>
      <c r="U718" s="27">
        <v>0.95238095238095233</v>
      </c>
      <c r="V718" s="33">
        <v>0.33333333333333331</v>
      </c>
      <c r="W718" s="26" t="s">
        <v>408</v>
      </c>
      <c r="X718" s="26" t="s">
        <v>409</v>
      </c>
      <c r="Y718" s="26" t="s">
        <v>39</v>
      </c>
      <c r="Z718" s="27">
        <v>0.94339622641509424</v>
      </c>
      <c r="AA718" s="33">
        <v>0.33333333333333331</v>
      </c>
      <c r="AB718" s="26" t="s">
        <v>411</v>
      </c>
      <c r="AC718" s="26" t="s">
        <v>38</v>
      </c>
      <c r="AD718" s="26" t="s">
        <v>42</v>
      </c>
      <c r="AE718" s="27">
        <v>2.5</v>
      </c>
      <c r="AF718" s="36">
        <v>0.33333333333333331</v>
      </c>
      <c r="AG718" s="31">
        <v>0</v>
      </c>
      <c r="AH718" t="s">
        <v>44</v>
      </c>
    </row>
    <row r="719" spans="1:34">
      <c r="A719" s="15" t="s">
        <v>781</v>
      </c>
      <c r="B719" s="8" t="s">
        <v>751</v>
      </c>
      <c r="C719" s="41" t="s">
        <v>37</v>
      </c>
      <c r="D719" s="1" t="s">
        <v>38</v>
      </c>
      <c r="E719" s="26" t="s">
        <v>39</v>
      </c>
      <c r="F719" s="27">
        <v>0.95238095238095233</v>
      </c>
      <c r="G719" s="33">
        <v>0.33333333333333331</v>
      </c>
      <c r="H719" s="41" t="s">
        <v>408</v>
      </c>
      <c r="I719" s="1" t="s">
        <v>409</v>
      </c>
      <c r="J719" s="26" t="s">
        <v>39</v>
      </c>
      <c r="K719" s="27">
        <v>0.94339622641509424</v>
      </c>
      <c r="L719" s="33">
        <v>0.33333333333333331</v>
      </c>
      <c r="M719" s="41" t="s">
        <v>410</v>
      </c>
      <c r="N719" s="1" t="s">
        <v>38</v>
      </c>
      <c r="O719" s="26" t="s">
        <v>42</v>
      </c>
      <c r="P719" s="27">
        <v>3.2258064516129035</v>
      </c>
      <c r="Q719" s="33">
        <v>0.33333333333333331</v>
      </c>
      <c r="R719" s="55" t="s">
        <v>37</v>
      </c>
      <c r="S719" s="26" t="s">
        <v>38</v>
      </c>
      <c r="T719" s="26" t="s">
        <v>39</v>
      </c>
      <c r="U719" s="27">
        <v>0.95238095238095233</v>
      </c>
      <c r="V719" s="33">
        <v>0.33333333333333331</v>
      </c>
      <c r="W719" s="26" t="s">
        <v>408</v>
      </c>
      <c r="X719" s="26" t="s">
        <v>409</v>
      </c>
      <c r="Y719" s="26" t="s">
        <v>39</v>
      </c>
      <c r="Z719" s="27">
        <v>0.94339622641509424</v>
      </c>
      <c r="AA719" s="33">
        <v>0.33333333333333331</v>
      </c>
      <c r="AB719" s="26" t="s">
        <v>411</v>
      </c>
      <c r="AC719" s="26" t="s">
        <v>38</v>
      </c>
      <c r="AD719" s="26" t="s">
        <v>42</v>
      </c>
      <c r="AE719" s="27">
        <v>2.5</v>
      </c>
      <c r="AF719" s="36">
        <v>0.33333333333333331</v>
      </c>
      <c r="AG719" s="31">
        <v>0</v>
      </c>
      <c r="AH719" t="s">
        <v>44</v>
      </c>
    </row>
    <row r="720" spans="1:34">
      <c r="A720" s="15" t="s">
        <v>782</v>
      </c>
      <c r="B720" s="8" t="s">
        <v>751</v>
      </c>
      <c r="C720" s="41" t="s">
        <v>37</v>
      </c>
      <c r="D720" s="1" t="s">
        <v>38</v>
      </c>
      <c r="E720" s="26" t="s">
        <v>39</v>
      </c>
      <c r="F720" s="27">
        <v>0.95238095238095233</v>
      </c>
      <c r="G720" s="33">
        <v>0.33333333333333331</v>
      </c>
      <c r="H720" s="41" t="s">
        <v>408</v>
      </c>
      <c r="I720" s="1" t="s">
        <v>409</v>
      </c>
      <c r="J720" s="26" t="s">
        <v>39</v>
      </c>
      <c r="K720" s="27">
        <v>0.94339622641509424</v>
      </c>
      <c r="L720" s="33">
        <v>0.33333333333333331</v>
      </c>
      <c r="M720" s="41" t="s">
        <v>410</v>
      </c>
      <c r="N720" s="1" t="s">
        <v>38</v>
      </c>
      <c r="O720" s="26" t="s">
        <v>42</v>
      </c>
      <c r="P720" s="27">
        <v>3.2258064516129035</v>
      </c>
      <c r="Q720" s="33">
        <v>0.33333333333333331</v>
      </c>
      <c r="R720" s="55" t="s">
        <v>37</v>
      </c>
      <c r="S720" s="26" t="s">
        <v>38</v>
      </c>
      <c r="T720" s="26" t="s">
        <v>39</v>
      </c>
      <c r="U720" s="27">
        <v>0.95238095238095233</v>
      </c>
      <c r="V720" s="33">
        <v>0.33333333333333331</v>
      </c>
      <c r="W720" s="26" t="s">
        <v>408</v>
      </c>
      <c r="X720" s="26" t="s">
        <v>409</v>
      </c>
      <c r="Y720" s="26" t="s">
        <v>39</v>
      </c>
      <c r="Z720" s="27">
        <v>0.94339622641509424</v>
      </c>
      <c r="AA720" s="33">
        <v>0.33333333333333331</v>
      </c>
      <c r="AB720" s="26" t="s">
        <v>411</v>
      </c>
      <c r="AC720" s="26" t="s">
        <v>38</v>
      </c>
      <c r="AD720" s="26" t="s">
        <v>42</v>
      </c>
      <c r="AE720" s="27">
        <v>2.5</v>
      </c>
      <c r="AF720" s="36">
        <v>0.33333333333333331</v>
      </c>
      <c r="AG720" s="31">
        <v>0</v>
      </c>
      <c r="AH720" t="s">
        <v>44</v>
      </c>
    </row>
    <row r="721" spans="1:34">
      <c r="A721" s="15" t="s">
        <v>783</v>
      </c>
      <c r="B721" s="8" t="s">
        <v>751</v>
      </c>
      <c r="C721" s="41" t="s">
        <v>37</v>
      </c>
      <c r="D721" s="1" t="s">
        <v>38</v>
      </c>
      <c r="E721" s="26" t="s">
        <v>39</v>
      </c>
      <c r="F721" s="27">
        <v>0.95238095238095233</v>
      </c>
      <c r="G721" s="33">
        <v>0.33333333333333331</v>
      </c>
      <c r="H721" s="41" t="s">
        <v>408</v>
      </c>
      <c r="I721" s="1" t="s">
        <v>409</v>
      </c>
      <c r="J721" s="26" t="s">
        <v>39</v>
      </c>
      <c r="K721" s="27">
        <v>0.94339622641509424</v>
      </c>
      <c r="L721" s="33">
        <v>0.33333333333333331</v>
      </c>
      <c r="M721" s="41" t="s">
        <v>410</v>
      </c>
      <c r="N721" s="1" t="s">
        <v>38</v>
      </c>
      <c r="O721" s="26" t="s">
        <v>42</v>
      </c>
      <c r="P721" s="27">
        <v>3.2258064516129035</v>
      </c>
      <c r="Q721" s="33">
        <v>0.33333333333333331</v>
      </c>
      <c r="R721" s="55" t="s">
        <v>37</v>
      </c>
      <c r="S721" s="26" t="s">
        <v>38</v>
      </c>
      <c r="T721" s="26" t="s">
        <v>39</v>
      </c>
      <c r="U721" s="27">
        <v>0.95238095238095233</v>
      </c>
      <c r="V721" s="33">
        <v>0.33333333333333331</v>
      </c>
      <c r="W721" s="26" t="s">
        <v>408</v>
      </c>
      <c r="X721" s="26" t="s">
        <v>409</v>
      </c>
      <c r="Y721" s="26" t="s">
        <v>39</v>
      </c>
      <c r="Z721" s="27">
        <v>0.94339622641509424</v>
      </c>
      <c r="AA721" s="33">
        <v>0.33333333333333331</v>
      </c>
      <c r="AB721" s="26" t="s">
        <v>411</v>
      </c>
      <c r="AC721" s="26" t="s">
        <v>38</v>
      </c>
      <c r="AD721" s="26" t="s">
        <v>42</v>
      </c>
      <c r="AE721" s="27">
        <v>2.5</v>
      </c>
      <c r="AF721" s="36">
        <v>0.33333333333333331</v>
      </c>
      <c r="AG721" s="31">
        <v>0</v>
      </c>
      <c r="AH721" t="s">
        <v>44</v>
      </c>
    </row>
    <row r="722" spans="1:34">
      <c r="A722" s="15" t="s">
        <v>784</v>
      </c>
      <c r="B722" s="8" t="s">
        <v>751</v>
      </c>
      <c r="C722" s="41" t="s">
        <v>37</v>
      </c>
      <c r="D722" s="1" t="s">
        <v>38</v>
      </c>
      <c r="E722" s="26" t="s">
        <v>39</v>
      </c>
      <c r="F722" s="27">
        <v>0.95238095238095233</v>
      </c>
      <c r="G722" s="33">
        <v>0.33333333333333331</v>
      </c>
      <c r="H722" s="41" t="s">
        <v>408</v>
      </c>
      <c r="I722" s="1" t="s">
        <v>409</v>
      </c>
      <c r="J722" s="26" t="s">
        <v>39</v>
      </c>
      <c r="K722" s="27">
        <v>0.94339622641509424</v>
      </c>
      <c r="L722" s="33">
        <v>0.33333333333333331</v>
      </c>
      <c r="M722" s="41" t="s">
        <v>410</v>
      </c>
      <c r="N722" s="1" t="s">
        <v>38</v>
      </c>
      <c r="O722" s="26" t="s">
        <v>42</v>
      </c>
      <c r="P722" s="27">
        <v>3.2258064516129035</v>
      </c>
      <c r="Q722" s="33">
        <v>0.33333333333333331</v>
      </c>
      <c r="R722" s="55" t="s">
        <v>37</v>
      </c>
      <c r="S722" s="26" t="s">
        <v>38</v>
      </c>
      <c r="T722" s="26" t="s">
        <v>39</v>
      </c>
      <c r="U722" s="27">
        <v>0.95238095238095233</v>
      </c>
      <c r="V722" s="33">
        <v>0.33333333333333331</v>
      </c>
      <c r="W722" s="26" t="s">
        <v>408</v>
      </c>
      <c r="X722" s="26" t="s">
        <v>409</v>
      </c>
      <c r="Y722" s="26" t="s">
        <v>39</v>
      </c>
      <c r="Z722" s="27">
        <v>0.94339622641509424</v>
      </c>
      <c r="AA722" s="33">
        <v>0.33333333333333331</v>
      </c>
      <c r="AB722" s="26" t="s">
        <v>411</v>
      </c>
      <c r="AC722" s="26" t="s">
        <v>38</v>
      </c>
      <c r="AD722" s="26" t="s">
        <v>42</v>
      </c>
      <c r="AE722" s="27">
        <v>2.5</v>
      </c>
      <c r="AF722" s="36">
        <v>0.33333333333333331</v>
      </c>
      <c r="AG722" s="31">
        <v>0</v>
      </c>
      <c r="AH722" t="s">
        <v>44</v>
      </c>
    </row>
    <row r="723" spans="1:34">
      <c r="A723" s="15" t="s">
        <v>785</v>
      </c>
      <c r="B723" s="8" t="s">
        <v>751</v>
      </c>
      <c r="C723" s="41" t="s">
        <v>37</v>
      </c>
      <c r="D723" s="1" t="s">
        <v>38</v>
      </c>
      <c r="E723" s="26" t="s">
        <v>39</v>
      </c>
      <c r="F723" s="27">
        <v>0.95238095238095233</v>
      </c>
      <c r="G723" s="33">
        <v>0.33333333333333331</v>
      </c>
      <c r="H723" s="41" t="s">
        <v>408</v>
      </c>
      <c r="I723" s="1" t="s">
        <v>409</v>
      </c>
      <c r="J723" s="26" t="s">
        <v>39</v>
      </c>
      <c r="K723" s="27">
        <v>0.94339622641509424</v>
      </c>
      <c r="L723" s="33">
        <v>0.33333333333333331</v>
      </c>
      <c r="M723" s="41" t="s">
        <v>410</v>
      </c>
      <c r="N723" s="1" t="s">
        <v>38</v>
      </c>
      <c r="O723" s="26" t="s">
        <v>42</v>
      </c>
      <c r="P723" s="27">
        <v>3.2258064516129035</v>
      </c>
      <c r="Q723" s="33">
        <v>0.33333333333333331</v>
      </c>
      <c r="R723" s="55" t="s">
        <v>37</v>
      </c>
      <c r="S723" s="26" t="s">
        <v>38</v>
      </c>
      <c r="T723" s="26" t="s">
        <v>39</v>
      </c>
      <c r="U723" s="27">
        <v>0.95238095238095233</v>
      </c>
      <c r="V723" s="33">
        <v>0.33333333333333331</v>
      </c>
      <c r="W723" s="26" t="s">
        <v>408</v>
      </c>
      <c r="X723" s="26" t="s">
        <v>409</v>
      </c>
      <c r="Y723" s="26" t="s">
        <v>39</v>
      </c>
      <c r="Z723" s="27">
        <v>0.94339622641509424</v>
      </c>
      <c r="AA723" s="33">
        <v>0.33333333333333331</v>
      </c>
      <c r="AB723" s="26" t="s">
        <v>411</v>
      </c>
      <c r="AC723" s="26" t="s">
        <v>38</v>
      </c>
      <c r="AD723" s="26" t="s">
        <v>42</v>
      </c>
      <c r="AE723" s="27">
        <v>2.5</v>
      </c>
      <c r="AF723" s="36">
        <v>0.33333333333333331</v>
      </c>
      <c r="AG723" s="31">
        <v>0</v>
      </c>
      <c r="AH723" t="s">
        <v>44</v>
      </c>
    </row>
    <row r="724" spans="1:34">
      <c r="A724" s="15" t="s">
        <v>786</v>
      </c>
      <c r="B724" s="8" t="s">
        <v>751</v>
      </c>
      <c r="C724" s="41" t="s">
        <v>37</v>
      </c>
      <c r="D724" s="1" t="s">
        <v>38</v>
      </c>
      <c r="E724" s="26" t="s">
        <v>39</v>
      </c>
      <c r="F724" s="27">
        <v>0.95238095238095233</v>
      </c>
      <c r="G724" s="33">
        <v>0.33333333333333331</v>
      </c>
      <c r="H724" s="41" t="s">
        <v>408</v>
      </c>
      <c r="I724" s="1" t="s">
        <v>409</v>
      </c>
      <c r="J724" s="26" t="s">
        <v>39</v>
      </c>
      <c r="K724" s="27">
        <v>0.94339622641509424</v>
      </c>
      <c r="L724" s="33">
        <v>0.33333333333333331</v>
      </c>
      <c r="M724" s="41" t="s">
        <v>410</v>
      </c>
      <c r="N724" s="1" t="s">
        <v>38</v>
      </c>
      <c r="O724" s="26" t="s">
        <v>42</v>
      </c>
      <c r="P724" s="27">
        <v>3.2258064516129035</v>
      </c>
      <c r="Q724" s="33">
        <v>0.33333333333333331</v>
      </c>
      <c r="R724" s="55" t="s">
        <v>37</v>
      </c>
      <c r="S724" s="26" t="s">
        <v>38</v>
      </c>
      <c r="T724" s="26" t="s">
        <v>39</v>
      </c>
      <c r="U724" s="27">
        <v>0.95238095238095233</v>
      </c>
      <c r="V724" s="33">
        <v>0.33333333333333331</v>
      </c>
      <c r="W724" s="26" t="s">
        <v>408</v>
      </c>
      <c r="X724" s="26" t="s">
        <v>409</v>
      </c>
      <c r="Y724" s="26" t="s">
        <v>39</v>
      </c>
      <c r="Z724" s="27">
        <v>0.94339622641509424</v>
      </c>
      <c r="AA724" s="33">
        <v>0.33333333333333331</v>
      </c>
      <c r="AB724" s="26" t="s">
        <v>411</v>
      </c>
      <c r="AC724" s="26" t="s">
        <v>38</v>
      </c>
      <c r="AD724" s="26" t="s">
        <v>42</v>
      </c>
      <c r="AE724" s="27">
        <v>2.5</v>
      </c>
      <c r="AF724" s="36">
        <v>0.33333333333333331</v>
      </c>
      <c r="AG724" s="31">
        <v>0</v>
      </c>
      <c r="AH724" t="s">
        <v>44</v>
      </c>
    </row>
    <row r="725" spans="1:34">
      <c r="A725" s="15" t="s">
        <v>787</v>
      </c>
      <c r="B725" s="8" t="s">
        <v>751</v>
      </c>
      <c r="C725" s="41" t="s">
        <v>37</v>
      </c>
      <c r="D725" s="1" t="s">
        <v>38</v>
      </c>
      <c r="E725" s="26" t="s">
        <v>39</v>
      </c>
      <c r="F725" s="27">
        <v>0.95238095238095233</v>
      </c>
      <c r="G725" s="33">
        <v>0.33333333333333331</v>
      </c>
      <c r="H725" s="41" t="s">
        <v>408</v>
      </c>
      <c r="I725" s="1" t="s">
        <v>409</v>
      </c>
      <c r="J725" s="26" t="s">
        <v>39</v>
      </c>
      <c r="K725" s="27">
        <v>0.94339622641509424</v>
      </c>
      <c r="L725" s="33">
        <v>0.33333333333333331</v>
      </c>
      <c r="M725" s="41" t="s">
        <v>410</v>
      </c>
      <c r="N725" s="1" t="s">
        <v>38</v>
      </c>
      <c r="O725" s="26" t="s">
        <v>42</v>
      </c>
      <c r="P725" s="27">
        <v>3.2258064516129035</v>
      </c>
      <c r="Q725" s="33">
        <v>0.33333333333333331</v>
      </c>
      <c r="R725" s="55" t="s">
        <v>37</v>
      </c>
      <c r="S725" s="26" t="s">
        <v>38</v>
      </c>
      <c r="T725" s="26" t="s">
        <v>39</v>
      </c>
      <c r="U725" s="27">
        <v>0.95238095238095233</v>
      </c>
      <c r="V725" s="33">
        <v>0.33333333333333331</v>
      </c>
      <c r="W725" s="26" t="s">
        <v>408</v>
      </c>
      <c r="X725" s="26" t="s">
        <v>409</v>
      </c>
      <c r="Y725" s="26" t="s">
        <v>39</v>
      </c>
      <c r="Z725" s="27">
        <v>0.94339622641509424</v>
      </c>
      <c r="AA725" s="33">
        <v>0.33333333333333331</v>
      </c>
      <c r="AB725" s="26" t="s">
        <v>411</v>
      </c>
      <c r="AC725" s="26" t="s">
        <v>38</v>
      </c>
      <c r="AD725" s="26" t="s">
        <v>42</v>
      </c>
      <c r="AE725" s="27">
        <v>2.5</v>
      </c>
      <c r="AF725" s="36">
        <v>0.33333333333333331</v>
      </c>
      <c r="AG725" s="31">
        <v>0</v>
      </c>
      <c r="AH725" t="s">
        <v>44</v>
      </c>
    </row>
    <row r="726" spans="1:34">
      <c r="A726" s="15" t="s">
        <v>788</v>
      </c>
      <c r="B726" s="8" t="s">
        <v>751</v>
      </c>
      <c r="C726" s="41" t="s">
        <v>37</v>
      </c>
      <c r="D726" s="1" t="s">
        <v>38</v>
      </c>
      <c r="E726" s="26" t="s">
        <v>39</v>
      </c>
      <c r="F726" s="27">
        <v>0.95238095238095233</v>
      </c>
      <c r="G726" s="33">
        <v>0.33333333333333331</v>
      </c>
      <c r="H726" s="41" t="s">
        <v>408</v>
      </c>
      <c r="I726" s="1" t="s">
        <v>409</v>
      </c>
      <c r="J726" s="26" t="s">
        <v>39</v>
      </c>
      <c r="K726" s="27">
        <v>0.94339622641509424</v>
      </c>
      <c r="L726" s="33">
        <v>0.33333333333333331</v>
      </c>
      <c r="M726" s="41" t="s">
        <v>410</v>
      </c>
      <c r="N726" s="1" t="s">
        <v>38</v>
      </c>
      <c r="O726" s="26" t="s">
        <v>42</v>
      </c>
      <c r="P726" s="27">
        <v>3.2258064516129035</v>
      </c>
      <c r="Q726" s="33">
        <v>0.33333333333333331</v>
      </c>
      <c r="R726" s="55" t="s">
        <v>37</v>
      </c>
      <c r="S726" s="26" t="s">
        <v>38</v>
      </c>
      <c r="T726" s="26" t="s">
        <v>39</v>
      </c>
      <c r="U726" s="27">
        <v>0.95238095238095233</v>
      </c>
      <c r="V726" s="33">
        <v>0.33333333333333331</v>
      </c>
      <c r="W726" s="26" t="s">
        <v>408</v>
      </c>
      <c r="X726" s="26" t="s">
        <v>409</v>
      </c>
      <c r="Y726" s="26" t="s">
        <v>39</v>
      </c>
      <c r="Z726" s="27">
        <v>0.94339622641509424</v>
      </c>
      <c r="AA726" s="33">
        <v>0.33333333333333331</v>
      </c>
      <c r="AB726" s="26" t="s">
        <v>411</v>
      </c>
      <c r="AC726" s="26" t="s">
        <v>38</v>
      </c>
      <c r="AD726" s="26" t="s">
        <v>42</v>
      </c>
      <c r="AE726" s="27">
        <v>2.5</v>
      </c>
      <c r="AF726" s="36">
        <v>0.33333333333333331</v>
      </c>
      <c r="AG726" s="31">
        <v>0</v>
      </c>
      <c r="AH726" t="s">
        <v>44</v>
      </c>
    </row>
    <row r="727" spans="1:34">
      <c r="A727" s="15" t="s">
        <v>789</v>
      </c>
      <c r="B727" s="8" t="s">
        <v>751</v>
      </c>
      <c r="C727" s="41" t="s">
        <v>37</v>
      </c>
      <c r="D727" s="1" t="s">
        <v>38</v>
      </c>
      <c r="E727" s="26" t="s">
        <v>39</v>
      </c>
      <c r="F727" s="27">
        <v>0.95238095238095233</v>
      </c>
      <c r="G727" s="33">
        <v>0.33333333333333331</v>
      </c>
      <c r="H727" s="41" t="s">
        <v>408</v>
      </c>
      <c r="I727" s="1" t="s">
        <v>409</v>
      </c>
      <c r="J727" s="26" t="s">
        <v>39</v>
      </c>
      <c r="K727" s="27">
        <v>0.94339622641509424</v>
      </c>
      <c r="L727" s="33">
        <v>0.33333333333333331</v>
      </c>
      <c r="M727" s="41" t="s">
        <v>410</v>
      </c>
      <c r="N727" s="1" t="s">
        <v>38</v>
      </c>
      <c r="O727" s="26" t="s">
        <v>42</v>
      </c>
      <c r="P727" s="27">
        <v>3.2258064516129035</v>
      </c>
      <c r="Q727" s="33">
        <v>0.33333333333333331</v>
      </c>
      <c r="R727" s="55" t="s">
        <v>37</v>
      </c>
      <c r="S727" s="26" t="s">
        <v>38</v>
      </c>
      <c r="T727" s="26" t="s">
        <v>39</v>
      </c>
      <c r="U727" s="27">
        <v>0.95238095238095233</v>
      </c>
      <c r="V727" s="33">
        <v>0.33333333333333331</v>
      </c>
      <c r="W727" s="26" t="s">
        <v>408</v>
      </c>
      <c r="X727" s="26" t="s">
        <v>409</v>
      </c>
      <c r="Y727" s="26" t="s">
        <v>39</v>
      </c>
      <c r="Z727" s="27">
        <v>0.94339622641509424</v>
      </c>
      <c r="AA727" s="33">
        <v>0.33333333333333331</v>
      </c>
      <c r="AB727" s="26" t="s">
        <v>411</v>
      </c>
      <c r="AC727" s="26" t="s">
        <v>38</v>
      </c>
      <c r="AD727" s="26" t="s">
        <v>42</v>
      </c>
      <c r="AE727" s="27">
        <v>2.5</v>
      </c>
      <c r="AF727" s="36">
        <v>0.33333333333333331</v>
      </c>
      <c r="AG727" s="31">
        <v>0</v>
      </c>
      <c r="AH727" t="s">
        <v>44</v>
      </c>
    </row>
    <row r="728" spans="1:34">
      <c r="A728" s="15" t="s">
        <v>790</v>
      </c>
      <c r="B728" s="8" t="s">
        <v>751</v>
      </c>
      <c r="C728" s="41" t="s">
        <v>37</v>
      </c>
      <c r="D728" s="1" t="s">
        <v>38</v>
      </c>
      <c r="E728" s="26" t="s">
        <v>39</v>
      </c>
      <c r="F728" s="27">
        <v>0.95238095238095233</v>
      </c>
      <c r="G728" s="33">
        <v>0.33333333333333331</v>
      </c>
      <c r="H728" s="41" t="s">
        <v>408</v>
      </c>
      <c r="I728" s="1" t="s">
        <v>409</v>
      </c>
      <c r="J728" s="26" t="s">
        <v>39</v>
      </c>
      <c r="K728" s="27">
        <v>0.94339622641509424</v>
      </c>
      <c r="L728" s="33">
        <v>0.33333333333333331</v>
      </c>
      <c r="M728" s="41" t="s">
        <v>410</v>
      </c>
      <c r="N728" s="1" t="s">
        <v>38</v>
      </c>
      <c r="O728" s="26" t="s">
        <v>42</v>
      </c>
      <c r="P728" s="27">
        <v>3.2258064516129035</v>
      </c>
      <c r="Q728" s="33">
        <v>0.33333333333333331</v>
      </c>
      <c r="R728" s="55" t="s">
        <v>37</v>
      </c>
      <c r="S728" s="26" t="s">
        <v>38</v>
      </c>
      <c r="T728" s="26" t="s">
        <v>39</v>
      </c>
      <c r="U728" s="27">
        <v>0.95238095238095233</v>
      </c>
      <c r="V728" s="33">
        <v>0.33333333333333331</v>
      </c>
      <c r="W728" s="26" t="s">
        <v>408</v>
      </c>
      <c r="X728" s="26" t="s">
        <v>409</v>
      </c>
      <c r="Y728" s="26" t="s">
        <v>39</v>
      </c>
      <c r="Z728" s="27">
        <v>0.94339622641509424</v>
      </c>
      <c r="AA728" s="33">
        <v>0.33333333333333331</v>
      </c>
      <c r="AB728" s="26" t="s">
        <v>411</v>
      </c>
      <c r="AC728" s="26" t="s">
        <v>38</v>
      </c>
      <c r="AD728" s="26" t="s">
        <v>42</v>
      </c>
      <c r="AE728" s="27">
        <v>2.5</v>
      </c>
      <c r="AF728" s="36">
        <v>0.33333333333333331</v>
      </c>
      <c r="AG728" s="31">
        <v>0</v>
      </c>
      <c r="AH728" t="s">
        <v>44</v>
      </c>
    </row>
    <row r="729" spans="1:34">
      <c r="A729" s="15" t="s">
        <v>791</v>
      </c>
      <c r="B729" s="8" t="s">
        <v>751</v>
      </c>
      <c r="C729" s="41" t="s">
        <v>37</v>
      </c>
      <c r="D729" s="1" t="s">
        <v>38</v>
      </c>
      <c r="E729" s="26" t="s">
        <v>39</v>
      </c>
      <c r="F729" s="27">
        <v>0.95238095238095233</v>
      </c>
      <c r="G729" s="33">
        <v>0.33333333333333331</v>
      </c>
      <c r="H729" s="41" t="s">
        <v>408</v>
      </c>
      <c r="I729" s="1" t="s">
        <v>409</v>
      </c>
      <c r="J729" s="26" t="s">
        <v>39</v>
      </c>
      <c r="K729" s="27">
        <v>0.94339622641509424</v>
      </c>
      <c r="L729" s="33">
        <v>0.33333333333333331</v>
      </c>
      <c r="M729" s="41" t="s">
        <v>410</v>
      </c>
      <c r="N729" s="1" t="s">
        <v>38</v>
      </c>
      <c r="O729" s="26" t="s">
        <v>42</v>
      </c>
      <c r="P729" s="27">
        <v>3.2258064516129035</v>
      </c>
      <c r="Q729" s="33">
        <v>0.33333333333333331</v>
      </c>
      <c r="R729" s="55" t="s">
        <v>37</v>
      </c>
      <c r="S729" s="26" t="s">
        <v>38</v>
      </c>
      <c r="T729" s="26" t="s">
        <v>39</v>
      </c>
      <c r="U729" s="27">
        <v>0.95238095238095233</v>
      </c>
      <c r="V729" s="33">
        <v>0.33333333333333331</v>
      </c>
      <c r="W729" s="26" t="s">
        <v>408</v>
      </c>
      <c r="X729" s="26" t="s">
        <v>409</v>
      </c>
      <c r="Y729" s="26" t="s">
        <v>39</v>
      </c>
      <c r="Z729" s="27">
        <v>0.94339622641509424</v>
      </c>
      <c r="AA729" s="33">
        <v>0.33333333333333331</v>
      </c>
      <c r="AB729" s="26" t="s">
        <v>411</v>
      </c>
      <c r="AC729" s="26" t="s">
        <v>38</v>
      </c>
      <c r="AD729" s="26" t="s">
        <v>42</v>
      </c>
      <c r="AE729" s="27">
        <v>2.5</v>
      </c>
      <c r="AF729" s="36">
        <v>0.33333333333333331</v>
      </c>
      <c r="AG729" s="31">
        <v>0</v>
      </c>
      <c r="AH729" t="s">
        <v>44</v>
      </c>
    </row>
    <row r="730" spans="1:34">
      <c r="A730" s="15" t="s">
        <v>792</v>
      </c>
      <c r="B730" s="8" t="s">
        <v>751</v>
      </c>
      <c r="C730" s="41" t="s">
        <v>37</v>
      </c>
      <c r="D730" s="1" t="s">
        <v>38</v>
      </c>
      <c r="E730" s="26" t="s">
        <v>39</v>
      </c>
      <c r="F730" s="27">
        <v>0.95238095238095233</v>
      </c>
      <c r="G730" s="33">
        <v>0.33333333333333331</v>
      </c>
      <c r="H730" s="41" t="s">
        <v>408</v>
      </c>
      <c r="I730" s="1" t="s">
        <v>409</v>
      </c>
      <c r="J730" s="26" t="s">
        <v>39</v>
      </c>
      <c r="K730" s="27">
        <v>0.94339622641509424</v>
      </c>
      <c r="L730" s="33">
        <v>0.33333333333333331</v>
      </c>
      <c r="M730" s="41" t="s">
        <v>410</v>
      </c>
      <c r="N730" s="1" t="s">
        <v>38</v>
      </c>
      <c r="O730" s="26" t="s">
        <v>42</v>
      </c>
      <c r="P730" s="27">
        <v>3.2258064516129035</v>
      </c>
      <c r="Q730" s="33">
        <v>0.33333333333333331</v>
      </c>
      <c r="R730" s="55" t="s">
        <v>37</v>
      </c>
      <c r="S730" s="26" t="s">
        <v>38</v>
      </c>
      <c r="T730" s="26" t="s">
        <v>39</v>
      </c>
      <c r="U730" s="27">
        <v>0.95238095238095233</v>
      </c>
      <c r="V730" s="33">
        <v>0.33333333333333331</v>
      </c>
      <c r="W730" s="26" t="s">
        <v>408</v>
      </c>
      <c r="X730" s="26" t="s">
        <v>409</v>
      </c>
      <c r="Y730" s="26" t="s">
        <v>39</v>
      </c>
      <c r="Z730" s="27">
        <v>0.94339622641509424</v>
      </c>
      <c r="AA730" s="33">
        <v>0.33333333333333331</v>
      </c>
      <c r="AB730" s="26" t="s">
        <v>411</v>
      </c>
      <c r="AC730" s="26" t="s">
        <v>38</v>
      </c>
      <c r="AD730" s="26" t="s">
        <v>42</v>
      </c>
      <c r="AE730" s="27">
        <v>2.5</v>
      </c>
      <c r="AF730" s="36">
        <v>0.33333333333333331</v>
      </c>
      <c r="AG730" s="31">
        <v>0</v>
      </c>
      <c r="AH730" t="s">
        <v>44</v>
      </c>
    </row>
    <row r="731" spans="1:34">
      <c r="A731" s="15" t="s">
        <v>793</v>
      </c>
      <c r="B731" s="8" t="s">
        <v>751</v>
      </c>
      <c r="C731" s="41" t="s">
        <v>37</v>
      </c>
      <c r="D731" s="1" t="s">
        <v>38</v>
      </c>
      <c r="E731" s="26" t="s">
        <v>39</v>
      </c>
      <c r="F731" s="27">
        <v>0.95238095238095233</v>
      </c>
      <c r="G731" s="33">
        <v>0.33333333333333331</v>
      </c>
      <c r="H731" s="41" t="s">
        <v>408</v>
      </c>
      <c r="I731" s="1" t="s">
        <v>409</v>
      </c>
      <c r="J731" s="26" t="s">
        <v>39</v>
      </c>
      <c r="K731" s="27">
        <v>0.94339622641509424</v>
      </c>
      <c r="L731" s="33">
        <v>0.33333333333333331</v>
      </c>
      <c r="M731" s="41" t="s">
        <v>410</v>
      </c>
      <c r="N731" s="1" t="s">
        <v>38</v>
      </c>
      <c r="O731" s="26" t="s">
        <v>42</v>
      </c>
      <c r="P731" s="27">
        <v>3.2258064516129035</v>
      </c>
      <c r="Q731" s="33">
        <v>0.33333333333333331</v>
      </c>
      <c r="R731" s="55" t="s">
        <v>37</v>
      </c>
      <c r="S731" s="26" t="s">
        <v>38</v>
      </c>
      <c r="T731" s="26" t="s">
        <v>39</v>
      </c>
      <c r="U731" s="27">
        <v>0.95238095238095233</v>
      </c>
      <c r="V731" s="33">
        <v>0.33333333333333331</v>
      </c>
      <c r="W731" s="26" t="s">
        <v>408</v>
      </c>
      <c r="X731" s="26" t="s">
        <v>409</v>
      </c>
      <c r="Y731" s="26" t="s">
        <v>39</v>
      </c>
      <c r="Z731" s="27">
        <v>0.94339622641509424</v>
      </c>
      <c r="AA731" s="33">
        <v>0.33333333333333331</v>
      </c>
      <c r="AB731" s="26" t="s">
        <v>411</v>
      </c>
      <c r="AC731" s="26" t="s">
        <v>38</v>
      </c>
      <c r="AD731" s="26" t="s">
        <v>42</v>
      </c>
      <c r="AE731" s="27">
        <v>2.5</v>
      </c>
      <c r="AF731" s="36">
        <v>0.33333333333333331</v>
      </c>
      <c r="AG731" s="31">
        <v>1</v>
      </c>
      <c r="AH731" s="1" t="s">
        <v>73</v>
      </c>
    </row>
    <row r="732" spans="1:34">
      <c r="A732" s="15" t="s">
        <v>794</v>
      </c>
      <c r="B732" s="8" t="s">
        <v>751</v>
      </c>
      <c r="C732" s="41" t="s">
        <v>37</v>
      </c>
      <c r="D732" s="1" t="s">
        <v>38</v>
      </c>
      <c r="E732" s="26" t="s">
        <v>39</v>
      </c>
      <c r="F732" s="27">
        <v>0.95238095238095233</v>
      </c>
      <c r="G732" s="33">
        <v>0.33333333333333331</v>
      </c>
      <c r="H732" s="41" t="s">
        <v>408</v>
      </c>
      <c r="I732" s="1" t="s">
        <v>409</v>
      </c>
      <c r="J732" s="26" t="s">
        <v>39</v>
      </c>
      <c r="K732" s="27">
        <v>0.94339622641509424</v>
      </c>
      <c r="L732" s="33">
        <v>0.33333333333333331</v>
      </c>
      <c r="M732" s="41" t="s">
        <v>410</v>
      </c>
      <c r="N732" s="1" t="s">
        <v>38</v>
      </c>
      <c r="O732" s="26" t="s">
        <v>42</v>
      </c>
      <c r="P732" s="27">
        <v>3.2258064516129035</v>
      </c>
      <c r="Q732" s="33">
        <v>0.33333333333333331</v>
      </c>
      <c r="R732" s="55" t="s">
        <v>37</v>
      </c>
      <c r="S732" s="26" t="s">
        <v>38</v>
      </c>
      <c r="T732" s="26" t="s">
        <v>39</v>
      </c>
      <c r="U732" s="27">
        <v>0.95238095238095233</v>
      </c>
      <c r="V732" s="33">
        <v>0.33333333333333331</v>
      </c>
      <c r="W732" s="26" t="s">
        <v>408</v>
      </c>
      <c r="X732" s="26" t="s">
        <v>409</v>
      </c>
      <c r="Y732" s="26" t="s">
        <v>39</v>
      </c>
      <c r="Z732" s="27">
        <v>0.94339622641509424</v>
      </c>
      <c r="AA732" s="33">
        <v>0.33333333333333331</v>
      </c>
      <c r="AB732" s="26" t="s">
        <v>411</v>
      </c>
      <c r="AC732" s="26" t="s">
        <v>38</v>
      </c>
      <c r="AD732" s="26" t="s">
        <v>42</v>
      </c>
      <c r="AE732" s="27">
        <v>2.5</v>
      </c>
      <c r="AF732" s="36">
        <v>0.33333333333333331</v>
      </c>
      <c r="AG732" s="31">
        <v>1</v>
      </c>
      <c r="AH732" s="1" t="s">
        <v>73</v>
      </c>
    </row>
    <row r="733" spans="1:34">
      <c r="A733" s="15" t="s">
        <v>795</v>
      </c>
      <c r="B733" s="8" t="s">
        <v>751</v>
      </c>
      <c r="C733" s="41" t="s">
        <v>37</v>
      </c>
      <c r="D733" s="1" t="s">
        <v>38</v>
      </c>
      <c r="E733" s="26" t="s">
        <v>39</v>
      </c>
      <c r="F733" s="27">
        <v>0.95238095238095233</v>
      </c>
      <c r="G733" s="33">
        <v>0.33333333333333331</v>
      </c>
      <c r="H733" s="41" t="s">
        <v>408</v>
      </c>
      <c r="I733" s="1" t="s">
        <v>409</v>
      </c>
      <c r="J733" s="26" t="s">
        <v>39</v>
      </c>
      <c r="K733" s="27">
        <v>0.94339622641509424</v>
      </c>
      <c r="L733" s="33">
        <v>0.33333333333333331</v>
      </c>
      <c r="M733" s="41" t="s">
        <v>410</v>
      </c>
      <c r="N733" s="1" t="s">
        <v>38</v>
      </c>
      <c r="O733" s="26" t="s">
        <v>42</v>
      </c>
      <c r="P733" s="27">
        <v>3.2258064516129035</v>
      </c>
      <c r="Q733" s="33">
        <v>0.33333333333333331</v>
      </c>
      <c r="R733" s="55" t="s">
        <v>37</v>
      </c>
      <c r="S733" s="26" t="s">
        <v>38</v>
      </c>
      <c r="T733" s="26" t="s">
        <v>39</v>
      </c>
      <c r="U733" s="27">
        <v>0.95238095238095233</v>
      </c>
      <c r="V733" s="33">
        <v>0.33333333333333331</v>
      </c>
      <c r="W733" s="26" t="s">
        <v>408</v>
      </c>
      <c r="X733" s="26" t="s">
        <v>409</v>
      </c>
      <c r="Y733" s="26" t="s">
        <v>39</v>
      </c>
      <c r="Z733" s="27">
        <v>0.94339622641509424</v>
      </c>
      <c r="AA733" s="33">
        <v>0.33333333333333331</v>
      </c>
      <c r="AB733" s="26" t="s">
        <v>411</v>
      </c>
      <c r="AC733" s="26" t="s">
        <v>38</v>
      </c>
      <c r="AD733" s="26" t="s">
        <v>42</v>
      </c>
      <c r="AE733" s="27">
        <v>2.5</v>
      </c>
      <c r="AF733" s="36">
        <v>0.33333333333333331</v>
      </c>
      <c r="AG733" s="31">
        <v>1</v>
      </c>
      <c r="AH733" s="1" t="s">
        <v>73</v>
      </c>
    </row>
    <row r="734" spans="1:34">
      <c r="A734" s="15" t="s">
        <v>796</v>
      </c>
      <c r="B734" s="8" t="s">
        <v>751</v>
      </c>
      <c r="C734" s="41" t="s">
        <v>37</v>
      </c>
      <c r="D734" s="1" t="s">
        <v>38</v>
      </c>
      <c r="E734" s="26" t="s">
        <v>39</v>
      </c>
      <c r="F734" s="27">
        <v>0.95238095238095233</v>
      </c>
      <c r="G734" s="33">
        <v>0.33333333333333331</v>
      </c>
      <c r="H734" s="41" t="s">
        <v>408</v>
      </c>
      <c r="I734" s="1" t="s">
        <v>409</v>
      </c>
      <c r="J734" s="26" t="s">
        <v>39</v>
      </c>
      <c r="K734" s="27">
        <v>0.94339622641509424</v>
      </c>
      <c r="L734" s="33">
        <v>0.33333333333333331</v>
      </c>
      <c r="M734" s="41" t="s">
        <v>410</v>
      </c>
      <c r="N734" s="1" t="s">
        <v>38</v>
      </c>
      <c r="O734" s="26" t="s">
        <v>42</v>
      </c>
      <c r="P734" s="27">
        <v>3.2258064516129035</v>
      </c>
      <c r="Q734" s="33">
        <v>0.33333333333333331</v>
      </c>
      <c r="R734" s="55" t="s">
        <v>37</v>
      </c>
      <c r="S734" s="26" t="s">
        <v>38</v>
      </c>
      <c r="T734" s="26" t="s">
        <v>39</v>
      </c>
      <c r="U734" s="27">
        <v>0.95238095238095233</v>
      </c>
      <c r="V734" s="33">
        <v>0.33333333333333331</v>
      </c>
      <c r="W734" s="26" t="s">
        <v>408</v>
      </c>
      <c r="X734" s="26" t="s">
        <v>409</v>
      </c>
      <c r="Y734" s="26" t="s">
        <v>39</v>
      </c>
      <c r="Z734" s="27">
        <v>0.94339622641509424</v>
      </c>
      <c r="AA734" s="33">
        <v>0.33333333333333331</v>
      </c>
      <c r="AB734" s="26" t="s">
        <v>411</v>
      </c>
      <c r="AC734" s="26" t="s">
        <v>38</v>
      </c>
      <c r="AD734" s="26" t="s">
        <v>42</v>
      </c>
      <c r="AE734" s="27">
        <v>2.5</v>
      </c>
      <c r="AF734" s="36">
        <v>0.33333333333333331</v>
      </c>
      <c r="AG734" s="31">
        <v>1</v>
      </c>
      <c r="AH734" s="1" t="s">
        <v>73</v>
      </c>
    </row>
    <row r="735" spans="1:34">
      <c r="A735" s="15" t="s">
        <v>797</v>
      </c>
      <c r="B735" s="8" t="s">
        <v>751</v>
      </c>
      <c r="C735" s="41" t="s">
        <v>37</v>
      </c>
      <c r="D735" s="1" t="s">
        <v>38</v>
      </c>
      <c r="E735" s="26" t="s">
        <v>39</v>
      </c>
      <c r="F735" s="27">
        <v>0.95238095238095233</v>
      </c>
      <c r="G735" s="33">
        <v>0.33333333333333331</v>
      </c>
      <c r="H735" s="41" t="s">
        <v>408</v>
      </c>
      <c r="I735" s="1" t="s">
        <v>409</v>
      </c>
      <c r="J735" s="26" t="s">
        <v>39</v>
      </c>
      <c r="K735" s="27">
        <v>0.94339622641509424</v>
      </c>
      <c r="L735" s="33">
        <v>0.33333333333333331</v>
      </c>
      <c r="M735" s="41" t="s">
        <v>410</v>
      </c>
      <c r="N735" s="1" t="s">
        <v>38</v>
      </c>
      <c r="O735" s="26" t="s">
        <v>42</v>
      </c>
      <c r="P735" s="27">
        <v>3.2258064516129035</v>
      </c>
      <c r="Q735" s="33">
        <v>0.33333333333333331</v>
      </c>
      <c r="R735" s="55" t="s">
        <v>37</v>
      </c>
      <c r="S735" s="26" t="s">
        <v>38</v>
      </c>
      <c r="T735" s="26" t="s">
        <v>39</v>
      </c>
      <c r="U735" s="27">
        <v>0.95238095238095233</v>
      </c>
      <c r="V735" s="33">
        <v>0.33333333333333331</v>
      </c>
      <c r="W735" s="26" t="s">
        <v>408</v>
      </c>
      <c r="X735" s="26" t="s">
        <v>409</v>
      </c>
      <c r="Y735" s="26" t="s">
        <v>39</v>
      </c>
      <c r="Z735" s="27">
        <v>0.94339622641509424</v>
      </c>
      <c r="AA735" s="33">
        <v>0.33333333333333331</v>
      </c>
      <c r="AB735" s="26" t="s">
        <v>411</v>
      </c>
      <c r="AC735" s="26" t="s">
        <v>38</v>
      </c>
      <c r="AD735" s="26" t="s">
        <v>42</v>
      </c>
      <c r="AE735" s="27">
        <v>2.5</v>
      </c>
      <c r="AF735" s="36">
        <v>0.33333333333333331</v>
      </c>
      <c r="AG735" s="31">
        <v>1</v>
      </c>
      <c r="AH735" s="1" t="s">
        <v>73</v>
      </c>
    </row>
    <row r="736" spans="1:34">
      <c r="A736" s="15" t="s">
        <v>798</v>
      </c>
      <c r="B736" s="8" t="s">
        <v>751</v>
      </c>
      <c r="C736" s="41" t="s">
        <v>37</v>
      </c>
      <c r="D736" s="1" t="s">
        <v>38</v>
      </c>
      <c r="E736" s="26" t="s">
        <v>39</v>
      </c>
      <c r="F736" s="27">
        <v>0.95238095238095233</v>
      </c>
      <c r="G736" s="33">
        <v>0.33333333333333331</v>
      </c>
      <c r="H736" s="41" t="s">
        <v>408</v>
      </c>
      <c r="I736" s="1" t="s">
        <v>409</v>
      </c>
      <c r="J736" s="26" t="s">
        <v>39</v>
      </c>
      <c r="K736" s="27">
        <v>0.94339622641509424</v>
      </c>
      <c r="L736" s="33">
        <v>0.33333333333333331</v>
      </c>
      <c r="M736" s="41" t="s">
        <v>410</v>
      </c>
      <c r="N736" s="1" t="s">
        <v>38</v>
      </c>
      <c r="O736" s="26" t="s">
        <v>42</v>
      </c>
      <c r="P736" s="27">
        <v>3.2258064516129035</v>
      </c>
      <c r="Q736" s="33">
        <v>0.33333333333333331</v>
      </c>
      <c r="R736" s="55" t="s">
        <v>37</v>
      </c>
      <c r="S736" s="26" t="s">
        <v>38</v>
      </c>
      <c r="T736" s="26" t="s">
        <v>39</v>
      </c>
      <c r="U736" s="27">
        <v>0.95238095238095233</v>
      </c>
      <c r="V736" s="33">
        <v>0.33333333333333331</v>
      </c>
      <c r="W736" s="26" t="s">
        <v>408</v>
      </c>
      <c r="X736" s="26" t="s">
        <v>409</v>
      </c>
      <c r="Y736" s="26" t="s">
        <v>39</v>
      </c>
      <c r="Z736" s="27">
        <v>0.94339622641509424</v>
      </c>
      <c r="AA736" s="33">
        <v>0.33333333333333331</v>
      </c>
      <c r="AB736" s="26" t="s">
        <v>411</v>
      </c>
      <c r="AC736" s="26" t="s">
        <v>38</v>
      </c>
      <c r="AD736" s="26" t="s">
        <v>42</v>
      </c>
      <c r="AE736" s="27">
        <v>2.5</v>
      </c>
      <c r="AF736" s="36">
        <v>0.33333333333333331</v>
      </c>
      <c r="AG736" s="31">
        <v>1</v>
      </c>
      <c r="AH736" s="1" t="s">
        <v>73</v>
      </c>
    </row>
    <row r="737" spans="1:34">
      <c r="A737" s="15" t="s">
        <v>799</v>
      </c>
      <c r="B737" s="8" t="s">
        <v>751</v>
      </c>
      <c r="C737" s="41" t="s">
        <v>37</v>
      </c>
      <c r="D737" s="1" t="s">
        <v>38</v>
      </c>
      <c r="E737" s="26" t="s">
        <v>39</v>
      </c>
      <c r="F737" s="27">
        <v>0.95238095238095233</v>
      </c>
      <c r="G737" s="33">
        <v>0.33333333333333331</v>
      </c>
      <c r="H737" s="41" t="s">
        <v>408</v>
      </c>
      <c r="I737" s="1" t="s">
        <v>409</v>
      </c>
      <c r="J737" s="26" t="s">
        <v>39</v>
      </c>
      <c r="K737" s="27">
        <v>0.94339622641509424</v>
      </c>
      <c r="L737" s="33">
        <v>0.33333333333333331</v>
      </c>
      <c r="M737" s="41" t="s">
        <v>410</v>
      </c>
      <c r="N737" s="1" t="s">
        <v>38</v>
      </c>
      <c r="O737" s="26" t="s">
        <v>42</v>
      </c>
      <c r="P737" s="27">
        <v>3.2258064516129035</v>
      </c>
      <c r="Q737" s="33">
        <v>0.33333333333333331</v>
      </c>
      <c r="R737" s="55" t="s">
        <v>37</v>
      </c>
      <c r="S737" s="26" t="s">
        <v>38</v>
      </c>
      <c r="T737" s="26" t="s">
        <v>39</v>
      </c>
      <c r="U737" s="27">
        <v>0.95238095238095233</v>
      </c>
      <c r="V737" s="33">
        <v>0.33333333333333331</v>
      </c>
      <c r="W737" s="26" t="s">
        <v>408</v>
      </c>
      <c r="X737" s="26" t="s">
        <v>409</v>
      </c>
      <c r="Y737" s="26" t="s">
        <v>39</v>
      </c>
      <c r="Z737" s="27">
        <v>0.94339622641509424</v>
      </c>
      <c r="AA737" s="33">
        <v>0.33333333333333331</v>
      </c>
      <c r="AB737" s="26" t="s">
        <v>411</v>
      </c>
      <c r="AC737" s="26" t="s">
        <v>38</v>
      </c>
      <c r="AD737" s="26" t="s">
        <v>42</v>
      </c>
      <c r="AE737" s="27">
        <v>2.5</v>
      </c>
      <c r="AF737" s="36">
        <v>0.33333333333333331</v>
      </c>
      <c r="AG737" s="31">
        <v>1</v>
      </c>
      <c r="AH737" s="1" t="s">
        <v>73</v>
      </c>
    </row>
    <row r="738" spans="1:34">
      <c r="A738" s="15" t="s">
        <v>800</v>
      </c>
      <c r="B738" s="8" t="s">
        <v>751</v>
      </c>
      <c r="C738" s="41" t="s">
        <v>37</v>
      </c>
      <c r="D738" s="1" t="s">
        <v>38</v>
      </c>
      <c r="E738" s="26" t="s">
        <v>39</v>
      </c>
      <c r="F738" s="27">
        <v>0.95238095238095233</v>
      </c>
      <c r="G738" s="33">
        <v>0.33333333333333331</v>
      </c>
      <c r="H738" s="41" t="s">
        <v>408</v>
      </c>
      <c r="I738" s="1" t="s">
        <v>409</v>
      </c>
      <c r="J738" s="26" t="s">
        <v>39</v>
      </c>
      <c r="K738" s="27">
        <v>0.94339622641509424</v>
      </c>
      <c r="L738" s="33">
        <v>0.33333333333333331</v>
      </c>
      <c r="M738" s="41" t="s">
        <v>410</v>
      </c>
      <c r="N738" s="1" t="s">
        <v>38</v>
      </c>
      <c r="O738" s="26" t="s">
        <v>42</v>
      </c>
      <c r="P738" s="27">
        <v>3.2258064516129035</v>
      </c>
      <c r="Q738" s="33">
        <v>0.33333333333333331</v>
      </c>
      <c r="R738" s="55" t="s">
        <v>37</v>
      </c>
      <c r="S738" s="26" t="s">
        <v>38</v>
      </c>
      <c r="T738" s="26" t="s">
        <v>39</v>
      </c>
      <c r="U738" s="27">
        <v>0.95238095238095233</v>
      </c>
      <c r="V738" s="33">
        <v>0.33333333333333331</v>
      </c>
      <c r="W738" s="26" t="s">
        <v>408</v>
      </c>
      <c r="X738" s="26" t="s">
        <v>409</v>
      </c>
      <c r="Y738" s="26" t="s">
        <v>39</v>
      </c>
      <c r="Z738" s="27">
        <v>0.94339622641509424</v>
      </c>
      <c r="AA738" s="33">
        <v>0.33333333333333331</v>
      </c>
      <c r="AB738" s="26" t="s">
        <v>411</v>
      </c>
      <c r="AC738" s="26" t="s">
        <v>38</v>
      </c>
      <c r="AD738" s="26" t="s">
        <v>42</v>
      </c>
      <c r="AE738" s="27">
        <v>2.5</v>
      </c>
      <c r="AF738" s="36">
        <v>0.33333333333333331</v>
      </c>
      <c r="AG738" s="31">
        <v>1</v>
      </c>
      <c r="AH738" s="1" t="s">
        <v>73</v>
      </c>
    </row>
    <row r="739" spans="1:34">
      <c r="A739" s="15" t="s">
        <v>801</v>
      </c>
      <c r="B739" s="8" t="s">
        <v>751</v>
      </c>
      <c r="C739" s="41" t="s">
        <v>37</v>
      </c>
      <c r="D739" s="1" t="s">
        <v>38</v>
      </c>
      <c r="E739" s="26" t="s">
        <v>39</v>
      </c>
      <c r="F739" s="27">
        <v>0.95238095238095233</v>
      </c>
      <c r="G739" s="33">
        <v>0.33333333333333331</v>
      </c>
      <c r="H739" s="41" t="s">
        <v>408</v>
      </c>
      <c r="I739" s="1" t="s">
        <v>409</v>
      </c>
      <c r="J739" s="26" t="s">
        <v>39</v>
      </c>
      <c r="K739" s="27">
        <v>0.94339622641509424</v>
      </c>
      <c r="L739" s="33">
        <v>0.33333333333333331</v>
      </c>
      <c r="M739" s="41" t="s">
        <v>410</v>
      </c>
      <c r="N739" s="1" t="s">
        <v>38</v>
      </c>
      <c r="O739" s="26" t="s">
        <v>42</v>
      </c>
      <c r="P739" s="27">
        <v>3.2258064516129035</v>
      </c>
      <c r="Q739" s="33">
        <v>0.33333333333333331</v>
      </c>
      <c r="R739" s="55" t="s">
        <v>37</v>
      </c>
      <c r="S739" s="26" t="s">
        <v>38</v>
      </c>
      <c r="T739" s="26" t="s">
        <v>39</v>
      </c>
      <c r="U739" s="27">
        <v>0.95238095238095233</v>
      </c>
      <c r="V739" s="33">
        <v>0.33333333333333331</v>
      </c>
      <c r="W739" s="26" t="s">
        <v>408</v>
      </c>
      <c r="X739" s="26" t="s">
        <v>409</v>
      </c>
      <c r="Y739" s="26" t="s">
        <v>39</v>
      </c>
      <c r="Z739" s="27">
        <v>0.94339622641509424</v>
      </c>
      <c r="AA739" s="33">
        <v>0.33333333333333331</v>
      </c>
      <c r="AB739" s="26" t="s">
        <v>411</v>
      </c>
      <c r="AC739" s="26" t="s">
        <v>38</v>
      </c>
      <c r="AD739" s="26" t="s">
        <v>42</v>
      </c>
      <c r="AE739" s="27">
        <v>2.5</v>
      </c>
      <c r="AF739" s="36">
        <v>0.33333333333333331</v>
      </c>
      <c r="AG739" s="31">
        <v>1</v>
      </c>
      <c r="AH739" s="1" t="s">
        <v>73</v>
      </c>
    </row>
    <row r="740" spans="1:34">
      <c r="A740" s="15" t="s">
        <v>802</v>
      </c>
      <c r="B740" s="8" t="s">
        <v>751</v>
      </c>
      <c r="C740" s="41" t="s">
        <v>37</v>
      </c>
      <c r="D740" s="1" t="s">
        <v>38</v>
      </c>
      <c r="E740" s="26" t="s">
        <v>39</v>
      </c>
      <c r="F740" s="27">
        <v>0.95238095238095233</v>
      </c>
      <c r="G740" s="33">
        <v>0.33333333333333331</v>
      </c>
      <c r="H740" s="41" t="s">
        <v>408</v>
      </c>
      <c r="I740" s="1" t="s">
        <v>409</v>
      </c>
      <c r="J740" s="26" t="s">
        <v>39</v>
      </c>
      <c r="K740" s="27">
        <v>0.94339622641509424</v>
      </c>
      <c r="L740" s="33">
        <v>0.33333333333333331</v>
      </c>
      <c r="M740" s="41" t="s">
        <v>410</v>
      </c>
      <c r="N740" s="1" t="s">
        <v>38</v>
      </c>
      <c r="O740" s="26" t="s">
        <v>42</v>
      </c>
      <c r="P740" s="27">
        <v>3.2258064516129035</v>
      </c>
      <c r="Q740" s="33">
        <v>0.33333333333333331</v>
      </c>
      <c r="R740" s="55" t="s">
        <v>37</v>
      </c>
      <c r="S740" s="26" t="s">
        <v>38</v>
      </c>
      <c r="T740" s="26" t="s">
        <v>39</v>
      </c>
      <c r="U740" s="27">
        <v>0.95238095238095233</v>
      </c>
      <c r="V740" s="33">
        <v>0.33333333333333331</v>
      </c>
      <c r="W740" s="26" t="s">
        <v>408</v>
      </c>
      <c r="X740" s="26" t="s">
        <v>409</v>
      </c>
      <c r="Y740" s="26" t="s">
        <v>39</v>
      </c>
      <c r="Z740" s="27">
        <v>0.94339622641509424</v>
      </c>
      <c r="AA740" s="33">
        <v>0.33333333333333331</v>
      </c>
      <c r="AB740" s="26" t="s">
        <v>411</v>
      </c>
      <c r="AC740" s="26" t="s">
        <v>38</v>
      </c>
      <c r="AD740" s="26" t="s">
        <v>42</v>
      </c>
      <c r="AE740" s="27">
        <v>2.5</v>
      </c>
      <c r="AF740" s="36">
        <v>0.33333333333333331</v>
      </c>
      <c r="AG740" s="31">
        <v>1</v>
      </c>
      <c r="AH740" s="1" t="s">
        <v>73</v>
      </c>
    </row>
    <row r="741" spans="1:34">
      <c r="A741" s="15" t="s">
        <v>803</v>
      </c>
      <c r="B741" s="8" t="s">
        <v>751</v>
      </c>
      <c r="C741" s="41" t="s">
        <v>37</v>
      </c>
      <c r="D741" s="1" t="s">
        <v>38</v>
      </c>
      <c r="E741" s="26" t="s">
        <v>39</v>
      </c>
      <c r="F741" s="27">
        <v>0.95238095238095233</v>
      </c>
      <c r="G741" s="33">
        <v>0.33333333333333331</v>
      </c>
      <c r="H741" s="41" t="s">
        <v>408</v>
      </c>
      <c r="I741" s="1" t="s">
        <v>409</v>
      </c>
      <c r="J741" s="26" t="s">
        <v>39</v>
      </c>
      <c r="K741" s="27">
        <v>0.94339622641509424</v>
      </c>
      <c r="L741" s="33">
        <v>0.33333333333333331</v>
      </c>
      <c r="M741" s="41" t="s">
        <v>410</v>
      </c>
      <c r="N741" s="1" t="s">
        <v>38</v>
      </c>
      <c r="O741" s="26" t="s">
        <v>42</v>
      </c>
      <c r="P741" s="27">
        <v>3.2258064516129035</v>
      </c>
      <c r="Q741" s="33">
        <v>0.33333333333333331</v>
      </c>
      <c r="R741" s="55" t="s">
        <v>37</v>
      </c>
      <c r="S741" s="26" t="s">
        <v>38</v>
      </c>
      <c r="T741" s="26" t="s">
        <v>39</v>
      </c>
      <c r="U741" s="27">
        <v>0.95238095238095233</v>
      </c>
      <c r="V741" s="33">
        <v>0.33333333333333331</v>
      </c>
      <c r="W741" s="26" t="s">
        <v>408</v>
      </c>
      <c r="X741" s="26" t="s">
        <v>409</v>
      </c>
      <c r="Y741" s="26" t="s">
        <v>39</v>
      </c>
      <c r="Z741" s="27">
        <v>0.94339622641509424</v>
      </c>
      <c r="AA741" s="33">
        <v>0.33333333333333331</v>
      </c>
      <c r="AB741" s="26" t="s">
        <v>411</v>
      </c>
      <c r="AC741" s="26" t="s">
        <v>38</v>
      </c>
      <c r="AD741" s="26" t="s">
        <v>42</v>
      </c>
      <c r="AE741" s="27">
        <v>2.5</v>
      </c>
      <c r="AF741" s="36">
        <v>0.33333333333333331</v>
      </c>
      <c r="AG741" s="31">
        <v>1</v>
      </c>
      <c r="AH741" s="1" t="s">
        <v>73</v>
      </c>
    </row>
    <row r="742" spans="1:34">
      <c r="A742" s="15" t="s">
        <v>804</v>
      </c>
      <c r="B742" s="8" t="s">
        <v>751</v>
      </c>
      <c r="C742" s="41" t="s">
        <v>37</v>
      </c>
      <c r="D742" s="1" t="s">
        <v>38</v>
      </c>
      <c r="E742" s="26" t="s">
        <v>39</v>
      </c>
      <c r="F742" s="27">
        <v>0.95238095238095233</v>
      </c>
      <c r="G742" s="33">
        <v>0.33333333333333331</v>
      </c>
      <c r="H742" s="41" t="s">
        <v>408</v>
      </c>
      <c r="I742" s="1" t="s">
        <v>409</v>
      </c>
      <c r="J742" s="26" t="s">
        <v>39</v>
      </c>
      <c r="K742" s="27">
        <v>0.94339622641509424</v>
      </c>
      <c r="L742" s="33">
        <v>0.33333333333333331</v>
      </c>
      <c r="M742" s="41" t="s">
        <v>410</v>
      </c>
      <c r="N742" s="1" t="s">
        <v>38</v>
      </c>
      <c r="O742" s="26" t="s">
        <v>42</v>
      </c>
      <c r="P742" s="27">
        <v>3.2258064516129035</v>
      </c>
      <c r="Q742" s="33">
        <v>0.33333333333333331</v>
      </c>
      <c r="R742" s="55" t="s">
        <v>37</v>
      </c>
      <c r="S742" s="26" t="s">
        <v>38</v>
      </c>
      <c r="T742" s="26" t="s">
        <v>39</v>
      </c>
      <c r="U742" s="27">
        <v>0.95238095238095233</v>
      </c>
      <c r="V742" s="33">
        <v>0.33333333333333331</v>
      </c>
      <c r="W742" s="26" t="s">
        <v>408</v>
      </c>
      <c r="X742" s="26" t="s">
        <v>409</v>
      </c>
      <c r="Y742" s="26" t="s">
        <v>39</v>
      </c>
      <c r="Z742" s="27">
        <v>0.94339622641509424</v>
      </c>
      <c r="AA742" s="33">
        <v>0.33333333333333331</v>
      </c>
      <c r="AB742" s="26" t="s">
        <v>411</v>
      </c>
      <c r="AC742" s="26" t="s">
        <v>38</v>
      </c>
      <c r="AD742" s="26" t="s">
        <v>42</v>
      </c>
      <c r="AE742" s="27">
        <v>2.5</v>
      </c>
      <c r="AF742" s="36">
        <v>0.33333333333333331</v>
      </c>
      <c r="AG742" s="31">
        <v>1</v>
      </c>
      <c r="AH742" s="1" t="s">
        <v>73</v>
      </c>
    </row>
    <row r="743" spans="1:34">
      <c r="A743" s="15" t="s">
        <v>805</v>
      </c>
      <c r="B743" s="8" t="s">
        <v>751</v>
      </c>
      <c r="C743" s="41" t="s">
        <v>37</v>
      </c>
      <c r="D743" s="1" t="s">
        <v>38</v>
      </c>
      <c r="E743" s="26" t="s">
        <v>39</v>
      </c>
      <c r="F743" s="27">
        <v>0.95238095238095233</v>
      </c>
      <c r="G743" s="33">
        <v>0.33333333333333331</v>
      </c>
      <c r="H743" s="41" t="s">
        <v>408</v>
      </c>
      <c r="I743" s="1" t="s">
        <v>409</v>
      </c>
      <c r="J743" s="26" t="s">
        <v>39</v>
      </c>
      <c r="K743" s="27">
        <v>0.94339622641509424</v>
      </c>
      <c r="L743" s="33">
        <v>0.33333333333333331</v>
      </c>
      <c r="M743" s="41" t="s">
        <v>410</v>
      </c>
      <c r="N743" s="1" t="s">
        <v>38</v>
      </c>
      <c r="O743" s="26" t="s">
        <v>42</v>
      </c>
      <c r="P743" s="27">
        <v>3.2258064516129035</v>
      </c>
      <c r="Q743" s="33">
        <v>0.33333333333333331</v>
      </c>
      <c r="R743" s="55" t="s">
        <v>37</v>
      </c>
      <c r="S743" s="26" t="s">
        <v>38</v>
      </c>
      <c r="T743" s="26" t="s">
        <v>39</v>
      </c>
      <c r="U743" s="27">
        <v>0.95238095238095233</v>
      </c>
      <c r="V743" s="33">
        <v>0.33333333333333331</v>
      </c>
      <c r="W743" s="26" t="s">
        <v>408</v>
      </c>
      <c r="X743" s="26" t="s">
        <v>409</v>
      </c>
      <c r="Y743" s="26" t="s">
        <v>39</v>
      </c>
      <c r="Z743" s="27">
        <v>0.94339622641509424</v>
      </c>
      <c r="AA743" s="33">
        <v>0.33333333333333331</v>
      </c>
      <c r="AB743" s="26" t="s">
        <v>411</v>
      </c>
      <c r="AC743" s="26" t="s">
        <v>38</v>
      </c>
      <c r="AD743" s="26" t="s">
        <v>42</v>
      </c>
      <c r="AE743" s="27">
        <v>2.5</v>
      </c>
      <c r="AF743" s="36">
        <v>0.33333333333333331</v>
      </c>
      <c r="AG743" s="31">
        <v>1</v>
      </c>
      <c r="AH743" s="1" t="s">
        <v>73</v>
      </c>
    </row>
    <row r="744" spans="1:34">
      <c r="A744" s="15" t="s">
        <v>806</v>
      </c>
      <c r="B744" s="8" t="s">
        <v>751</v>
      </c>
      <c r="C744" s="41" t="s">
        <v>37</v>
      </c>
      <c r="D744" s="1" t="s">
        <v>38</v>
      </c>
      <c r="E744" s="26" t="s">
        <v>39</v>
      </c>
      <c r="F744" s="27">
        <v>0.95238095238095233</v>
      </c>
      <c r="G744" s="33">
        <v>0.33333333333333331</v>
      </c>
      <c r="H744" s="41" t="s">
        <v>408</v>
      </c>
      <c r="I744" s="1" t="s">
        <v>409</v>
      </c>
      <c r="J744" s="26" t="s">
        <v>39</v>
      </c>
      <c r="K744" s="27">
        <v>0.94339622641509424</v>
      </c>
      <c r="L744" s="33">
        <v>0.33333333333333331</v>
      </c>
      <c r="M744" s="41" t="s">
        <v>410</v>
      </c>
      <c r="N744" s="1" t="s">
        <v>38</v>
      </c>
      <c r="O744" s="26" t="s">
        <v>42</v>
      </c>
      <c r="P744" s="27">
        <v>3.2258064516129035</v>
      </c>
      <c r="Q744" s="33">
        <v>0.33333333333333331</v>
      </c>
      <c r="R744" s="55" t="s">
        <v>37</v>
      </c>
      <c r="S744" s="26" t="s">
        <v>38</v>
      </c>
      <c r="T744" s="26" t="s">
        <v>39</v>
      </c>
      <c r="U744" s="27">
        <v>0.95238095238095233</v>
      </c>
      <c r="V744" s="33">
        <v>0.33333333333333331</v>
      </c>
      <c r="W744" s="26" t="s">
        <v>408</v>
      </c>
      <c r="X744" s="26" t="s">
        <v>409</v>
      </c>
      <c r="Y744" s="26" t="s">
        <v>39</v>
      </c>
      <c r="Z744" s="27">
        <v>0.94339622641509424</v>
      </c>
      <c r="AA744" s="33">
        <v>0.33333333333333331</v>
      </c>
      <c r="AB744" s="26" t="s">
        <v>411</v>
      </c>
      <c r="AC744" s="26" t="s">
        <v>38</v>
      </c>
      <c r="AD744" s="26" t="s">
        <v>42</v>
      </c>
      <c r="AE744" s="27">
        <v>2.5</v>
      </c>
      <c r="AF744" s="36">
        <v>0.33333333333333331</v>
      </c>
      <c r="AG744" s="31">
        <v>1</v>
      </c>
      <c r="AH744" s="1" t="s">
        <v>73</v>
      </c>
    </row>
    <row r="745" spans="1:34">
      <c r="A745" s="15" t="s">
        <v>807</v>
      </c>
      <c r="B745" s="8" t="s">
        <v>751</v>
      </c>
      <c r="C745" s="41" t="s">
        <v>37</v>
      </c>
      <c r="D745" s="1" t="s">
        <v>38</v>
      </c>
      <c r="E745" s="26" t="s">
        <v>39</v>
      </c>
      <c r="F745" s="27">
        <v>0.95238095238095233</v>
      </c>
      <c r="G745" s="33">
        <v>0.33333333333333331</v>
      </c>
      <c r="H745" s="41" t="s">
        <v>408</v>
      </c>
      <c r="I745" s="1" t="s">
        <v>409</v>
      </c>
      <c r="J745" s="26" t="s">
        <v>39</v>
      </c>
      <c r="K745" s="27">
        <v>0.94339622641509424</v>
      </c>
      <c r="L745" s="33">
        <v>0.33333333333333331</v>
      </c>
      <c r="M745" s="41" t="s">
        <v>410</v>
      </c>
      <c r="N745" s="1" t="s">
        <v>38</v>
      </c>
      <c r="O745" s="26" t="s">
        <v>42</v>
      </c>
      <c r="P745" s="27">
        <v>3.2258064516129035</v>
      </c>
      <c r="Q745" s="33">
        <v>0.33333333333333331</v>
      </c>
      <c r="R745" s="55" t="s">
        <v>37</v>
      </c>
      <c r="S745" s="26" t="s">
        <v>38</v>
      </c>
      <c r="T745" s="26" t="s">
        <v>39</v>
      </c>
      <c r="U745" s="27">
        <v>0.95238095238095233</v>
      </c>
      <c r="V745" s="33">
        <v>0.33333333333333331</v>
      </c>
      <c r="W745" s="26" t="s">
        <v>408</v>
      </c>
      <c r="X745" s="26" t="s">
        <v>409</v>
      </c>
      <c r="Y745" s="26" t="s">
        <v>39</v>
      </c>
      <c r="Z745" s="27">
        <v>0.94339622641509424</v>
      </c>
      <c r="AA745" s="33">
        <v>0.33333333333333331</v>
      </c>
      <c r="AB745" s="26" t="s">
        <v>411</v>
      </c>
      <c r="AC745" s="26" t="s">
        <v>38</v>
      </c>
      <c r="AD745" s="26" t="s">
        <v>42</v>
      </c>
      <c r="AE745" s="27">
        <v>2.5</v>
      </c>
      <c r="AF745" s="36">
        <v>0.33333333333333331</v>
      </c>
      <c r="AG745" s="31">
        <v>0</v>
      </c>
      <c r="AH745" t="s">
        <v>44</v>
      </c>
    </row>
    <row r="746" spans="1:34">
      <c r="A746" s="15" t="s">
        <v>808</v>
      </c>
      <c r="B746" s="8" t="s">
        <v>751</v>
      </c>
      <c r="C746" s="41" t="s">
        <v>37</v>
      </c>
      <c r="D746" s="1" t="s">
        <v>38</v>
      </c>
      <c r="E746" s="26" t="s">
        <v>39</v>
      </c>
      <c r="F746" s="27">
        <v>0.95238095238095233</v>
      </c>
      <c r="G746" s="33">
        <v>0.33333333333333331</v>
      </c>
      <c r="H746" s="41" t="s">
        <v>408</v>
      </c>
      <c r="I746" s="1" t="s">
        <v>409</v>
      </c>
      <c r="J746" s="26" t="s">
        <v>39</v>
      </c>
      <c r="K746" s="27">
        <v>0.94339622641509424</v>
      </c>
      <c r="L746" s="33">
        <v>0.33333333333333331</v>
      </c>
      <c r="M746" s="41" t="s">
        <v>410</v>
      </c>
      <c r="N746" s="1" t="s">
        <v>38</v>
      </c>
      <c r="O746" s="26" t="s">
        <v>42</v>
      </c>
      <c r="P746" s="27">
        <v>3.2258064516129035</v>
      </c>
      <c r="Q746" s="33">
        <v>0.33333333333333331</v>
      </c>
      <c r="R746" s="55" t="s">
        <v>37</v>
      </c>
      <c r="S746" s="26" t="s">
        <v>38</v>
      </c>
      <c r="T746" s="26" t="s">
        <v>39</v>
      </c>
      <c r="U746" s="27">
        <v>0.95238095238095233</v>
      </c>
      <c r="V746" s="33">
        <v>0.33333333333333331</v>
      </c>
      <c r="W746" s="26" t="s">
        <v>408</v>
      </c>
      <c r="X746" s="26" t="s">
        <v>409</v>
      </c>
      <c r="Y746" s="26" t="s">
        <v>39</v>
      </c>
      <c r="Z746" s="27">
        <v>0.94339622641509424</v>
      </c>
      <c r="AA746" s="33">
        <v>0.33333333333333331</v>
      </c>
      <c r="AB746" s="26" t="s">
        <v>411</v>
      </c>
      <c r="AC746" s="26" t="s">
        <v>38</v>
      </c>
      <c r="AD746" s="26" t="s">
        <v>42</v>
      </c>
      <c r="AE746" s="27">
        <v>2.5</v>
      </c>
      <c r="AF746" s="36">
        <v>0.33333333333333331</v>
      </c>
      <c r="AG746" s="31">
        <v>0</v>
      </c>
      <c r="AH746" t="s">
        <v>44</v>
      </c>
    </row>
    <row r="747" spans="1:34">
      <c r="A747" s="15" t="s">
        <v>809</v>
      </c>
      <c r="B747" s="8" t="s">
        <v>751</v>
      </c>
      <c r="C747" s="41" t="s">
        <v>37</v>
      </c>
      <c r="D747" s="1" t="s">
        <v>38</v>
      </c>
      <c r="E747" s="26" t="s">
        <v>39</v>
      </c>
      <c r="F747" s="27">
        <v>0.95238095238095233</v>
      </c>
      <c r="G747" s="33">
        <v>0.33333333333333331</v>
      </c>
      <c r="H747" s="41" t="s">
        <v>408</v>
      </c>
      <c r="I747" s="1" t="s">
        <v>409</v>
      </c>
      <c r="J747" s="26" t="s">
        <v>39</v>
      </c>
      <c r="K747" s="27">
        <v>0.94339622641509424</v>
      </c>
      <c r="L747" s="33">
        <v>0.33333333333333331</v>
      </c>
      <c r="M747" s="41" t="s">
        <v>410</v>
      </c>
      <c r="N747" s="1" t="s">
        <v>38</v>
      </c>
      <c r="O747" s="26" t="s">
        <v>42</v>
      </c>
      <c r="P747" s="27">
        <v>3.2258064516129035</v>
      </c>
      <c r="Q747" s="33">
        <v>0.33333333333333331</v>
      </c>
      <c r="R747" s="55" t="s">
        <v>37</v>
      </c>
      <c r="S747" s="26" t="s">
        <v>38</v>
      </c>
      <c r="T747" s="26" t="s">
        <v>39</v>
      </c>
      <c r="U747" s="27">
        <v>0.95238095238095233</v>
      </c>
      <c r="V747" s="33">
        <v>0.33333333333333331</v>
      </c>
      <c r="W747" s="26" t="s">
        <v>408</v>
      </c>
      <c r="X747" s="26" t="s">
        <v>409</v>
      </c>
      <c r="Y747" s="26" t="s">
        <v>39</v>
      </c>
      <c r="Z747" s="27">
        <v>0.94339622641509424</v>
      </c>
      <c r="AA747" s="33">
        <v>0.33333333333333331</v>
      </c>
      <c r="AB747" s="26" t="s">
        <v>411</v>
      </c>
      <c r="AC747" s="26" t="s">
        <v>38</v>
      </c>
      <c r="AD747" s="26" t="s">
        <v>42</v>
      </c>
      <c r="AE747" s="27">
        <v>2.5</v>
      </c>
      <c r="AF747" s="36">
        <v>0.33333333333333331</v>
      </c>
      <c r="AG747" s="31">
        <v>0</v>
      </c>
      <c r="AH747" t="s">
        <v>44</v>
      </c>
    </row>
    <row r="748" spans="1:34">
      <c r="A748" s="15" t="s">
        <v>810</v>
      </c>
      <c r="B748" s="8" t="s">
        <v>751</v>
      </c>
      <c r="C748" s="41" t="s">
        <v>37</v>
      </c>
      <c r="D748" s="1" t="s">
        <v>38</v>
      </c>
      <c r="E748" s="26" t="s">
        <v>39</v>
      </c>
      <c r="F748" s="27">
        <v>0.95238095238095233</v>
      </c>
      <c r="G748" s="33">
        <v>0.33333333333333331</v>
      </c>
      <c r="H748" s="41" t="s">
        <v>408</v>
      </c>
      <c r="I748" s="1" t="s">
        <v>409</v>
      </c>
      <c r="J748" s="26" t="s">
        <v>39</v>
      </c>
      <c r="K748" s="27">
        <v>0.94339622641509424</v>
      </c>
      <c r="L748" s="33">
        <v>0.33333333333333331</v>
      </c>
      <c r="M748" s="41" t="s">
        <v>410</v>
      </c>
      <c r="N748" s="1" t="s">
        <v>38</v>
      </c>
      <c r="O748" s="26" t="s">
        <v>42</v>
      </c>
      <c r="P748" s="27">
        <v>3.2258064516129035</v>
      </c>
      <c r="Q748" s="33">
        <v>0.33333333333333331</v>
      </c>
      <c r="R748" s="55" t="s">
        <v>37</v>
      </c>
      <c r="S748" s="26" t="s">
        <v>38</v>
      </c>
      <c r="T748" s="26" t="s">
        <v>39</v>
      </c>
      <c r="U748" s="27">
        <v>0.95238095238095233</v>
      </c>
      <c r="V748" s="33">
        <v>0.33333333333333331</v>
      </c>
      <c r="W748" s="26" t="s">
        <v>408</v>
      </c>
      <c r="X748" s="26" t="s">
        <v>409</v>
      </c>
      <c r="Y748" s="26" t="s">
        <v>39</v>
      </c>
      <c r="Z748" s="27">
        <v>0.94339622641509424</v>
      </c>
      <c r="AA748" s="33">
        <v>0.33333333333333331</v>
      </c>
      <c r="AB748" s="26" t="s">
        <v>411</v>
      </c>
      <c r="AC748" s="26" t="s">
        <v>38</v>
      </c>
      <c r="AD748" s="26" t="s">
        <v>42</v>
      </c>
      <c r="AE748" s="27">
        <v>2.5</v>
      </c>
      <c r="AF748" s="36">
        <v>0.33333333333333331</v>
      </c>
      <c r="AG748" s="31">
        <v>0</v>
      </c>
      <c r="AH748" t="s">
        <v>44</v>
      </c>
    </row>
    <row r="749" spans="1:34">
      <c r="A749" s="15" t="s">
        <v>811</v>
      </c>
      <c r="B749" s="8" t="s">
        <v>751</v>
      </c>
      <c r="C749" s="41" t="s">
        <v>37</v>
      </c>
      <c r="D749" s="1" t="s">
        <v>38</v>
      </c>
      <c r="E749" s="26" t="s">
        <v>39</v>
      </c>
      <c r="F749" s="27">
        <v>0.95238095238095233</v>
      </c>
      <c r="G749" s="33">
        <v>0.33333333333333331</v>
      </c>
      <c r="H749" s="41" t="s">
        <v>408</v>
      </c>
      <c r="I749" s="1" t="s">
        <v>409</v>
      </c>
      <c r="J749" s="26" t="s">
        <v>39</v>
      </c>
      <c r="K749" s="27">
        <v>0.94339622641509424</v>
      </c>
      <c r="L749" s="33">
        <v>0.33333333333333331</v>
      </c>
      <c r="M749" s="41" t="s">
        <v>410</v>
      </c>
      <c r="N749" s="1" t="s">
        <v>38</v>
      </c>
      <c r="O749" s="26" t="s">
        <v>42</v>
      </c>
      <c r="P749" s="27">
        <v>3.2258064516129035</v>
      </c>
      <c r="Q749" s="33">
        <v>0.33333333333333331</v>
      </c>
      <c r="R749" s="55" t="s">
        <v>37</v>
      </c>
      <c r="S749" s="26" t="s">
        <v>38</v>
      </c>
      <c r="T749" s="26" t="s">
        <v>39</v>
      </c>
      <c r="U749" s="27">
        <v>0.95238095238095233</v>
      </c>
      <c r="V749" s="33">
        <v>0.33333333333333331</v>
      </c>
      <c r="W749" s="26" t="s">
        <v>408</v>
      </c>
      <c r="X749" s="26" t="s">
        <v>409</v>
      </c>
      <c r="Y749" s="26" t="s">
        <v>39</v>
      </c>
      <c r="Z749" s="27">
        <v>0.94339622641509424</v>
      </c>
      <c r="AA749" s="33">
        <v>0.33333333333333331</v>
      </c>
      <c r="AB749" s="26" t="s">
        <v>411</v>
      </c>
      <c r="AC749" s="26" t="s">
        <v>38</v>
      </c>
      <c r="AD749" s="26" t="s">
        <v>42</v>
      </c>
      <c r="AE749" s="27">
        <v>2.5</v>
      </c>
      <c r="AF749" s="36">
        <v>0.33333333333333331</v>
      </c>
      <c r="AG749" s="31">
        <v>0</v>
      </c>
      <c r="AH749" t="s">
        <v>44</v>
      </c>
    </row>
    <row r="750" spans="1:34">
      <c r="A750" s="15" t="s">
        <v>812</v>
      </c>
      <c r="B750" s="8" t="s">
        <v>751</v>
      </c>
      <c r="C750" s="41" t="s">
        <v>37</v>
      </c>
      <c r="D750" s="1" t="s">
        <v>38</v>
      </c>
      <c r="E750" s="26" t="s">
        <v>39</v>
      </c>
      <c r="F750" s="27">
        <v>0.95238095238095233</v>
      </c>
      <c r="G750" s="33">
        <v>0.33333333333333331</v>
      </c>
      <c r="H750" s="41" t="s">
        <v>408</v>
      </c>
      <c r="I750" s="1" t="s">
        <v>409</v>
      </c>
      <c r="J750" s="26" t="s">
        <v>39</v>
      </c>
      <c r="K750" s="27">
        <v>0.94339622641509424</v>
      </c>
      <c r="L750" s="33">
        <v>0.33333333333333331</v>
      </c>
      <c r="M750" s="41" t="s">
        <v>410</v>
      </c>
      <c r="N750" s="1" t="s">
        <v>38</v>
      </c>
      <c r="O750" s="26" t="s">
        <v>42</v>
      </c>
      <c r="P750" s="27">
        <v>3.2258064516129035</v>
      </c>
      <c r="Q750" s="33">
        <v>0.33333333333333331</v>
      </c>
      <c r="R750" s="55" t="s">
        <v>37</v>
      </c>
      <c r="S750" s="26" t="s">
        <v>38</v>
      </c>
      <c r="T750" s="26" t="s">
        <v>39</v>
      </c>
      <c r="U750" s="27">
        <v>0.95238095238095233</v>
      </c>
      <c r="V750" s="33">
        <v>0.33333333333333331</v>
      </c>
      <c r="W750" s="26" t="s">
        <v>408</v>
      </c>
      <c r="X750" s="26" t="s">
        <v>409</v>
      </c>
      <c r="Y750" s="26" t="s">
        <v>39</v>
      </c>
      <c r="Z750" s="27">
        <v>0.94339622641509424</v>
      </c>
      <c r="AA750" s="33">
        <v>0.33333333333333331</v>
      </c>
      <c r="AB750" s="26" t="s">
        <v>411</v>
      </c>
      <c r="AC750" s="26" t="s">
        <v>38</v>
      </c>
      <c r="AD750" s="26" t="s">
        <v>42</v>
      </c>
      <c r="AE750" s="27">
        <v>2.5</v>
      </c>
      <c r="AF750" s="36">
        <v>0.33333333333333331</v>
      </c>
      <c r="AG750" s="31">
        <v>0</v>
      </c>
      <c r="AH750" t="s">
        <v>44</v>
      </c>
    </row>
    <row r="751" spans="1:34">
      <c r="A751" s="15" t="s">
        <v>813</v>
      </c>
      <c r="B751" s="8" t="s">
        <v>751</v>
      </c>
      <c r="C751" s="41" t="s">
        <v>37</v>
      </c>
      <c r="D751" s="1" t="s">
        <v>38</v>
      </c>
      <c r="E751" s="26" t="s">
        <v>39</v>
      </c>
      <c r="F751" s="27">
        <v>0.95238095238095233</v>
      </c>
      <c r="G751" s="33">
        <v>0.33333333333333331</v>
      </c>
      <c r="H751" s="41" t="s">
        <v>408</v>
      </c>
      <c r="I751" s="1" t="s">
        <v>409</v>
      </c>
      <c r="J751" s="26" t="s">
        <v>39</v>
      </c>
      <c r="K751" s="27">
        <v>0.94339622641509424</v>
      </c>
      <c r="L751" s="33">
        <v>0.33333333333333331</v>
      </c>
      <c r="M751" s="41" t="s">
        <v>410</v>
      </c>
      <c r="N751" s="1" t="s">
        <v>38</v>
      </c>
      <c r="O751" s="26" t="s">
        <v>42</v>
      </c>
      <c r="P751" s="27">
        <v>3.2258064516129035</v>
      </c>
      <c r="Q751" s="33">
        <v>0.33333333333333331</v>
      </c>
      <c r="R751" s="55" t="s">
        <v>37</v>
      </c>
      <c r="S751" s="26" t="s">
        <v>38</v>
      </c>
      <c r="T751" s="26" t="s">
        <v>39</v>
      </c>
      <c r="U751" s="27">
        <v>0.95238095238095233</v>
      </c>
      <c r="V751" s="33">
        <v>0.33333333333333331</v>
      </c>
      <c r="W751" s="26" t="s">
        <v>408</v>
      </c>
      <c r="X751" s="26" t="s">
        <v>409</v>
      </c>
      <c r="Y751" s="26" t="s">
        <v>39</v>
      </c>
      <c r="Z751" s="27">
        <v>0.94339622641509424</v>
      </c>
      <c r="AA751" s="33">
        <v>0.33333333333333331</v>
      </c>
      <c r="AB751" s="26" t="s">
        <v>411</v>
      </c>
      <c r="AC751" s="26" t="s">
        <v>38</v>
      </c>
      <c r="AD751" s="26" t="s">
        <v>42</v>
      </c>
      <c r="AE751" s="27">
        <v>2.5</v>
      </c>
      <c r="AF751" s="36">
        <v>0.33333333333333331</v>
      </c>
      <c r="AG751" s="31">
        <v>0</v>
      </c>
      <c r="AH751" t="s">
        <v>44</v>
      </c>
    </row>
    <row r="752" spans="1:34">
      <c r="A752" s="15" t="s">
        <v>814</v>
      </c>
      <c r="B752" s="8" t="s">
        <v>751</v>
      </c>
      <c r="C752" s="41" t="s">
        <v>37</v>
      </c>
      <c r="D752" s="1" t="s">
        <v>38</v>
      </c>
      <c r="E752" s="26" t="s">
        <v>39</v>
      </c>
      <c r="F752" s="27">
        <v>0.95238095238095233</v>
      </c>
      <c r="G752" s="33">
        <v>0.33333333333333331</v>
      </c>
      <c r="H752" s="41" t="s">
        <v>408</v>
      </c>
      <c r="I752" s="1" t="s">
        <v>409</v>
      </c>
      <c r="J752" s="26" t="s">
        <v>39</v>
      </c>
      <c r="K752" s="27">
        <v>0.94339622641509424</v>
      </c>
      <c r="L752" s="33">
        <v>0.33333333333333331</v>
      </c>
      <c r="M752" s="41" t="s">
        <v>410</v>
      </c>
      <c r="N752" s="1" t="s">
        <v>38</v>
      </c>
      <c r="O752" s="26" t="s">
        <v>42</v>
      </c>
      <c r="P752" s="27">
        <v>3.2258064516129035</v>
      </c>
      <c r="Q752" s="33">
        <v>0.33333333333333331</v>
      </c>
      <c r="R752" s="55" t="s">
        <v>37</v>
      </c>
      <c r="S752" s="26" t="s">
        <v>38</v>
      </c>
      <c r="T752" s="26" t="s">
        <v>39</v>
      </c>
      <c r="U752" s="27">
        <v>0.95238095238095233</v>
      </c>
      <c r="V752" s="33">
        <v>0.33333333333333331</v>
      </c>
      <c r="W752" s="26" t="s">
        <v>408</v>
      </c>
      <c r="X752" s="26" t="s">
        <v>409</v>
      </c>
      <c r="Y752" s="26" t="s">
        <v>39</v>
      </c>
      <c r="Z752" s="27">
        <v>0.94339622641509424</v>
      </c>
      <c r="AA752" s="33">
        <v>0.33333333333333331</v>
      </c>
      <c r="AB752" s="26" t="s">
        <v>411</v>
      </c>
      <c r="AC752" s="26" t="s">
        <v>38</v>
      </c>
      <c r="AD752" s="26" t="s">
        <v>42</v>
      </c>
      <c r="AE752" s="27">
        <v>2.5</v>
      </c>
      <c r="AF752" s="36">
        <v>0.33333333333333331</v>
      </c>
      <c r="AG752" s="31">
        <v>0</v>
      </c>
      <c r="AH752" t="s">
        <v>44</v>
      </c>
    </row>
    <row r="753" spans="1:34">
      <c r="A753" s="15" t="s">
        <v>815</v>
      </c>
      <c r="B753" s="8" t="s">
        <v>751</v>
      </c>
      <c r="C753" s="41" t="s">
        <v>37</v>
      </c>
      <c r="D753" s="1" t="s">
        <v>38</v>
      </c>
      <c r="E753" s="26" t="s">
        <v>39</v>
      </c>
      <c r="F753" s="27">
        <v>0.95238095238095233</v>
      </c>
      <c r="G753" s="33">
        <v>0.33333333333333331</v>
      </c>
      <c r="H753" s="41" t="s">
        <v>408</v>
      </c>
      <c r="I753" s="1" t="s">
        <v>409</v>
      </c>
      <c r="J753" s="26" t="s">
        <v>39</v>
      </c>
      <c r="K753" s="27">
        <v>0.94339622641509424</v>
      </c>
      <c r="L753" s="33">
        <v>0.33333333333333331</v>
      </c>
      <c r="M753" s="41" t="s">
        <v>410</v>
      </c>
      <c r="N753" s="1" t="s">
        <v>38</v>
      </c>
      <c r="O753" s="26" t="s">
        <v>42</v>
      </c>
      <c r="P753" s="27">
        <v>3.2258064516129035</v>
      </c>
      <c r="Q753" s="33">
        <v>0.33333333333333331</v>
      </c>
      <c r="R753" s="55" t="s">
        <v>37</v>
      </c>
      <c r="S753" s="26" t="s">
        <v>38</v>
      </c>
      <c r="T753" s="26" t="s">
        <v>39</v>
      </c>
      <c r="U753" s="27">
        <v>0.95238095238095233</v>
      </c>
      <c r="V753" s="33">
        <v>0.33333333333333331</v>
      </c>
      <c r="W753" s="26" t="s">
        <v>408</v>
      </c>
      <c r="X753" s="26" t="s">
        <v>409</v>
      </c>
      <c r="Y753" s="26" t="s">
        <v>39</v>
      </c>
      <c r="Z753" s="27">
        <v>0.94339622641509424</v>
      </c>
      <c r="AA753" s="33">
        <v>0.33333333333333331</v>
      </c>
      <c r="AB753" s="26" t="s">
        <v>411</v>
      </c>
      <c r="AC753" s="26" t="s">
        <v>38</v>
      </c>
      <c r="AD753" s="26" t="s">
        <v>42</v>
      </c>
      <c r="AE753" s="27">
        <v>2.5</v>
      </c>
      <c r="AF753" s="36">
        <v>0.33333333333333331</v>
      </c>
      <c r="AG753" s="31">
        <v>0</v>
      </c>
      <c r="AH753" t="s">
        <v>44</v>
      </c>
    </row>
    <row r="754" spans="1:34">
      <c r="A754" s="15" t="s">
        <v>816</v>
      </c>
      <c r="B754" s="8" t="s">
        <v>751</v>
      </c>
      <c r="C754" s="41" t="s">
        <v>37</v>
      </c>
      <c r="D754" s="1" t="s">
        <v>38</v>
      </c>
      <c r="E754" s="26" t="s">
        <v>39</v>
      </c>
      <c r="F754" s="27">
        <v>0.95238095238095233</v>
      </c>
      <c r="G754" s="33">
        <v>0.33333333333333331</v>
      </c>
      <c r="H754" s="41" t="s">
        <v>408</v>
      </c>
      <c r="I754" s="1" t="s">
        <v>409</v>
      </c>
      <c r="J754" s="26" t="s">
        <v>39</v>
      </c>
      <c r="K754" s="27">
        <v>0.94339622641509424</v>
      </c>
      <c r="L754" s="33">
        <v>0.33333333333333331</v>
      </c>
      <c r="M754" s="41" t="s">
        <v>410</v>
      </c>
      <c r="N754" s="1" t="s">
        <v>38</v>
      </c>
      <c r="O754" s="26" t="s">
        <v>42</v>
      </c>
      <c r="P754" s="27">
        <v>3.2258064516129035</v>
      </c>
      <c r="Q754" s="33">
        <v>0.33333333333333331</v>
      </c>
      <c r="R754" s="55" t="s">
        <v>37</v>
      </c>
      <c r="S754" s="26" t="s">
        <v>38</v>
      </c>
      <c r="T754" s="26" t="s">
        <v>39</v>
      </c>
      <c r="U754" s="27">
        <v>0.95238095238095233</v>
      </c>
      <c r="V754" s="33">
        <v>0.33333333333333331</v>
      </c>
      <c r="W754" s="26" t="s">
        <v>408</v>
      </c>
      <c r="X754" s="26" t="s">
        <v>409</v>
      </c>
      <c r="Y754" s="26" t="s">
        <v>39</v>
      </c>
      <c r="Z754" s="27">
        <v>0.94339622641509424</v>
      </c>
      <c r="AA754" s="33">
        <v>0.33333333333333331</v>
      </c>
      <c r="AB754" s="26" t="s">
        <v>411</v>
      </c>
      <c r="AC754" s="26" t="s">
        <v>38</v>
      </c>
      <c r="AD754" s="26" t="s">
        <v>42</v>
      </c>
      <c r="AE754" s="27">
        <v>2.5</v>
      </c>
      <c r="AF754" s="36">
        <v>0.33333333333333331</v>
      </c>
      <c r="AG754" s="31">
        <v>0</v>
      </c>
      <c r="AH754" t="s">
        <v>44</v>
      </c>
    </row>
    <row r="755" spans="1:34">
      <c r="A755" s="15" t="s">
        <v>817</v>
      </c>
      <c r="B755" s="8" t="s">
        <v>751</v>
      </c>
      <c r="C755" s="41" t="s">
        <v>37</v>
      </c>
      <c r="D755" s="1" t="s">
        <v>38</v>
      </c>
      <c r="E755" s="26" t="s">
        <v>39</v>
      </c>
      <c r="F755" s="27">
        <v>0.95238095238095233</v>
      </c>
      <c r="G755" s="33">
        <v>0.33333333333333331</v>
      </c>
      <c r="H755" s="41" t="s">
        <v>408</v>
      </c>
      <c r="I755" s="1" t="s">
        <v>409</v>
      </c>
      <c r="J755" s="26" t="s">
        <v>39</v>
      </c>
      <c r="K755" s="27">
        <v>0.94339622641509424</v>
      </c>
      <c r="L755" s="33">
        <v>0.33333333333333331</v>
      </c>
      <c r="M755" s="41" t="s">
        <v>410</v>
      </c>
      <c r="N755" s="1" t="s">
        <v>38</v>
      </c>
      <c r="O755" s="26" t="s">
        <v>42</v>
      </c>
      <c r="P755" s="27">
        <v>3.2258064516129035</v>
      </c>
      <c r="Q755" s="33">
        <v>0.33333333333333331</v>
      </c>
      <c r="R755" s="55" t="s">
        <v>37</v>
      </c>
      <c r="S755" s="26" t="s">
        <v>38</v>
      </c>
      <c r="T755" s="26" t="s">
        <v>39</v>
      </c>
      <c r="U755" s="27">
        <v>0.95238095238095233</v>
      </c>
      <c r="V755" s="33">
        <v>0.33333333333333331</v>
      </c>
      <c r="W755" s="26" t="s">
        <v>408</v>
      </c>
      <c r="X755" s="26" t="s">
        <v>409</v>
      </c>
      <c r="Y755" s="26" t="s">
        <v>39</v>
      </c>
      <c r="Z755" s="27">
        <v>0.94339622641509424</v>
      </c>
      <c r="AA755" s="33">
        <v>0.33333333333333331</v>
      </c>
      <c r="AB755" s="26" t="s">
        <v>411</v>
      </c>
      <c r="AC755" s="26" t="s">
        <v>38</v>
      </c>
      <c r="AD755" s="26" t="s">
        <v>42</v>
      </c>
      <c r="AE755" s="27">
        <v>2.5</v>
      </c>
      <c r="AF755" s="36">
        <v>0.33333333333333331</v>
      </c>
      <c r="AG755" s="31">
        <v>0</v>
      </c>
      <c r="AH755" t="s">
        <v>44</v>
      </c>
    </row>
    <row r="756" spans="1:34">
      <c r="A756" s="15" t="s">
        <v>818</v>
      </c>
      <c r="B756" s="8" t="s">
        <v>751</v>
      </c>
      <c r="C756" s="41" t="s">
        <v>37</v>
      </c>
      <c r="D756" s="1" t="s">
        <v>38</v>
      </c>
      <c r="E756" s="26" t="s">
        <v>39</v>
      </c>
      <c r="F756" s="27">
        <v>0.95238095238095233</v>
      </c>
      <c r="G756" s="33">
        <v>0.33333333333333331</v>
      </c>
      <c r="H756" s="41" t="s">
        <v>408</v>
      </c>
      <c r="I756" s="1" t="s">
        <v>409</v>
      </c>
      <c r="J756" s="26" t="s">
        <v>39</v>
      </c>
      <c r="K756" s="27">
        <v>0.94339622641509424</v>
      </c>
      <c r="L756" s="33">
        <v>0.33333333333333331</v>
      </c>
      <c r="M756" s="41" t="s">
        <v>410</v>
      </c>
      <c r="N756" s="1" t="s">
        <v>38</v>
      </c>
      <c r="O756" s="26" t="s">
        <v>42</v>
      </c>
      <c r="P756" s="27">
        <v>3.2258064516129035</v>
      </c>
      <c r="Q756" s="33">
        <v>0.33333333333333331</v>
      </c>
      <c r="R756" s="55" t="s">
        <v>37</v>
      </c>
      <c r="S756" s="26" t="s">
        <v>38</v>
      </c>
      <c r="T756" s="26" t="s">
        <v>39</v>
      </c>
      <c r="U756" s="27">
        <v>0.95238095238095233</v>
      </c>
      <c r="V756" s="33">
        <v>0.33333333333333331</v>
      </c>
      <c r="W756" s="26" t="s">
        <v>408</v>
      </c>
      <c r="X756" s="26" t="s">
        <v>409</v>
      </c>
      <c r="Y756" s="26" t="s">
        <v>39</v>
      </c>
      <c r="Z756" s="27">
        <v>0.94339622641509424</v>
      </c>
      <c r="AA756" s="33">
        <v>0.33333333333333331</v>
      </c>
      <c r="AB756" s="26" t="s">
        <v>411</v>
      </c>
      <c r="AC756" s="26" t="s">
        <v>38</v>
      </c>
      <c r="AD756" s="26" t="s">
        <v>42</v>
      </c>
      <c r="AE756" s="27">
        <v>2.5</v>
      </c>
      <c r="AF756" s="36">
        <v>0.33333333333333331</v>
      </c>
      <c r="AG756" s="31">
        <v>0</v>
      </c>
      <c r="AH756" t="s">
        <v>44</v>
      </c>
    </row>
    <row r="757" spans="1:34">
      <c r="A757" s="15" t="s">
        <v>819</v>
      </c>
      <c r="B757" s="8" t="s">
        <v>751</v>
      </c>
      <c r="C757" s="41" t="s">
        <v>37</v>
      </c>
      <c r="D757" s="1" t="s">
        <v>38</v>
      </c>
      <c r="E757" s="26" t="s">
        <v>39</v>
      </c>
      <c r="F757" s="27">
        <v>0.95238095238095233</v>
      </c>
      <c r="G757" s="33">
        <v>0.33333333333333331</v>
      </c>
      <c r="H757" s="41" t="s">
        <v>408</v>
      </c>
      <c r="I757" s="1" t="s">
        <v>409</v>
      </c>
      <c r="J757" s="26" t="s">
        <v>39</v>
      </c>
      <c r="K757" s="27">
        <v>0.94339622641509424</v>
      </c>
      <c r="L757" s="33">
        <v>0.33333333333333331</v>
      </c>
      <c r="M757" s="41" t="s">
        <v>410</v>
      </c>
      <c r="N757" s="1" t="s">
        <v>38</v>
      </c>
      <c r="O757" s="26" t="s">
        <v>42</v>
      </c>
      <c r="P757" s="27">
        <v>3.2258064516129035</v>
      </c>
      <c r="Q757" s="33">
        <v>0.33333333333333331</v>
      </c>
      <c r="R757" s="55" t="s">
        <v>37</v>
      </c>
      <c r="S757" s="26" t="s">
        <v>38</v>
      </c>
      <c r="T757" s="26" t="s">
        <v>39</v>
      </c>
      <c r="U757" s="27">
        <v>0.95238095238095233</v>
      </c>
      <c r="V757" s="33">
        <v>0.33333333333333331</v>
      </c>
      <c r="W757" s="26" t="s">
        <v>408</v>
      </c>
      <c r="X757" s="26" t="s">
        <v>409</v>
      </c>
      <c r="Y757" s="26" t="s">
        <v>39</v>
      </c>
      <c r="Z757" s="27">
        <v>0.94339622641509424</v>
      </c>
      <c r="AA757" s="33">
        <v>0.33333333333333331</v>
      </c>
      <c r="AB757" s="26" t="s">
        <v>411</v>
      </c>
      <c r="AC757" s="26" t="s">
        <v>38</v>
      </c>
      <c r="AD757" s="26" t="s">
        <v>42</v>
      </c>
      <c r="AE757" s="27">
        <v>2.5</v>
      </c>
      <c r="AF757" s="36">
        <v>0.33333333333333331</v>
      </c>
      <c r="AG757" s="31">
        <v>0</v>
      </c>
      <c r="AH757" t="s">
        <v>44</v>
      </c>
    </row>
    <row r="758" spans="1:34">
      <c r="A758" s="15" t="s">
        <v>820</v>
      </c>
      <c r="B758" s="8" t="s">
        <v>751</v>
      </c>
      <c r="C758" s="41" t="s">
        <v>37</v>
      </c>
      <c r="D758" s="1" t="s">
        <v>38</v>
      </c>
      <c r="E758" s="26" t="s">
        <v>39</v>
      </c>
      <c r="F758" s="27">
        <v>0.95238095238095233</v>
      </c>
      <c r="G758" s="33">
        <v>0.33333333333333331</v>
      </c>
      <c r="H758" s="41" t="s">
        <v>408</v>
      </c>
      <c r="I758" s="1" t="s">
        <v>409</v>
      </c>
      <c r="J758" s="26" t="s">
        <v>39</v>
      </c>
      <c r="K758" s="27">
        <v>0.94339622641509424</v>
      </c>
      <c r="L758" s="33">
        <v>0.33333333333333331</v>
      </c>
      <c r="M758" s="41" t="s">
        <v>410</v>
      </c>
      <c r="N758" s="1" t="s">
        <v>38</v>
      </c>
      <c r="O758" s="26" t="s">
        <v>42</v>
      </c>
      <c r="P758" s="27">
        <v>3.2258064516129035</v>
      </c>
      <c r="Q758" s="33">
        <v>0.33333333333333331</v>
      </c>
      <c r="R758" s="55" t="s">
        <v>37</v>
      </c>
      <c r="S758" s="26" t="s">
        <v>38</v>
      </c>
      <c r="T758" s="26" t="s">
        <v>39</v>
      </c>
      <c r="U758" s="27">
        <v>0.95238095238095233</v>
      </c>
      <c r="V758" s="33">
        <v>0.33333333333333331</v>
      </c>
      <c r="W758" s="26" t="s">
        <v>408</v>
      </c>
      <c r="X758" s="26" t="s">
        <v>409</v>
      </c>
      <c r="Y758" s="26" t="s">
        <v>39</v>
      </c>
      <c r="Z758" s="27">
        <v>0.94339622641509424</v>
      </c>
      <c r="AA758" s="33">
        <v>0.33333333333333331</v>
      </c>
      <c r="AB758" s="26" t="s">
        <v>411</v>
      </c>
      <c r="AC758" s="26" t="s">
        <v>38</v>
      </c>
      <c r="AD758" s="26" t="s">
        <v>42</v>
      </c>
      <c r="AE758" s="27">
        <v>2.5</v>
      </c>
      <c r="AF758" s="36">
        <v>0.33333333333333331</v>
      </c>
      <c r="AG758" s="31">
        <v>0</v>
      </c>
      <c r="AH758" t="s">
        <v>44</v>
      </c>
    </row>
    <row r="759" spans="1:34">
      <c r="A759" s="15" t="s">
        <v>821</v>
      </c>
      <c r="B759" s="8" t="s">
        <v>751</v>
      </c>
      <c r="C759" s="41" t="s">
        <v>37</v>
      </c>
      <c r="D759" s="1" t="s">
        <v>38</v>
      </c>
      <c r="E759" s="26" t="s">
        <v>39</v>
      </c>
      <c r="F759" s="27">
        <v>0.95238095238095233</v>
      </c>
      <c r="G759" s="33">
        <v>0.33333333333333331</v>
      </c>
      <c r="H759" s="41" t="s">
        <v>408</v>
      </c>
      <c r="I759" s="1" t="s">
        <v>409</v>
      </c>
      <c r="J759" s="26" t="s">
        <v>39</v>
      </c>
      <c r="K759" s="27">
        <v>0.94339622641509424</v>
      </c>
      <c r="L759" s="33">
        <v>0.33333333333333331</v>
      </c>
      <c r="M759" s="41" t="s">
        <v>410</v>
      </c>
      <c r="N759" s="1" t="s">
        <v>38</v>
      </c>
      <c r="O759" s="26" t="s">
        <v>42</v>
      </c>
      <c r="P759" s="27">
        <v>3.2258064516129035</v>
      </c>
      <c r="Q759" s="33">
        <v>0.33333333333333331</v>
      </c>
      <c r="R759" s="55" t="s">
        <v>37</v>
      </c>
      <c r="S759" s="26" t="s">
        <v>38</v>
      </c>
      <c r="T759" s="26" t="s">
        <v>39</v>
      </c>
      <c r="U759" s="27">
        <v>0.95238095238095233</v>
      </c>
      <c r="V759" s="33">
        <v>0.33333333333333331</v>
      </c>
      <c r="W759" s="26" t="s">
        <v>408</v>
      </c>
      <c r="X759" s="26" t="s">
        <v>409</v>
      </c>
      <c r="Y759" s="26" t="s">
        <v>39</v>
      </c>
      <c r="Z759" s="27">
        <v>0.94339622641509424</v>
      </c>
      <c r="AA759" s="33">
        <v>0.33333333333333331</v>
      </c>
      <c r="AB759" s="26" t="s">
        <v>411</v>
      </c>
      <c r="AC759" s="26" t="s">
        <v>38</v>
      </c>
      <c r="AD759" s="26" t="s">
        <v>42</v>
      </c>
      <c r="AE759" s="27">
        <v>2.5</v>
      </c>
      <c r="AF759" s="36">
        <v>0.33333333333333331</v>
      </c>
      <c r="AG759" s="31">
        <v>0</v>
      </c>
      <c r="AH759" t="s">
        <v>44</v>
      </c>
    </row>
    <row r="760" spans="1:34">
      <c r="A760" s="15" t="s">
        <v>822</v>
      </c>
      <c r="B760" s="8" t="s">
        <v>751</v>
      </c>
      <c r="C760" s="41" t="s">
        <v>37</v>
      </c>
      <c r="D760" s="1" t="s">
        <v>38</v>
      </c>
      <c r="E760" s="26" t="s">
        <v>39</v>
      </c>
      <c r="F760" s="27">
        <v>0.95238095238095233</v>
      </c>
      <c r="G760" s="33">
        <v>0.33333333333333331</v>
      </c>
      <c r="H760" s="41" t="s">
        <v>408</v>
      </c>
      <c r="I760" s="1" t="s">
        <v>409</v>
      </c>
      <c r="J760" s="26" t="s">
        <v>39</v>
      </c>
      <c r="K760" s="27">
        <v>0.94339622641509424</v>
      </c>
      <c r="L760" s="33">
        <v>0.33333333333333331</v>
      </c>
      <c r="M760" s="41" t="s">
        <v>410</v>
      </c>
      <c r="N760" s="1" t="s">
        <v>38</v>
      </c>
      <c r="O760" s="26" t="s">
        <v>42</v>
      </c>
      <c r="P760" s="27">
        <v>3.2258064516129035</v>
      </c>
      <c r="Q760" s="33">
        <v>0.33333333333333331</v>
      </c>
      <c r="R760" s="55" t="s">
        <v>37</v>
      </c>
      <c r="S760" s="26" t="s">
        <v>38</v>
      </c>
      <c r="T760" s="26" t="s">
        <v>39</v>
      </c>
      <c r="U760" s="27">
        <v>0.95238095238095233</v>
      </c>
      <c r="V760" s="33">
        <v>0.33333333333333331</v>
      </c>
      <c r="W760" s="26" t="s">
        <v>408</v>
      </c>
      <c r="X760" s="26" t="s">
        <v>409</v>
      </c>
      <c r="Y760" s="26" t="s">
        <v>39</v>
      </c>
      <c r="Z760" s="27">
        <v>0.94339622641509424</v>
      </c>
      <c r="AA760" s="33">
        <v>0.33333333333333331</v>
      </c>
      <c r="AB760" s="26" t="s">
        <v>411</v>
      </c>
      <c r="AC760" s="26" t="s">
        <v>38</v>
      </c>
      <c r="AD760" s="26" t="s">
        <v>42</v>
      </c>
      <c r="AE760" s="27">
        <v>2.5</v>
      </c>
      <c r="AF760" s="36">
        <v>0.33333333333333331</v>
      </c>
      <c r="AG760" s="31">
        <v>0</v>
      </c>
      <c r="AH760" t="s">
        <v>44</v>
      </c>
    </row>
    <row r="761" spans="1:34">
      <c r="A761" s="15" t="s">
        <v>823</v>
      </c>
      <c r="B761" s="8" t="s">
        <v>751</v>
      </c>
      <c r="C761" s="41" t="s">
        <v>37</v>
      </c>
      <c r="D761" s="1" t="s">
        <v>38</v>
      </c>
      <c r="E761" s="26" t="s">
        <v>39</v>
      </c>
      <c r="F761" s="27">
        <v>0.95238095238095233</v>
      </c>
      <c r="G761" s="33">
        <v>0.33333333333333331</v>
      </c>
      <c r="H761" s="41" t="s">
        <v>408</v>
      </c>
      <c r="I761" s="1" t="s">
        <v>409</v>
      </c>
      <c r="J761" s="26" t="s">
        <v>39</v>
      </c>
      <c r="K761" s="27">
        <v>0.94339622641509424</v>
      </c>
      <c r="L761" s="33">
        <v>0.33333333333333331</v>
      </c>
      <c r="M761" s="41" t="s">
        <v>410</v>
      </c>
      <c r="N761" s="1" t="s">
        <v>38</v>
      </c>
      <c r="O761" s="26" t="s">
        <v>42</v>
      </c>
      <c r="P761" s="27">
        <v>3.2258064516129035</v>
      </c>
      <c r="Q761" s="33">
        <v>0.33333333333333331</v>
      </c>
      <c r="R761" s="55" t="s">
        <v>37</v>
      </c>
      <c r="S761" s="26" t="s">
        <v>38</v>
      </c>
      <c r="T761" s="26" t="s">
        <v>39</v>
      </c>
      <c r="U761" s="27">
        <v>0.95238095238095233</v>
      </c>
      <c r="V761" s="33">
        <v>0.33333333333333331</v>
      </c>
      <c r="W761" s="26" t="s">
        <v>408</v>
      </c>
      <c r="X761" s="26" t="s">
        <v>409</v>
      </c>
      <c r="Y761" s="26" t="s">
        <v>39</v>
      </c>
      <c r="Z761" s="27">
        <v>0.94339622641509424</v>
      </c>
      <c r="AA761" s="33">
        <v>0.33333333333333331</v>
      </c>
      <c r="AB761" s="26" t="s">
        <v>411</v>
      </c>
      <c r="AC761" s="26" t="s">
        <v>38</v>
      </c>
      <c r="AD761" s="26" t="s">
        <v>42</v>
      </c>
      <c r="AE761" s="27">
        <v>2.5</v>
      </c>
      <c r="AF761" s="36">
        <v>0.33333333333333331</v>
      </c>
      <c r="AG761" s="31">
        <v>0</v>
      </c>
      <c r="AH761" t="s">
        <v>44</v>
      </c>
    </row>
    <row r="762" spans="1:34">
      <c r="A762" s="15" t="s">
        <v>824</v>
      </c>
      <c r="B762" s="8" t="s">
        <v>751</v>
      </c>
      <c r="C762" s="41" t="s">
        <v>37</v>
      </c>
      <c r="D762" s="1" t="s">
        <v>38</v>
      </c>
      <c r="E762" s="26" t="s">
        <v>39</v>
      </c>
      <c r="F762" s="27">
        <v>0.95238095238095233</v>
      </c>
      <c r="G762" s="33">
        <v>0.33333333333333331</v>
      </c>
      <c r="H762" s="41" t="s">
        <v>408</v>
      </c>
      <c r="I762" s="1" t="s">
        <v>409</v>
      </c>
      <c r="J762" s="26" t="s">
        <v>39</v>
      </c>
      <c r="K762" s="27">
        <v>0.94339622641509424</v>
      </c>
      <c r="L762" s="33">
        <v>0.33333333333333331</v>
      </c>
      <c r="M762" s="41" t="s">
        <v>410</v>
      </c>
      <c r="N762" s="1" t="s">
        <v>38</v>
      </c>
      <c r="O762" s="26" t="s">
        <v>42</v>
      </c>
      <c r="P762" s="27">
        <v>3.2258064516129035</v>
      </c>
      <c r="Q762" s="33">
        <v>0.33333333333333331</v>
      </c>
      <c r="R762" s="55" t="s">
        <v>37</v>
      </c>
      <c r="S762" s="26" t="s">
        <v>38</v>
      </c>
      <c r="T762" s="26" t="s">
        <v>39</v>
      </c>
      <c r="U762" s="27">
        <v>0.95238095238095233</v>
      </c>
      <c r="V762" s="33">
        <v>0.33333333333333331</v>
      </c>
      <c r="W762" s="26" t="s">
        <v>408</v>
      </c>
      <c r="X762" s="26" t="s">
        <v>409</v>
      </c>
      <c r="Y762" s="26" t="s">
        <v>39</v>
      </c>
      <c r="Z762" s="27">
        <v>0.94339622641509424</v>
      </c>
      <c r="AA762" s="33">
        <v>0.33333333333333331</v>
      </c>
      <c r="AB762" s="26" t="s">
        <v>411</v>
      </c>
      <c r="AC762" s="26" t="s">
        <v>38</v>
      </c>
      <c r="AD762" s="26" t="s">
        <v>42</v>
      </c>
      <c r="AE762" s="27">
        <v>2.5</v>
      </c>
      <c r="AF762" s="36">
        <v>0.33333333333333331</v>
      </c>
      <c r="AG762" s="31">
        <v>0</v>
      </c>
      <c r="AH762" t="s">
        <v>44</v>
      </c>
    </row>
    <row r="763" spans="1:34">
      <c r="A763" s="15" t="s">
        <v>825</v>
      </c>
      <c r="B763" s="8" t="s">
        <v>751</v>
      </c>
      <c r="C763" s="41" t="s">
        <v>37</v>
      </c>
      <c r="D763" s="1" t="s">
        <v>38</v>
      </c>
      <c r="E763" s="26" t="s">
        <v>39</v>
      </c>
      <c r="F763" s="27">
        <v>0.95238095238095233</v>
      </c>
      <c r="G763" s="33">
        <v>0.33333333333333331</v>
      </c>
      <c r="H763" s="41" t="s">
        <v>408</v>
      </c>
      <c r="I763" s="1" t="s">
        <v>409</v>
      </c>
      <c r="J763" s="26" t="s">
        <v>39</v>
      </c>
      <c r="K763" s="27">
        <v>0.94339622641509424</v>
      </c>
      <c r="L763" s="33">
        <v>0.33333333333333331</v>
      </c>
      <c r="M763" s="41" t="s">
        <v>410</v>
      </c>
      <c r="N763" s="1" t="s">
        <v>38</v>
      </c>
      <c r="O763" s="26" t="s">
        <v>42</v>
      </c>
      <c r="P763" s="27">
        <v>3.2258064516129035</v>
      </c>
      <c r="Q763" s="33">
        <v>0.33333333333333331</v>
      </c>
      <c r="R763" s="55" t="s">
        <v>37</v>
      </c>
      <c r="S763" s="26" t="s">
        <v>38</v>
      </c>
      <c r="T763" s="26" t="s">
        <v>39</v>
      </c>
      <c r="U763" s="27">
        <v>0.95238095238095233</v>
      </c>
      <c r="V763" s="33">
        <v>0.33333333333333331</v>
      </c>
      <c r="W763" s="26" t="s">
        <v>408</v>
      </c>
      <c r="X763" s="26" t="s">
        <v>409</v>
      </c>
      <c r="Y763" s="26" t="s">
        <v>39</v>
      </c>
      <c r="Z763" s="27">
        <v>0.94339622641509424</v>
      </c>
      <c r="AA763" s="33">
        <v>0.33333333333333331</v>
      </c>
      <c r="AB763" s="26" t="s">
        <v>411</v>
      </c>
      <c r="AC763" s="26" t="s">
        <v>38</v>
      </c>
      <c r="AD763" s="26" t="s">
        <v>42</v>
      </c>
      <c r="AE763" s="27">
        <v>2.5</v>
      </c>
      <c r="AF763" s="36">
        <v>0.33333333333333331</v>
      </c>
      <c r="AG763" s="31">
        <v>0</v>
      </c>
      <c r="AH763" t="s">
        <v>44</v>
      </c>
    </row>
    <row r="764" spans="1:34">
      <c r="A764" s="15" t="s">
        <v>826</v>
      </c>
      <c r="B764" s="8" t="s">
        <v>751</v>
      </c>
      <c r="C764" s="41" t="s">
        <v>37</v>
      </c>
      <c r="D764" s="1" t="s">
        <v>38</v>
      </c>
      <c r="E764" s="26" t="s">
        <v>39</v>
      </c>
      <c r="F764" s="27">
        <v>0.95238095238095233</v>
      </c>
      <c r="G764" s="33">
        <v>0.33333333333333331</v>
      </c>
      <c r="H764" s="41" t="s">
        <v>408</v>
      </c>
      <c r="I764" s="1" t="s">
        <v>409</v>
      </c>
      <c r="J764" s="26" t="s">
        <v>39</v>
      </c>
      <c r="K764" s="27">
        <v>0.94339622641509424</v>
      </c>
      <c r="L764" s="33">
        <v>0.33333333333333331</v>
      </c>
      <c r="M764" s="41" t="s">
        <v>410</v>
      </c>
      <c r="N764" s="1" t="s">
        <v>38</v>
      </c>
      <c r="O764" s="26" t="s">
        <v>42</v>
      </c>
      <c r="P764" s="27">
        <v>3.2258064516129035</v>
      </c>
      <c r="Q764" s="33">
        <v>0.33333333333333331</v>
      </c>
      <c r="R764" s="55" t="s">
        <v>37</v>
      </c>
      <c r="S764" s="26" t="s">
        <v>38</v>
      </c>
      <c r="T764" s="26" t="s">
        <v>39</v>
      </c>
      <c r="U764" s="27">
        <v>0.95238095238095233</v>
      </c>
      <c r="V764" s="33">
        <v>0.33333333333333331</v>
      </c>
      <c r="W764" s="26" t="s">
        <v>408</v>
      </c>
      <c r="X764" s="26" t="s">
        <v>409</v>
      </c>
      <c r="Y764" s="26" t="s">
        <v>39</v>
      </c>
      <c r="Z764" s="27">
        <v>0.94339622641509424</v>
      </c>
      <c r="AA764" s="33">
        <v>0.33333333333333331</v>
      </c>
      <c r="AB764" s="26" t="s">
        <v>411</v>
      </c>
      <c r="AC764" s="26" t="s">
        <v>38</v>
      </c>
      <c r="AD764" s="26" t="s">
        <v>42</v>
      </c>
      <c r="AE764" s="27">
        <v>2.5</v>
      </c>
      <c r="AF764" s="36">
        <v>0.33333333333333331</v>
      </c>
      <c r="AG764" s="31">
        <v>0</v>
      </c>
      <c r="AH764" t="s">
        <v>44</v>
      </c>
    </row>
    <row r="765" spans="1:34">
      <c r="A765" s="15" t="s">
        <v>827</v>
      </c>
      <c r="B765" s="8" t="s">
        <v>751</v>
      </c>
      <c r="C765" s="41" t="s">
        <v>37</v>
      </c>
      <c r="D765" s="1" t="s">
        <v>38</v>
      </c>
      <c r="E765" s="26" t="s">
        <v>39</v>
      </c>
      <c r="F765" s="27">
        <v>0.95238095238095233</v>
      </c>
      <c r="G765" s="33">
        <v>0.33333333333333331</v>
      </c>
      <c r="H765" s="41" t="s">
        <v>408</v>
      </c>
      <c r="I765" s="1" t="s">
        <v>409</v>
      </c>
      <c r="J765" s="26" t="s">
        <v>39</v>
      </c>
      <c r="K765" s="27">
        <v>0.94339622641509424</v>
      </c>
      <c r="L765" s="33">
        <v>0.33333333333333331</v>
      </c>
      <c r="M765" s="41" t="s">
        <v>410</v>
      </c>
      <c r="N765" s="1" t="s">
        <v>38</v>
      </c>
      <c r="O765" s="26" t="s">
        <v>42</v>
      </c>
      <c r="P765" s="27">
        <v>3.2258064516129035</v>
      </c>
      <c r="Q765" s="33">
        <v>0.33333333333333331</v>
      </c>
      <c r="R765" s="55" t="s">
        <v>37</v>
      </c>
      <c r="S765" s="26" t="s">
        <v>38</v>
      </c>
      <c r="T765" s="26" t="s">
        <v>39</v>
      </c>
      <c r="U765" s="27">
        <v>0.95238095238095233</v>
      </c>
      <c r="V765" s="33">
        <v>0.33333333333333331</v>
      </c>
      <c r="W765" s="26" t="s">
        <v>408</v>
      </c>
      <c r="X765" s="26" t="s">
        <v>409</v>
      </c>
      <c r="Y765" s="26" t="s">
        <v>39</v>
      </c>
      <c r="Z765" s="27">
        <v>0.94339622641509424</v>
      </c>
      <c r="AA765" s="33">
        <v>0.33333333333333331</v>
      </c>
      <c r="AB765" s="26" t="s">
        <v>411</v>
      </c>
      <c r="AC765" s="26" t="s">
        <v>38</v>
      </c>
      <c r="AD765" s="26" t="s">
        <v>42</v>
      </c>
      <c r="AE765" s="27">
        <v>2.5</v>
      </c>
      <c r="AF765" s="36">
        <v>0.33333333333333331</v>
      </c>
      <c r="AG765" s="31">
        <v>0</v>
      </c>
      <c r="AH765" t="s">
        <v>44</v>
      </c>
    </row>
    <row r="766" spans="1:34">
      <c r="A766" s="15" t="s">
        <v>828</v>
      </c>
      <c r="B766" s="8" t="s">
        <v>751</v>
      </c>
      <c r="C766" s="41" t="s">
        <v>37</v>
      </c>
      <c r="D766" s="1" t="s">
        <v>38</v>
      </c>
      <c r="E766" s="26" t="s">
        <v>39</v>
      </c>
      <c r="F766" s="27">
        <v>0.95238095238095233</v>
      </c>
      <c r="G766" s="33">
        <v>0.33333333333333331</v>
      </c>
      <c r="H766" s="41" t="s">
        <v>408</v>
      </c>
      <c r="I766" s="1" t="s">
        <v>409</v>
      </c>
      <c r="J766" s="26" t="s">
        <v>39</v>
      </c>
      <c r="K766" s="27">
        <v>0.94339622641509424</v>
      </c>
      <c r="L766" s="33">
        <v>0.33333333333333331</v>
      </c>
      <c r="M766" s="41" t="s">
        <v>410</v>
      </c>
      <c r="N766" s="1" t="s">
        <v>38</v>
      </c>
      <c r="O766" s="26" t="s">
        <v>42</v>
      </c>
      <c r="P766" s="27">
        <v>3.2258064516129035</v>
      </c>
      <c r="Q766" s="33">
        <v>0.33333333333333331</v>
      </c>
      <c r="R766" s="55" t="s">
        <v>37</v>
      </c>
      <c r="S766" s="26" t="s">
        <v>38</v>
      </c>
      <c r="T766" s="26" t="s">
        <v>39</v>
      </c>
      <c r="U766" s="27">
        <v>0.95238095238095233</v>
      </c>
      <c r="V766" s="33">
        <v>0.33333333333333331</v>
      </c>
      <c r="W766" s="26" t="s">
        <v>408</v>
      </c>
      <c r="X766" s="26" t="s">
        <v>409</v>
      </c>
      <c r="Y766" s="26" t="s">
        <v>39</v>
      </c>
      <c r="Z766" s="27">
        <v>0.94339622641509424</v>
      </c>
      <c r="AA766" s="33">
        <v>0.33333333333333331</v>
      </c>
      <c r="AB766" s="26" t="s">
        <v>411</v>
      </c>
      <c r="AC766" s="26" t="s">
        <v>38</v>
      </c>
      <c r="AD766" s="26" t="s">
        <v>42</v>
      </c>
      <c r="AE766" s="27">
        <v>2.5</v>
      </c>
      <c r="AF766" s="36">
        <v>0.33333333333333331</v>
      </c>
      <c r="AG766" s="31">
        <v>0</v>
      </c>
      <c r="AH766" t="s">
        <v>44</v>
      </c>
    </row>
    <row r="767" spans="1:34">
      <c r="A767" s="15" t="s">
        <v>829</v>
      </c>
      <c r="B767" s="8" t="s">
        <v>751</v>
      </c>
      <c r="C767" s="41" t="s">
        <v>37</v>
      </c>
      <c r="D767" s="1" t="s">
        <v>38</v>
      </c>
      <c r="E767" s="26" t="s">
        <v>39</v>
      </c>
      <c r="F767" s="27">
        <v>0.95238095238095233</v>
      </c>
      <c r="G767" s="33">
        <v>0.33333333333333331</v>
      </c>
      <c r="H767" s="41" t="s">
        <v>408</v>
      </c>
      <c r="I767" s="1" t="s">
        <v>409</v>
      </c>
      <c r="J767" s="26" t="s">
        <v>39</v>
      </c>
      <c r="K767" s="27">
        <v>0.94339622641509424</v>
      </c>
      <c r="L767" s="33">
        <v>0.33333333333333331</v>
      </c>
      <c r="M767" s="41" t="s">
        <v>410</v>
      </c>
      <c r="N767" s="1" t="s">
        <v>38</v>
      </c>
      <c r="O767" s="26" t="s">
        <v>42</v>
      </c>
      <c r="P767" s="27">
        <v>3.2258064516129035</v>
      </c>
      <c r="Q767" s="33">
        <v>0.33333333333333331</v>
      </c>
      <c r="R767" s="55" t="s">
        <v>37</v>
      </c>
      <c r="S767" s="26" t="s">
        <v>38</v>
      </c>
      <c r="T767" s="26" t="s">
        <v>39</v>
      </c>
      <c r="U767" s="27">
        <v>0.95238095238095233</v>
      </c>
      <c r="V767" s="33">
        <v>0.33333333333333331</v>
      </c>
      <c r="W767" s="26" t="s">
        <v>408</v>
      </c>
      <c r="X767" s="26" t="s">
        <v>409</v>
      </c>
      <c r="Y767" s="26" t="s">
        <v>39</v>
      </c>
      <c r="Z767" s="27">
        <v>0.94339622641509424</v>
      </c>
      <c r="AA767" s="33">
        <v>0.33333333333333331</v>
      </c>
      <c r="AB767" s="26" t="s">
        <v>411</v>
      </c>
      <c r="AC767" s="26" t="s">
        <v>38</v>
      </c>
      <c r="AD767" s="26" t="s">
        <v>42</v>
      </c>
      <c r="AE767" s="27">
        <v>2.5</v>
      </c>
      <c r="AF767" s="36">
        <v>0.33333333333333331</v>
      </c>
      <c r="AG767" s="31">
        <v>0</v>
      </c>
      <c r="AH767" t="s">
        <v>44</v>
      </c>
    </row>
    <row r="768" spans="1:34">
      <c r="A768" s="15" t="s">
        <v>830</v>
      </c>
      <c r="B768" s="8" t="s">
        <v>751</v>
      </c>
      <c r="C768" s="41" t="s">
        <v>37</v>
      </c>
      <c r="D768" s="1" t="s">
        <v>38</v>
      </c>
      <c r="E768" s="26" t="s">
        <v>39</v>
      </c>
      <c r="F768" s="27">
        <v>0.95238095238095233</v>
      </c>
      <c r="G768" s="33">
        <v>0.33333333333333331</v>
      </c>
      <c r="H768" s="41" t="s">
        <v>408</v>
      </c>
      <c r="I768" s="1" t="s">
        <v>409</v>
      </c>
      <c r="J768" s="26" t="s">
        <v>39</v>
      </c>
      <c r="K768" s="27">
        <v>0.94339622641509424</v>
      </c>
      <c r="L768" s="33">
        <v>0.33333333333333331</v>
      </c>
      <c r="M768" s="41" t="s">
        <v>410</v>
      </c>
      <c r="N768" s="1" t="s">
        <v>38</v>
      </c>
      <c r="O768" s="26" t="s">
        <v>42</v>
      </c>
      <c r="P768" s="27">
        <v>3.2258064516129035</v>
      </c>
      <c r="Q768" s="33">
        <v>0.33333333333333331</v>
      </c>
      <c r="R768" s="55" t="s">
        <v>37</v>
      </c>
      <c r="S768" s="26" t="s">
        <v>38</v>
      </c>
      <c r="T768" s="26" t="s">
        <v>39</v>
      </c>
      <c r="U768" s="27">
        <v>0.95238095238095233</v>
      </c>
      <c r="V768" s="33">
        <v>0.33333333333333331</v>
      </c>
      <c r="W768" s="26" t="s">
        <v>408</v>
      </c>
      <c r="X768" s="26" t="s">
        <v>409</v>
      </c>
      <c r="Y768" s="26" t="s">
        <v>39</v>
      </c>
      <c r="Z768" s="27">
        <v>0.94339622641509424</v>
      </c>
      <c r="AA768" s="33">
        <v>0.33333333333333331</v>
      </c>
      <c r="AB768" s="26" t="s">
        <v>411</v>
      </c>
      <c r="AC768" s="26" t="s">
        <v>38</v>
      </c>
      <c r="AD768" s="26" t="s">
        <v>42</v>
      </c>
      <c r="AE768" s="27">
        <v>2.5</v>
      </c>
      <c r="AF768" s="36">
        <v>0.33333333333333331</v>
      </c>
      <c r="AG768" s="31">
        <v>0</v>
      </c>
      <c r="AH768" t="s">
        <v>44</v>
      </c>
    </row>
    <row r="769" spans="1:35">
      <c r="A769" s="15" t="s">
        <v>831</v>
      </c>
      <c r="B769" s="8" t="s">
        <v>751</v>
      </c>
      <c r="C769" s="41" t="s">
        <v>37</v>
      </c>
      <c r="D769" s="1" t="s">
        <v>38</v>
      </c>
      <c r="E769" s="26" t="s">
        <v>39</v>
      </c>
      <c r="F769" s="27">
        <v>0.95238095238095233</v>
      </c>
      <c r="G769" s="33">
        <v>0.33333333333333331</v>
      </c>
      <c r="H769" s="41" t="s">
        <v>408</v>
      </c>
      <c r="I769" s="1" t="s">
        <v>409</v>
      </c>
      <c r="J769" s="26" t="s">
        <v>39</v>
      </c>
      <c r="K769" s="27">
        <v>0.94339622641509424</v>
      </c>
      <c r="L769" s="33">
        <v>0.33333333333333331</v>
      </c>
      <c r="M769" s="41" t="s">
        <v>410</v>
      </c>
      <c r="N769" s="1" t="s">
        <v>38</v>
      </c>
      <c r="O769" s="26" t="s">
        <v>42</v>
      </c>
      <c r="P769" s="27">
        <v>3.2258064516129035</v>
      </c>
      <c r="Q769" s="33">
        <v>0.33333333333333331</v>
      </c>
      <c r="R769" s="55" t="s">
        <v>37</v>
      </c>
      <c r="S769" s="26" t="s">
        <v>38</v>
      </c>
      <c r="T769" s="26" t="s">
        <v>39</v>
      </c>
      <c r="U769" s="27">
        <v>0.95238095238095233</v>
      </c>
      <c r="V769" s="33">
        <v>0.33333333333333331</v>
      </c>
      <c r="W769" s="26" t="s">
        <v>408</v>
      </c>
      <c r="X769" s="26" t="s">
        <v>409</v>
      </c>
      <c r="Y769" s="26" t="s">
        <v>39</v>
      </c>
      <c r="Z769" s="27">
        <v>0.94339622641509424</v>
      </c>
      <c r="AA769" s="33">
        <v>0.33333333333333331</v>
      </c>
      <c r="AB769" s="26" t="s">
        <v>411</v>
      </c>
      <c r="AC769" s="26" t="s">
        <v>38</v>
      </c>
      <c r="AD769" s="26" t="s">
        <v>42</v>
      </c>
      <c r="AE769" s="27">
        <v>2.5</v>
      </c>
      <c r="AF769" s="36">
        <v>0.33333333333333331</v>
      </c>
      <c r="AG769" s="31">
        <v>0</v>
      </c>
      <c r="AH769" t="s">
        <v>44</v>
      </c>
    </row>
    <row r="770" spans="1:35">
      <c r="A770" s="15" t="s">
        <v>832</v>
      </c>
      <c r="B770" s="8" t="s">
        <v>751</v>
      </c>
      <c r="C770" s="41" t="s">
        <v>37</v>
      </c>
      <c r="D770" s="1" t="s">
        <v>38</v>
      </c>
      <c r="E770" s="26" t="s">
        <v>39</v>
      </c>
      <c r="F770" s="27">
        <v>0.95238095238095233</v>
      </c>
      <c r="G770" s="33">
        <v>0.33333333333333331</v>
      </c>
      <c r="H770" s="41" t="s">
        <v>408</v>
      </c>
      <c r="I770" s="1" t="s">
        <v>409</v>
      </c>
      <c r="J770" s="26" t="s">
        <v>39</v>
      </c>
      <c r="K770" s="27">
        <v>0.94339622641509424</v>
      </c>
      <c r="L770" s="33">
        <v>0.33333333333333331</v>
      </c>
      <c r="M770" s="41" t="s">
        <v>410</v>
      </c>
      <c r="N770" s="1" t="s">
        <v>38</v>
      </c>
      <c r="O770" s="26" t="s">
        <v>42</v>
      </c>
      <c r="P770" s="27">
        <v>3.2258064516129035</v>
      </c>
      <c r="Q770" s="33">
        <v>0.33333333333333331</v>
      </c>
      <c r="R770" s="55" t="s">
        <v>37</v>
      </c>
      <c r="S770" s="26" t="s">
        <v>38</v>
      </c>
      <c r="T770" s="26" t="s">
        <v>39</v>
      </c>
      <c r="U770" s="27">
        <v>0.95238095238095233</v>
      </c>
      <c r="V770" s="33">
        <v>0.33333333333333331</v>
      </c>
      <c r="W770" s="26" t="s">
        <v>408</v>
      </c>
      <c r="X770" s="26" t="s">
        <v>409</v>
      </c>
      <c r="Y770" s="26" t="s">
        <v>39</v>
      </c>
      <c r="Z770" s="27">
        <v>0.94339622641509424</v>
      </c>
      <c r="AA770" s="33">
        <v>0.33333333333333331</v>
      </c>
      <c r="AB770" s="26" t="s">
        <v>411</v>
      </c>
      <c r="AC770" s="26" t="s">
        <v>38</v>
      </c>
      <c r="AD770" s="26" t="s">
        <v>42</v>
      </c>
      <c r="AE770" s="27">
        <v>2.5</v>
      </c>
      <c r="AF770" s="36">
        <v>0.33333333333333331</v>
      </c>
      <c r="AG770" s="31">
        <v>0</v>
      </c>
      <c r="AH770" t="s">
        <v>44</v>
      </c>
    </row>
    <row r="771" spans="1:35">
      <c r="A771" s="15" t="s">
        <v>833</v>
      </c>
      <c r="B771" s="8" t="s">
        <v>751</v>
      </c>
      <c r="C771" s="41" t="s">
        <v>37</v>
      </c>
      <c r="D771" s="1" t="s">
        <v>38</v>
      </c>
      <c r="E771" s="26" t="s">
        <v>39</v>
      </c>
      <c r="F771" s="27">
        <v>0.95238095238095233</v>
      </c>
      <c r="G771" s="33">
        <v>0.33333333333333331</v>
      </c>
      <c r="H771" s="41" t="s">
        <v>408</v>
      </c>
      <c r="I771" s="1" t="s">
        <v>409</v>
      </c>
      <c r="J771" s="26" t="s">
        <v>39</v>
      </c>
      <c r="K771" s="27">
        <v>0.94339622641509424</v>
      </c>
      <c r="L771" s="33">
        <v>0.33333333333333331</v>
      </c>
      <c r="M771" s="41" t="s">
        <v>410</v>
      </c>
      <c r="N771" s="1" t="s">
        <v>38</v>
      </c>
      <c r="O771" s="26" t="s">
        <v>42</v>
      </c>
      <c r="P771" s="27">
        <v>3.2258064516129035</v>
      </c>
      <c r="Q771" s="33">
        <v>0.33333333333333331</v>
      </c>
      <c r="R771" s="55" t="s">
        <v>37</v>
      </c>
      <c r="S771" s="26" t="s">
        <v>38</v>
      </c>
      <c r="T771" s="26" t="s">
        <v>39</v>
      </c>
      <c r="U771" s="27">
        <v>0.95238095238095233</v>
      </c>
      <c r="V771" s="33">
        <v>0.33333333333333331</v>
      </c>
      <c r="W771" s="26" t="s">
        <v>408</v>
      </c>
      <c r="X771" s="26" t="s">
        <v>409</v>
      </c>
      <c r="Y771" s="26" t="s">
        <v>39</v>
      </c>
      <c r="Z771" s="27">
        <v>0.94339622641509424</v>
      </c>
      <c r="AA771" s="33">
        <v>0.33333333333333331</v>
      </c>
      <c r="AB771" s="26" t="s">
        <v>411</v>
      </c>
      <c r="AC771" s="26" t="s">
        <v>38</v>
      </c>
      <c r="AD771" s="26" t="s">
        <v>42</v>
      </c>
      <c r="AE771" s="27">
        <v>2.5</v>
      </c>
      <c r="AF771" s="36">
        <v>0.33333333333333331</v>
      </c>
      <c r="AG771" s="31">
        <v>0</v>
      </c>
      <c r="AH771" t="s">
        <v>44</v>
      </c>
    </row>
    <row r="772" spans="1:35">
      <c r="A772" s="16" t="s">
        <v>834</v>
      </c>
      <c r="B772" s="8" t="s">
        <v>751</v>
      </c>
      <c r="C772" s="41" t="s">
        <v>37</v>
      </c>
      <c r="D772" s="1" t="s">
        <v>38</v>
      </c>
      <c r="E772" s="26" t="s">
        <v>39</v>
      </c>
      <c r="F772" s="27">
        <v>0.95238095238095233</v>
      </c>
      <c r="G772" s="33">
        <v>0.33333333333333331</v>
      </c>
      <c r="H772" s="41" t="s">
        <v>408</v>
      </c>
      <c r="I772" s="1" t="s">
        <v>409</v>
      </c>
      <c r="J772" s="26" t="s">
        <v>39</v>
      </c>
      <c r="K772" s="27">
        <v>0.94339622641509424</v>
      </c>
      <c r="L772" s="33">
        <v>0.33333333333333331</v>
      </c>
      <c r="M772" s="41" t="s">
        <v>410</v>
      </c>
      <c r="N772" s="1" t="s">
        <v>38</v>
      </c>
      <c r="O772" s="26" t="s">
        <v>42</v>
      </c>
      <c r="P772" s="27">
        <v>3.2258064516129035</v>
      </c>
      <c r="Q772" s="33">
        <v>0.33333333333333331</v>
      </c>
      <c r="R772" s="55" t="s">
        <v>37</v>
      </c>
      <c r="S772" s="26" t="s">
        <v>38</v>
      </c>
      <c r="T772" s="26" t="s">
        <v>39</v>
      </c>
      <c r="U772" s="27">
        <v>0.95238095238095233</v>
      </c>
      <c r="V772" s="33">
        <v>0.33333333333333331</v>
      </c>
      <c r="W772" s="26" t="s">
        <v>408</v>
      </c>
      <c r="X772" s="26" t="s">
        <v>409</v>
      </c>
      <c r="Y772" s="26" t="s">
        <v>39</v>
      </c>
      <c r="Z772" s="27">
        <v>0.94339622641509424</v>
      </c>
      <c r="AA772" s="33">
        <v>0.33333333333333331</v>
      </c>
      <c r="AB772" s="26" t="s">
        <v>411</v>
      </c>
      <c r="AC772" s="26" t="s">
        <v>38</v>
      </c>
      <c r="AD772" s="26" t="s">
        <v>42</v>
      </c>
      <c r="AE772" s="27">
        <v>2.5</v>
      </c>
      <c r="AF772" s="36">
        <v>0.33333333333333331</v>
      </c>
      <c r="AG772" s="31">
        <v>0</v>
      </c>
      <c r="AH772" t="s">
        <v>44</v>
      </c>
    </row>
    <row r="773" spans="1:35" s="6" customFormat="1">
      <c r="A773" s="15" t="s">
        <v>835</v>
      </c>
      <c r="B773" s="9" t="s">
        <v>836</v>
      </c>
      <c r="C773" s="45" t="s">
        <v>37</v>
      </c>
      <c r="D773" s="46" t="s">
        <v>38</v>
      </c>
      <c r="E773" s="47" t="s">
        <v>39</v>
      </c>
      <c r="F773" s="48">
        <v>0.94339622641509424</v>
      </c>
      <c r="G773" s="49">
        <v>0.5</v>
      </c>
      <c r="H773" s="47" t="s">
        <v>40</v>
      </c>
      <c r="I773" s="47" t="s">
        <v>41</v>
      </c>
      <c r="J773" s="47" t="s">
        <v>42</v>
      </c>
      <c r="K773" s="48">
        <v>2.3255813953488373</v>
      </c>
      <c r="L773" s="48">
        <v>0.5</v>
      </c>
      <c r="M773" s="72"/>
      <c r="N773" s="47"/>
      <c r="O773" s="47"/>
      <c r="P773" s="48"/>
      <c r="Q773" s="50"/>
      <c r="R773" s="47" t="s">
        <v>43</v>
      </c>
      <c r="S773" s="47" t="s">
        <v>38</v>
      </c>
      <c r="T773" s="47" t="s">
        <v>39</v>
      </c>
      <c r="U773" s="48">
        <v>0.84745762711864414</v>
      </c>
      <c r="V773" s="49">
        <v>1</v>
      </c>
      <c r="W773" s="47"/>
      <c r="X773" s="47"/>
      <c r="Y773" s="47"/>
      <c r="Z773" s="48"/>
      <c r="AA773" s="47"/>
      <c r="AB773" s="72"/>
      <c r="AC773" s="47"/>
      <c r="AD773" s="47"/>
      <c r="AE773" s="47"/>
      <c r="AF773" s="67"/>
      <c r="AG773" s="48">
        <v>0</v>
      </c>
      <c r="AH773" s="46" t="s">
        <v>44</v>
      </c>
      <c r="AI773" s="1"/>
    </row>
    <row r="774" spans="1:35">
      <c r="A774" s="15" t="s">
        <v>837</v>
      </c>
      <c r="B774" s="8" t="s">
        <v>836</v>
      </c>
      <c r="C774" s="41" t="s">
        <v>37</v>
      </c>
      <c r="D774" s="1" t="s">
        <v>38</v>
      </c>
      <c r="E774" s="26" t="s">
        <v>39</v>
      </c>
      <c r="F774" s="27">
        <v>0.94339622641509424</v>
      </c>
      <c r="G774" s="33">
        <v>0.5</v>
      </c>
      <c r="H774" s="26" t="s">
        <v>40</v>
      </c>
      <c r="I774" s="26" t="s">
        <v>41</v>
      </c>
      <c r="J774" s="26" t="s">
        <v>42</v>
      </c>
      <c r="K774" s="27">
        <v>2.3255813953488373</v>
      </c>
      <c r="L774" s="27">
        <v>0.5</v>
      </c>
      <c r="M774" s="70"/>
      <c r="N774" s="26"/>
      <c r="O774" s="26"/>
      <c r="P774" s="27"/>
      <c r="Q774" s="36"/>
      <c r="R774" s="26" t="s">
        <v>43</v>
      </c>
      <c r="S774" s="26" t="s">
        <v>38</v>
      </c>
      <c r="T774" s="26" t="s">
        <v>39</v>
      </c>
      <c r="U774" s="27">
        <v>0.84745762711864414</v>
      </c>
      <c r="V774" s="33">
        <v>1</v>
      </c>
      <c r="AG774" s="31">
        <v>0</v>
      </c>
      <c r="AH774" s="1" t="s">
        <v>44</v>
      </c>
    </row>
    <row r="775" spans="1:35">
      <c r="A775" s="15" t="s">
        <v>838</v>
      </c>
      <c r="B775" s="8" t="s">
        <v>836</v>
      </c>
      <c r="C775" s="41" t="s">
        <v>37</v>
      </c>
      <c r="D775" s="1" t="s">
        <v>38</v>
      </c>
      <c r="E775" s="26" t="s">
        <v>39</v>
      </c>
      <c r="F775" s="27">
        <v>0.94339622641509424</v>
      </c>
      <c r="G775" s="33">
        <v>0.5</v>
      </c>
      <c r="H775" s="26" t="s">
        <v>40</v>
      </c>
      <c r="I775" s="26" t="s">
        <v>41</v>
      </c>
      <c r="J775" s="26" t="s">
        <v>42</v>
      </c>
      <c r="K775" s="27">
        <v>2.3255813953488373</v>
      </c>
      <c r="L775" s="27">
        <v>0.5</v>
      </c>
      <c r="M775" s="70"/>
      <c r="N775" s="26"/>
      <c r="O775" s="26"/>
      <c r="P775" s="27"/>
      <c r="Q775" s="36"/>
      <c r="R775" s="26" t="s">
        <v>43</v>
      </c>
      <c r="S775" s="26" t="s">
        <v>38</v>
      </c>
      <c r="T775" s="26" t="s">
        <v>39</v>
      </c>
      <c r="U775" s="27">
        <v>0.84745762711864414</v>
      </c>
      <c r="V775" s="33">
        <v>1</v>
      </c>
      <c r="AG775" s="31">
        <v>0</v>
      </c>
      <c r="AH775" s="1" t="s">
        <v>44</v>
      </c>
    </row>
    <row r="776" spans="1:35">
      <c r="A776" s="15" t="s">
        <v>839</v>
      </c>
      <c r="B776" s="8" t="s">
        <v>836</v>
      </c>
      <c r="C776" s="41" t="s">
        <v>37</v>
      </c>
      <c r="D776" s="1" t="s">
        <v>38</v>
      </c>
      <c r="E776" s="26" t="s">
        <v>39</v>
      </c>
      <c r="F776" s="27">
        <v>0.94339622641509424</v>
      </c>
      <c r="G776" s="33">
        <v>0.5</v>
      </c>
      <c r="H776" s="26" t="s">
        <v>40</v>
      </c>
      <c r="I776" s="26" t="s">
        <v>41</v>
      </c>
      <c r="J776" s="26" t="s">
        <v>42</v>
      </c>
      <c r="K776" s="27">
        <v>2.3255813953488373</v>
      </c>
      <c r="L776" s="27">
        <v>0.5</v>
      </c>
      <c r="M776" s="70"/>
      <c r="N776" s="26"/>
      <c r="O776" s="26"/>
      <c r="P776" s="27"/>
      <c r="Q776" s="36"/>
      <c r="R776" s="26" t="s">
        <v>43</v>
      </c>
      <c r="S776" s="26" t="s">
        <v>38</v>
      </c>
      <c r="T776" s="26" t="s">
        <v>39</v>
      </c>
      <c r="U776" s="27">
        <v>0.84745762711864414</v>
      </c>
      <c r="V776" s="33">
        <v>1</v>
      </c>
      <c r="AG776" s="31">
        <v>0</v>
      </c>
      <c r="AH776" s="1" t="s">
        <v>44</v>
      </c>
    </row>
    <row r="777" spans="1:35">
      <c r="A777" s="15" t="s">
        <v>840</v>
      </c>
      <c r="B777" s="8" t="s">
        <v>836</v>
      </c>
      <c r="C777" s="41" t="s">
        <v>37</v>
      </c>
      <c r="D777" s="1" t="s">
        <v>38</v>
      </c>
      <c r="E777" s="26" t="s">
        <v>39</v>
      </c>
      <c r="F777" s="27">
        <v>0.94339622641509424</v>
      </c>
      <c r="G777" s="33">
        <v>0.5</v>
      </c>
      <c r="H777" s="26" t="s">
        <v>40</v>
      </c>
      <c r="I777" s="26" t="s">
        <v>41</v>
      </c>
      <c r="J777" s="26" t="s">
        <v>42</v>
      </c>
      <c r="K777" s="27">
        <v>2.3255813953488373</v>
      </c>
      <c r="L777" s="27">
        <v>0.5</v>
      </c>
      <c r="M777" s="70"/>
      <c r="N777" s="26"/>
      <c r="O777" s="26"/>
      <c r="P777" s="27"/>
      <c r="Q777" s="36"/>
      <c r="R777" s="26" t="s">
        <v>43</v>
      </c>
      <c r="S777" s="26" t="s">
        <v>38</v>
      </c>
      <c r="T777" s="26" t="s">
        <v>39</v>
      </c>
      <c r="U777" s="27">
        <v>0.84745762711864414</v>
      </c>
      <c r="V777" s="33">
        <v>1</v>
      </c>
      <c r="AG777" s="31">
        <v>0</v>
      </c>
      <c r="AH777" s="1" t="s">
        <v>44</v>
      </c>
    </row>
    <row r="778" spans="1:35">
      <c r="A778" s="15" t="s">
        <v>841</v>
      </c>
      <c r="B778" s="8" t="s">
        <v>836</v>
      </c>
      <c r="C778" s="41" t="s">
        <v>37</v>
      </c>
      <c r="D778" s="1" t="s">
        <v>38</v>
      </c>
      <c r="E778" s="26" t="s">
        <v>39</v>
      </c>
      <c r="F778" s="27">
        <v>0.94339622641509424</v>
      </c>
      <c r="G778" s="33">
        <v>0.5</v>
      </c>
      <c r="H778" s="26" t="s">
        <v>40</v>
      </c>
      <c r="I778" s="26" t="s">
        <v>41</v>
      </c>
      <c r="J778" s="26" t="s">
        <v>42</v>
      </c>
      <c r="K778" s="27">
        <v>2.3255813953488373</v>
      </c>
      <c r="L778" s="27">
        <v>0.5</v>
      </c>
      <c r="M778" s="70"/>
      <c r="N778" s="26"/>
      <c r="O778" s="26"/>
      <c r="P778" s="27"/>
      <c r="Q778" s="36"/>
      <c r="R778" s="26" t="s">
        <v>43</v>
      </c>
      <c r="S778" s="26" t="s">
        <v>38</v>
      </c>
      <c r="T778" s="26" t="s">
        <v>39</v>
      </c>
      <c r="U778" s="27">
        <v>0.84745762711864414</v>
      </c>
      <c r="V778" s="33">
        <v>1</v>
      </c>
      <c r="AG778" s="31">
        <v>0</v>
      </c>
      <c r="AH778" s="1" t="s">
        <v>44</v>
      </c>
    </row>
    <row r="779" spans="1:35">
      <c r="A779" s="15" t="s">
        <v>842</v>
      </c>
      <c r="B779" s="8" t="s">
        <v>836</v>
      </c>
      <c r="C779" s="41" t="s">
        <v>37</v>
      </c>
      <c r="D779" s="1" t="s">
        <v>38</v>
      </c>
      <c r="E779" s="26" t="s">
        <v>39</v>
      </c>
      <c r="F779" s="27">
        <v>0.94339622641509424</v>
      </c>
      <c r="G779" s="33">
        <v>0.5</v>
      </c>
      <c r="H779" s="26" t="s">
        <v>40</v>
      </c>
      <c r="I779" s="26" t="s">
        <v>41</v>
      </c>
      <c r="J779" s="26" t="s">
        <v>42</v>
      </c>
      <c r="K779" s="27">
        <v>2.3255813953488373</v>
      </c>
      <c r="L779" s="27">
        <v>0.5</v>
      </c>
      <c r="M779" s="70"/>
      <c r="N779" s="26"/>
      <c r="O779" s="26"/>
      <c r="P779" s="27"/>
      <c r="Q779" s="36"/>
      <c r="R779" s="26" t="s">
        <v>43</v>
      </c>
      <c r="S779" s="26" t="s">
        <v>38</v>
      </c>
      <c r="T779" s="26" t="s">
        <v>39</v>
      </c>
      <c r="U779" s="27">
        <v>0.84745762711864414</v>
      </c>
      <c r="V779" s="33">
        <v>1</v>
      </c>
      <c r="AG779" s="31">
        <v>0</v>
      </c>
      <c r="AH779" s="1" t="s">
        <v>44</v>
      </c>
    </row>
    <row r="780" spans="1:35">
      <c r="A780" s="15" t="s">
        <v>843</v>
      </c>
      <c r="B780" s="8" t="s">
        <v>836</v>
      </c>
      <c r="C780" s="41" t="s">
        <v>37</v>
      </c>
      <c r="D780" s="1" t="s">
        <v>38</v>
      </c>
      <c r="E780" s="26" t="s">
        <v>39</v>
      </c>
      <c r="F780" s="27">
        <v>0.94339622641509424</v>
      </c>
      <c r="G780" s="33">
        <v>0.5</v>
      </c>
      <c r="H780" s="26" t="s">
        <v>40</v>
      </c>
      <c r="I780" s="26" t="s">
        <v>41</v>
      </c>
      <c r="J780" s="26" t="s">
        <v>42</v>
      </c>
      <c r="K780" s="27">
        <v>2.3255813953488373</v>
      </c>
      <c r="L780" s="27">
        <v>0.5</v>
      </c>
      <c r="M780" s="70"/>
      <c r="N780" s="26"/>
      <c r="O780" s="26"/>
      <c r="P780" s="27"/>
      <c r="Q780" s="36"/>
      <c r="R780" s="26" t="s">
        <v>43</v>
      </c>
      <c r="S780" s="26" t="s">
        <v>38</v>
      </c>
      <c r="T780" s="26" t="s">
        <v>39</v>
      </c>
      <c r="U780" s="27">
        <v>0.84745762711864414</v>
      </c>
      <c r="V780" s="33">
        <v>1</v>
      </c>
      <c r="AG780" s="31">
        <v>0</v>
      </c>
      <c r="AH780" s="1" t="s">
        <v>44</v>
      </c>
    </row>
    <row r="781" spans="1:35">
      <c r="A781" s="15" t="s">
        <v>844</v>
      </c>
      <c r="B781" s="8" t="s">
        <v>836</v>
      </c>
      <c r="C781" s="41" t="s">
        <v>37</v>
      </c>
      <c r="D781" s="1" t="s">
        <v>38</v>
      </c>
      <c r="E781" s="26" t="s">
        <v>39</v>
      </c>
      <c r="F781" s="27">
        <v>0.94339622641509424</v>
      </c>
      <c r="G781" s="33">
        <v>0.5</v>
      </c>
      <c r="H781" s="26" t="s">
        <v>40</v>
      </c>
      <c r="I781" s="26" t="s">
        <v>41</v>
      </c>
      <c r="J781" s="26" t="s">
        <v>42</v>
      </c>
      <c r="K781" s="27">
        <v>2.3255813953488373</v>
      </c>
      <c r="L781" s="27">
        <v>0.5</v>
      </c>
      <c r="M781" s="70"/>
      <c r="N781" s="26"/>
      <c r="O781" s="26"/>
      <c r="P781" s="27"/>
      <c r="Q781" s="36"/>
      <c r="R781" s="26" t="s">
        <v>43</v>
      </c>
      <c r="S781" s="26" t="s">
        <v>38</v>
      </c>
      <c r="T781" s="26" t="s">
        <v>39</v>
      </c>
      <c r="U781" s="27">
        <v>0.84745762711864414</v>
      </c>
      <c r="V781" s="33">
        <v>1</v>
      </c>
      <c r="AG781" s="31">
        <v>0</v>
      </c>
      <c r="AH781" s="1" t="s">
        <v>44</v>
      </c>
    </row>
    <row r="782" spans="1:35">
      <c r="A782" s="15" t="s">
        <v>845</v>
      </c>
      <c r="B782" s="8" t="s">
        <v>836</v>
      </c>
      <c r="C782" s="41" t="s">
        <v>37</v>
      </c>
      <c r="D782" s="1" t="s">
        <v>38</v>
      </c>
      <c r="E782" s="26" t="s">
        <v>39</v>
      </c>
      <c r="F782" s="27">
        <v>0.94339622641509424</v>
      </c>
      <c r="G782" s="33">
        <v>0.5</v>
      </c>
      <c r="H782" s="26" t="s">
        <v>40</v>
      </c>
      <c r="I782" s="26" t="s">
        <v>41</v>
      </c>
      <c r="J782" s="26" t="s">
        <v>42</v>
      </c>
      <c r="K782" s="27">
        <v>2.3255813953488373</v>
      </c>
      <c r="L782" s="27">
        <v>0.5</v>
      </c>
      <c r="M782" s="70"/>
      <c r="N782" s="26"/>
      <c r="O782" s="26"/>
      <c r="P782" s="27"/>
      <c r="Q782" s="36"/>
      <c r="R782" s="26" t="s">
        <v>43</v>
      </c>
      <c r="S782" s="26" t="s">
        <v>38</v>
      </c>
      <c r="T782" s="26" t="s">
        <v>39</v>
      </c>
      <c r="U782" s="27">
        <v>0.84745762711864414</v>
      </c>
      <c r="V782" s="33">
        <v>1</v>
      </c>
      <c r="AG782" s="31">
        <v>0</v>
      </c>
      <c r="AH782" s="1" t="s">
        <v>44</v>
      </c>
    </row>
    <row r="783" spans="1:35">
      <c r="A783" s="15" t="s">
        <v>846</v>
      </c>
      <c r="B783" s="8" t="s">
        <v>836</v>
      </c>
      <c r="C783" s="41" t="s">
        <v>37</v>
      </c>
      <c r="D783" s="1" t="s">
        <v>38</v>
      </c>
      <c r="E783" s="26" t="s">
        <v>39</v>
      </c>
      <c r="F783" s="27">
        <v>0.94339622641509424</v>
      </c>
      <c r="G783" s="33">
        <v>0.5</v>
      </c>
      <c r="H783" s="26" t="s">
        <v>40</v>
      </c>
      <c r="I783" s="26" t="s">
        <v>41</v>
      </c>
      <c r="J783" s="26" t="s">
        <v>42</v>
      </c>
      <c r="K783" s="27">
        <v>2.3255813953488373</v>
      </c>
      <c r="L783" s="27">
        <v>0.5</v>
      </c>
      <c r="M783" s="70"/>
      <c r="N783" s="26"/>
      <c r="O783" s="26"/>
      <c r="P783" s="27"/>
      <c r="Q783" s="36"/>
      <c r="R783" s="26" t="s">
        <v>43</v>
      </c>
      <c r="S783" s="26" t="s">
        <v>38</v>
      </c>
      <c r="T783" s="26" t="s">
        <v>39</v>
      </c>
      <c r="U783" s="27">
        <v>0.84745762711864414</v>
      </c>
      <c r="V783" s="33">
        <v>1</v>
      </c>
      <c r="AG783" s="31">
        <v>0</v>
      </c>
      <c r="AH783" s="1" t="s">
        <v>44</v>
      </c>
    </row>
    <row r="784" spans="1:35">
      <c r="A784" s="15" t="s">
        <v>847</v>
      </c>
      <c r="B784" s="8" t="s">
        <v>836</v>
      </c>
      <c r="C784" s="41" t="s">
        <v>37</v>
      </c>
      <c r="D784" s="1" t="s">
        <v>38</v>
      </c>
      <c r="E784" s="26" t="s">
        <v>39</v>
      </c>
      <c r="F784" s="27">
        <v>0.94339622641509424</v>
      </c>
      <c r="G784" s="33">
        <v>0.5</v>
      </c>
      <c r="H784" s="26" t="s">
        <v>40</v>
      </c>
      <c r="I784" s="26" t="s">
        <v>41</v>
      </c>
      <c r="J784" s="26" t="s">
        <v>42</v>
      </c>
      <c r="K784" s="27">
        <v>2.3255813953488373</v>
      </c>
      <c r="L784" s="27">
        <v>0.5</v>
      </c>
      <c r="M784" s="70"/>
      <c r="N784" s="26"/>
      <c r="O784" s="26"/>
      <c r="P784" s="27"/>
      <c r="Q784" s="36"/>
      <c r="R784" s="26" t="s">
        <v>43</v>
      </c>
      <c r="S784" s="26" t="s">
        <v>38</v>
      </c>
      <c r="T784" s="26" t="s">
        <v>39</v>
      </c>
      <c r="U784" s="27">
        <v>0.84745762711864414</v>
      </c>
      <c r="V784" s="33">
        <v>1</v>
      </c>
      <c r="AG784" s="31">
        <v>0</v>
      </c>
      <c r="AH784" s="1" t="s">
        <v>44</v>
      </c>
    </row>
    <row r="785" spans="1:34">
      <c r="A785" s="15" t="s">
        <v>848</v>
      </c>
      <c r="B785" s="8" t="s">
        <v>836</v>
      </c>
      <c r="C785" s="41" t="s">
        <v>37</v>
      </c>
      <c r="D785" s="1" t="s">
        <v>38</v>
      </c>
      <c r="E785" s="26" t="s">
        <v>39</v>
      </c>
      <c r="F785" s="27">
        <v>0.94339622641509424</v>
      </c>
      <c r="G785" s="33">
        <v>0.5</v>
      </c>
      <c r="H785" s="26" t="s">
        <v>40</v>
      </c>
      <c r="I785" s="26" t="s">
        <v>41</v>
      </c>
      <c r="J785" s="26" t="s">
        <v>42</v>
      </c>
      <c r="K785" s="27">
        <v>2.3255813953488373</v>
      </c>
      <c r="L785" s="27">
        <v>0.5</v>
      </c>
      <c r="M785" s="70"/>
      <c r="N785" s="26"/>
      <c r="O785" s="26"/>
      <c r="P785" s="27"/>
      <c r="Q785" s="36"/>
      <c r="R785" s="26" t="s">
        <v>43</v>
      </c>
      <c r="S785" s="26" t="s">
        <v>38</v>
      </c>
      <c r="T785" s="26" t="s">
        <v>39</v>
      </c>
      <c r="U785" s="27">
        <v>0.84745762711864414</v>
      </c>
      <c r="V785" s="33">
        <v>1</v>
      </c>
      <c r="AG785" s="31">
        <v>0</v>
      </c>
      <c r="AH785" s="1" t="s">
        <v>44</v>
      </c>
    </row>
    <row r="786" spans="1:34">
      <c r="A786" s="15" t="s">
        <v>849</v>
      </c>
      <c r="B786" s="8" t="s">
        <v>836</v>
      </c>
      <c r="C786" s="41" t="s">
        <v>37</v>
      </c>
      <c r="D786" s="1" t="s">
        <v>38</v>
      </c>
      <c r="E786" s="26" t="s">
        <v>39</v>
      </c>
      <c r="F786" s="27">
        <v>0.94339622641509424</v>
      </c>
      <c r="G786" s="33">
        <v>0.5</v>
      </c>
      <c r="H786" s="26" t="s">
        <v>40</v>
      </c>
      <c r="I786" s="26" t="s">
        <v>41</v>
      </c>
      <c r="J786" s="26" t="s">
        <v>42</v>
      </c>
      <c r="K786" s="27">
        <v>2.3255813953488373</v>
      </c>
      <c r="L786" s="27">
        <v>0.5</v>
      </c>
      <c r="M786" s="70"/>
      <c r="N786" s="26"/>
      <c r="O786" s="26"/>
      <c r="P786" s="27"/>
      <c r="Q786" s="36"/>
      <c r="R786" s="26" t="s">
        <v>43</v>
      </c>
      <c r="S786" s="26" t="s">
        <v>38</v>
      </c>
      <c r="T786" s="26" t="s">
        <v>39</v>
      </c>
      <c r="U786" s="27">
        <v>0.84745762711864414</v>
      </c>
      <c r="V786" s="33">
        <v>1</v>
      </c>
      <c r="AG786" s="31">
        <v>0</v>
      </c>
      <c r="AH786" s="1" t="s">
        <v>44</v>
      </c>
    </row>
    <row r="787" spans="1:34">
      <c r="A787" s="15" t="s">
        <v>850</v>
      </c>
      <c r="B787" s="8" t="s">
        <v>836</v>
      </c>
      <c r="C787" s="41" t="s">
        <v>37</v>
      </c>
      <c r="D787" s="1" t="s">
        <v>38</v>
      </c>
      <c r="E787" s="26" t="s">
        <v>39</v>
      </c>
      <c r="F787" s="27">
        <v>0.94339622641509424</v>
      </c>
      <c r="G787" s="33">
        <v>0.5</v>
      </c>
      <c r="H787" s="26" t="s">
        <v>40</v>
      </c>
      <c r="I787" s="26" t="s">
        <v>41</v>
      </c>
      <c r="J787" s="26" t="s">
        <v>42</v>
      </c>
      <c r="K787" s="27">
        <v>2.3255813953488373</v>
      </c>
      <c r="L787" s="27">
        <v>0.5</v>
      </c>
      <c r="M787" s="70"/>
      <c r="N787" s="26"/>
      <c r="O787" s="26"/>
      <c r="P787" s="27"/>
      <c r="Q787" s="36"/>
      <c r="R787" s="26" t="s">
        <v>43</v>
      </c>
      <c r="S787" s="26" t="s">
        <v>38</v>
      </c>
      <c r="T787" s="26" t="s">
        <v>39</v>
      </c>
      <c r="U787" s="27">
        <v>0.84745762711864414</v>
      </c>
      <c r="V787" s="33">
        <v>1</v>
      </c>
      <c r="AG787" s="31">
        <v>0</v>
      </c>
      <c r="AH787" s="1" t="s">
        <v>44</v>
      </c>
    </row>
    <row r="788" spans="1:34">
      <c r="A788" s="15" t="s">
        <v>851</v>
      </c>
      <c r="B788" s="8" t="s">
        <v>836</v>
      </c>
      <c r="C788" s="41" t="s">
        <v>37</v>
      </c>
      <c r="D788" s="1" t="s">
        <v>38</v>
      </c>
      <c r="E788" s="26" t="s">
        <v>39</v>
      </c>
      <c r="F788" s="27">
        <v>0.94339622641509424</v>
      </c>
      <c r="G788" s="33">
        <v>0.5</v>
      </c>
      <c r="H788" s="26" t="s">
        <v>40</v>
      </c>
      <c r="I788" s="26" t="s">
        <v>41</v>
      </c>
      <c r="J788" s="26" t="s">
        <v>42</v>
      </c>
      <c r="K788" s="27">
        <v>2.3255813953488373</v>
      </c>
      <c r="L788" s="27">
        <v>0.5</v>
      </c>
      <c r="M788" s="70"/>
      <c r="N788" s="26"/>
      <c r="O788" s="26"/>
      <c r="P788" s="27"/>
      <c r="Q788" s="36"/>
      <c r="R788" s="26" t="s">
        <v>43</v>
      </c>
      <c r="S788" s="26" t="s">
        <v>38</v>
      </c>
      <c r="T788" s="26" t="s">
        <v>39</v>
      </c>
      <c r="U788" s="27">
        <v>0.84745762711864414</v>
      </c>
      <c r="V788" s="33">
        <v>1</v>
      </c>
      <c r="AG788" s="31">
        <v>0</v>
      </c>
      <c r="AH788" s="1" t="s">
        <v>44</v>
      </c>
    </row>
    <row r="789" spans="1:34">
      <c r="A789" s="15" t="s">
        <v>852</v>
      </c>
      <c r="B789" s="8" t="s">
        <v>836</v>
      </c>
      <c r="C789" s="41" t="s">
        <v>37</v>
      </c>
      <c r="D789" s="1" t="s">
        <v>38</v>
      </c>
      <c r="E789" s="26" t="s">
        <v>39</v>
      </c>
      <c r="F789" s="27">
        <v>0.94339622641509424</v>
      </c>
      <c r="G789" s="33">
        <v>0.5</v>
      </c>
      <c r="H789" s="26" t="s">
        <v>40</v>
      </c>
      <c r="I789" s="26" t="s">
        <v>41</v>
      </c>
      <c r="J789" s="26" t="s">
        <v>42</v>
      </c>
      <c r="K789" s="27">
        <v>2.3255813953488373</v>
      </c>
      <c r="L789" s="27">
        <v>0.5</v>
      </c>
      <c r="M789" s="70"/>
      <c r="N789" s="26"/>
      <c r="O789" s="26"/>
      <c r="P789" s="27"/>
      <c r="Q789" s="36"/>
      <c r="R789" s="26" t="s">
        <v>43</v>
      </c>
      <c r="S789" s="26" t="s">
        <v>38</v>
      </c>
      <c r="T789" s="26" t="s">
        <v>39</v>
      </c>
      <c r="U789" s="27">
        <v>0.84745762711864414</v>
      </c>
      <c r="V789" s="33">
        <v>1</v>
      </c>
      <c r="AG789" s="31">
        <v>0</v>
      </c>
      <c r="AH789" s="1" t="s">
        <v>44</v>
      </c>
    </row>
    <row r="790" spans="1:34">
      <c r="A790" s="15" t="s">
        <v>853</v>
      </c>
      <c r="B790" s="8" t="s">
        <v>836</v>
      </c>
      <c r="C790" s="41" t="s">
        <v>37</v>
      </c>
      <c r="D790" s="1" t="s">
        <v>38</v>
      </c>
      <c r="E790" s="26" t="s">
        <v>39</v>
      </c>
      <c r="F790" s="27">
        <v>0.94339622641509424</v>
      </c>
      <c r="G790" s="33">
        <v>0.5</v>
      </c>
      <c r="H790" s="26" t="s">
        <v>40</v>
      </c>
      <c r="I790" s="26" t="s">
        <v>41</v>
      </c>
      <c r="J790" s="26" t="s">
        <v>42</v>
      </c>
      <c r="K790" s="27">
        <v>2.3255813953488373</v>
      </c>
      <c r="L790" s="27">
        <v>0.5</v>
      </c>
      <c r="M790" s="70"/>
      <c r="N790" s="26"/>
      <c r="O790" s="26"/>
      <c r="P790" s="27"/>
      <c r="Q790" s="36"/>
      <c r="R790" s="26" t="s">
        <v>43</v>
      </c>
      <c r="S790" s="26" t="s">
        <v>38</v>
      </c>
      <c r="T790" s="26" t="s">
        <v>39</v>
      </c>
      <c r="U790" s="27">
        <v>0.84745762711864414</v>
      </c>
      <c r="V790" s="33">
        <v>1</v>
      </c>
      <c r="AG790" s="31">
        <v>0</v>
      </c>
      <c r="AH790" s="1" t="s">
        <v>44</v>
      </c>
    </row>
    <row r="791" spans="1:34">
      <c r="A791" s="15" t="s">
        <v>854</v>
      </c>
      <c r="B791" s="8" t="s">
        <v>836</v>
      </c>
      <c r="C791" s="41" t="s">
        <v>37</v>
      </c>
      <c r="D791" s="1" t="s">
        <v>38</v>
      </c>
      <c r="E791" s="26" t="s">
        <v>39</v>
      </c>
      <c r="F791" s="27">
        <v>0.94339622641509424</v>
      </c>
      <c r="G791" s="33">
        <v>0.5</v>
      </c>
      <c r="H791" s="26" t="s">
        <v>40</v>
      </c>
      <c r="I791" s="26" t="s">
        <v>41</v>
      </c>
      <c r="J791" s="26" t="s">
        <v>42</v>
      </c>
      <c r="K791" s="27">
        <v>2.3255813953488373</v>
      </c>
      <c r="L791" s="27">
        <v>0.5</v>
      </c>
      <c r="M791" s="70"/>
      <c r="N791" s="26"/>
      <c r="O791" s="26"/>
      <c r="P791" s="27"/>
      <c r="Q791" s="36"/>
      <c r="R791" s="26" t="s">
        <v>43</v>
      </c>
      <c r="S791" s="26" t="s">
        <v>38</v>
      </c>
      <c r="T791" s="26" t="s">
        <v>39</v>
      </c>
      <c r="U791" s="27">
        <v>0.84745762711864414</v>
      </c>
      <c r="V791" s="33">
        <v>1</v>
      </c>
      <c r="AG791" s="31">
        <v>0</v>
      </c>
      <c r="AH791" s="1" t="s">
        <v>44</v>
      </c>
    </row>
    <row r="792" spans="1:34">
      <c r="A792" s="15" t="s">
        <v>855</v>
      </c>
      <c r="B792" s="8" t="s">
        <v>836</v>
      </c>
      <c r="C792" s="41" t="s">
        <v>37</v>
      </c>
      <c r="D792" s="1" t="s">
        <v>38</v>
      </c>
      <c r="E792" s="26" t="s">
        <v>39</v>
      </c>
      <c r="F792" s="27">
        <v>0.94339622641509424</v>
      </c>
      <c r="G792" s="33">
        <v>0.5</v>
      </c>
      <c r="H792" s="26" t="s">
        <v>40</v>
      </c>
      <c r="I792" s="26" t="s">
        <v>41</v>
      </c>
      <c r="J792" s="26" t="s">
        <v>42</v>
      </c>
      <c r="K792" s="27">
        <v>2.3255813953488373</v>
      </c>
      <c r="L792" s="27">
        <v>0.5</v>
      </c>
      <c r="M792" s="70"/>
      <c r="N792" s="26"/>
      <c r="O792" s="26"/>
      <c r="P792" s="27"/>
      <c r="Q792" s="36"/>
      <c r="R792" s="26" t="s">
        <v>43</v>
      </c>
      <c r="S792" s="26" t="s">
        <v>38</v>
      </c>
      <c r="T792" s="26" t="s">
        <v>39</v>
      </c>
      <c r="U792" s="27">
        <v>0.84745762711864414</v>
      </c>
      <c r="V792" s="33">
        <v>1</v>
      </c>
      <c r="AG792" s="31">
        <v>0</v>
      </c>
      <c r="AH792" s="1" t="s">
        <v>44</v>
      </c>
    </row>
    <row r="793" spans="1:34">
      <c r="A793" s="15" t="s">
        <v>856</v>
      </c>
      <c r="B793" s="8" t="s">
        <v>836</v>
      </c>
      <c r="C793" s="41" t="s">
        <v>37</v>
      </c>
      <c r="D793" s="1" t="s">
        <v>38</v>
      </c>
      <c r="E793" s="26" t="s">
        <v>39</v>
      </c>
      <c r="F793" s="27">
        <v>0.94339622641509424</v>
      </c>
      <c r="G793" s="33">
        <v>0.5</v>
      </c>
      <c r="H793" s="26" t="s">
        <v>40</v>
      </c>
      <c r="I793" s="26" t="s">
        <v>41</v>
      </c>
      <c r="J793" s="26" t="s">
        <v>42</v>
      </c>
      <c r="K793" s="27">
        <v>2.3255813953488373</v>
      </c>
      <c r="L793" s="27">
        <v>0.5</v>
      </c>
      <c r="M793" s="70"/>
      <c r="N793" s="26"/>
      <c r="O793" s="26"/>
      <c r="P793" s="27"/>
      <c r="Q793" s="36"/>
      <c r="R793" s="26" t="s">
        <v>43</v>
      </c>
      <c r="S793" s="26" t="s">
        <v>38</v>
      </c>
      <c r="T793" s="26" t="s">
        <v>39</v>
      </c>
      <c r="U793" s="27">
        <v>0.84745762711864414</v>
      </c>
      <c r="V793" s="33">
        <v>1</v>
      </c>
      <c r="AG793" s="31">
        <v>0</v>
      </c>
      <c r="AH793" s="1" t="s">
        <v>44</v>
      </c>
    </row>
    <row r="794" spans="1:34">
      <c r="A794" s="15" t="s">
        <v>857</v>
      </c>
      <c r="B794" s="8" t="s">
        <v>836</v>
      </c>
      <c r="C794" s="41" t="s">
        <v>37</v>
      </c>
      <c r="D794" s="1" t="s">
        <v>38</v>
      </c>
      <c r="E794" s="26" t="s">
        <v>39</v>
      </c>
      <c r="F794" s="27">
        <v>0.94339622641509424</v>
      </c>
      <c r="G794" s="33">
        <v>0.5</v>
      </c>
      <c r="H794" s="26" t="s">
        <v>40</v>
      </c>
      <c r="I794" s="26" t="s">
        <v>41</v>
      </c>
      <c r="J794" s="26" t="s">
        <v>42</v>
      </c>
      <c r="K794" s="27">
        <v>2.3255813953488373</v>
      </c>
      <c r="L794" s="27">
        <v>0.5</v>
      </c>
      <c r="M794" s="70"/>
      <c r="N794" s="26"/>
      <c r="O794" s="26"/>
      <c r="P794" s="27"/>
      <c r="Q794" s="36"/>
      <c r="R794" s="26" t="s">
        <v>43</v>
      </c>
      <c r="S794" s="26" t="s">
        <v>38</v>
      </c>
      <c r="T794" s="26" t="s">
        <v>39</v>
      </c>
      <c r="U794" s="27">
        <v>0.84745762711864414</v>
      </c>
      <c r="V794" s="33">
        <v>1</v>
      </c>
      <c r="AG794" s="31">
        <v>0</v>
      </c>
      <c r="AH794" s="1" t="s">
        <v>44</v>
      </c>
    </row>
    <row r="795" spans="1:34">
      <c r="A795" s="15" t="s">
        <v>858</v>
      </c>
      <c r="B795" s="8" t="s">
        <v>836</v>
      </c>
      <c r="C795" s="41" t="s">
        <v>37</v>
      </c>
      <c r="D795" s="1" t="s">
        <v>38</v>
      </c>
      <c r="E795" s="26" t="s">
        <v>39</v>
      </c>
      <c r="F795" s="27">
        <v>0.94339622641509424</v>
      </c>
      <c r="G795" s="33">
        <v>0.5</v>
      </c>
      <c r="H795" s="26" t="s">
        <v>40</v>
      </c>
      <c r="I795" s="26" t="s">
        <v>41</v>
      </c>
      <c r="J795" s="26" t="s">
        <v>42</v>
      </c>
      <c r="K795" s="27">
        <v>2.3255813953488373</v>
      </c>
      <c r="L795" s="27">
        <v>0.5</v>
      </c>
      <c r="M795" s="70"/>
      <c r="N795" s="26"/>
      <c r="O795" s="26"/>
      <c r="P795" s="27"/>
      <c r="Q795" s="36"/>
      <c r="R795" s="26" t="s">
        <v>43</v>
      </c>
      <c r="S795" s="26" t="s">
        <v>38</v>
      </c>
      <c r="T795" s="26" t="s">
        <v>39</v>
      </c>
      <c r="U795" s="27">
        <v>0.84745762711864414</v>
      </c>
      <c r="V795" s="33">
        <v>1</v>
      </c>
      <c r="AG795" s="31">
        <v>0</v>
      </c>
      <c r="AH795" s="1" t="s">
        <v>44</v>
      </c>
    </row>
    <row r="796" spans="1:34">
      <c r="A796" s="15" t="s">
        <v>859</v>
      </c>
      <c r="B796" s="8" t="s">
        <v>836</v>
      </c>
      <c r="C796" s="41" t="s">
        <v>37</v>
      </c>
      <c r="D796" s="1" t="s">
        <v>38</v>
      </c>
      <c r="E796" s="26" t="s">
        <v>39</v>
      </c>
      <c r="F796" s="27">
        <v>0.94339622641509424</v>
      </c>
      <c r="G796" s="33">
        <v>0.5</v>
      </c>
      <c r="H796" s="26" t="s">
        <v>40</v>
      </c>
      <c r="I796" s="26" t="s">
        <v>41</v>
      </c>
      <c r="J796" s="26" t="s">
        <v>42</v>
      </c>
      <c r="K796" s="27">
        <v>2.3255813953488373</v>
      </c>
      <c r="L796" s="27">
        <v>0.5</v>
      </c>
      <c r="M796" s="70"/>
      <c r="N796" s="26"/>
      <c r="O796" s="26"/>
      <c r="P796" s="27"/>
      <c r="Q796" s="36"/>
      <c r="R796" s="26" t="s">
        <v>43</v>
      </c>
      <c r="S796" s="26" t="s">
        <v>38</v>
      </c>
      <c r="T796" s="26" t="s">
        <v>39</v>
      </c>
      <c r="U796" s="27">
        <v>0.84745762711864414</v>
      </c>
      <c r="V796" s="33">
        <v>1</v>
      </c>
      <c r="AG796" s="31">
        <v>0</v>
      </c>
      <c r="AH796" s="1" t="s">
        <v>44</v>
      </c>
    </row>
    <row r="797" spans="1:34">
      <c r="A797" s="15" t="s">
        <v>860</v>
      </c>
      <c r="B797" s="8" t="s">
        <v>836</v>
      </c>
      <c r="C797" s="41" t="s">
        <v>37</v>
      </c>
      <c r="D797" s="1" t="s">
        <v>38</v>
      </c>
      <c r="E797" s="26" t="s">
        <v>39</v>
      </c>
      <c r="F797" s="27">
        <v>0.94339622641509424</v>
      </c>
      <c r="G797" s="33">
        <v>0.5</v>
      </c>
      <c r="H797" s="26" t="s">
        <v>40</v>
      </c>
      <c r="I797" s="26" t="s">
        <v>41</v>
      </c>
      <c r="J797" s="26" t="s">
        <v>42</v>
      </c>
      <c r="K797" s="27">
        <v>2.3255813953488373</v>
      </c>
      <c r="L797" s="27">
        <v>0.5</v>
      </c>
      <c r="M797" s="70"/>
      <c r="N797" s="26"/>
      <c r="O797" s="26"/>
      <c r="P797" s="27"/>
      <c r="Q797" s="36"/>
      <c r="R797" s="26" t="s">
        <v>43</v>
      </c>
      <c r="S797" s="26" t="s">
        <v>38</v>
      </c>
      <c r="T797" s="26" t="s">
        <v>39</v>
      </c>
      <c r="U797" s="27">
        <v>0.84745762711864414</v>
      </c>
      <c r="V797" s="33">
        <v>1</v>
      </c>
      <c r="AG797" s="31">
        <v>0</v>
      </c>
      <c r="AH797" s="1" t="s">
        <v>44</v>
      </c>
    </row>
    <row r="798" spans="1:34">
      <c r="A798" s="15" t="s">
        <v>861</v>
      </c>
      <c r="B798" s="8" t="s">
        <v>836</v>
      </c>
      <c r="C798" s="41" t="s">
        <v>37</v>
      </c>
      <c r="D798" s="1" t="s">
        <v>38</v>
      </c>
      <c r="E798" s="26" t="s">
        <v>39</v>
      </c>
      <c r="F798" s="27">
        <v>0.94339622641509424</v>
      </c>
      <c r="G798" s="33">
        <v>0.5</v>
      </c>
      <c r="H798" s="26" t="s">
        <v>40</v>
      </c>
      <c r="I798" s="26" t="s">
        <v>41</v>
      </c>
      <c r="J798" s="26" t="s">
        <v>42</v>
      </c>
      <c r="K798" s="27">
        <v>2.3255813953488373</v>
      </c>
      <c r="L798" s="27">
        <v>0.5</v>
      </c>
      <c r="M798" s="70"/>
      <c r="N798" s="26"/>
      <c r="O798" s="26"/>
      <c r="P798" s="27"/>
      <c r="Q798" s="36"/>
      <c r="R798" s="26" t="s">
        <v>43</v>
      </c>
      <c r="S798" s="26" t="s">
        <v>38</v>
      </c>
      <c r="T798" s="26" t="s">
        <v>39</v>
      </c>
      <c r="U798" s="27">
        <v>0.84745762711864414</v>
      </c>
      <c r="V798" s="33">
        <v>1</v>
      </c>
      <c r="AG798" s="31">
        <v>0</v>
      </c>
      <c r="AH798" s="1" t="s">
        <v>44</v>
      </c>
    </row>
    <row r="799" spans="1:34">
      <c r="A799" s="15" t="s">
        <v>862</v>
      </c>
      <c r="B799" s="8" t="s">
        <v>836</v>
      </c>
      <c r="C799" s="41" t="s">
        <v>37</v>
      </c>
      <c r="D799" s="1" t="s">
        <v>38</v>
      </c>
      <c r="E799" s="26" t="s">
        <v>39</v>
      </c>
      <c r="F799" s="27">
        <v>0.94339622641509424</v>
      </c>
      <c r="G799" s="33">
        <v>0.5</v>
      </c>
      <c r="H799" s="26" t="s">
        <v>40</v>
      </c>
      <c r="I799" s="26" t="s">
        <v>41</v>
      </c>
      <c r="J799" s="26" t="s">
        <v>42</v>
      </c>
      <c r="K799" s="27">
        <v>2.3255813953488373</v>
      </c>
      <c r="L799" s="27">
        <v>0.5</v>
      </c>
      <c r="M799" s="70"/>
      <c r="N799" s="26"/>
      <c r="O799" s="26"/>
      <c r="P799" s="27"/>
      <c r="Q799" s="36"/>
      <c r="R799" s="26" t="s">
        <v>43</v>
      </c>
      <c r="S799" s="26" t="s">
        <v>38</v>
      </c>
      <c r="T799" s="26" t="s">
        <v>39</v>
      </c>
      <c r="U799" s="27">
        <v>0.84745762711864414</v>
      </c>
      <c r="V799" s="33">
        <v>1</v>
      </c>
      <c r="AG799" s="31">
        <v>0</v>
      </c>
      <c r="AH799" s="1" t="s">
        <v>44</v>
      </c>
    </row>
    <row r="800" spans="1:34">
      <c r="A800" s="15" t="s">
        <v>863</v>
      </c>
      <c r="B800" s="8" t="s">
        <v>836</v>
      </c>
      <c r="C800" s="41" t="s">
        <v>37</v>
      </c>
      <c r="D800" s="1" t="s">
        <v>38</v>
      </c>
      <c r="E800" s="26" t="s">
        <v>39</v>
      </c>
      <c r="F800" s="27">
        <v>0.94339622641509424</v>
      </c>
      <c r="G800" s="33">
        <v>0.5</v>
      </c>
      <c r="H800" s="26" t="s">
        <v>40</v>
      </c>
      <c r="I800" s="26" t="s">
        <v>41</v>
      </c>
      <c r="J800" s="26" t="s">
        <v>42</v>
      </c>
      <c r="K800" s="27">
        <v>2.3255813953488373</v>
      </c>
      <c r="L800" s="27">
        <v>0.5</v>
      </c>
      <c r="M800" s="70"/>
      <c r="N800" s="26"/>
      <c r="O800" s="26"/>
      <c r="P800" s="27"/>
      <c r="Q800" s="36"/>
      <c r="R800" s="26" t="s">
        <v>43</v>
      </c>
      <c r="S800" s="26" t="s">
        <v>38</v>
      </c>
      <c r="T800" s="26" t="s">
        <v>39</v>
      </c>
      <c r="U800" s="27">
        <v>0.84745762711864414</v>
      </c>
      <c r="V800" s="33">
        <v>1</v>
      </c>
      <c r="AG800" s="31">
        <v>0</v>
      </c>
      <c r="AH800" s="1" t="s">
        <v>44</v>
      </c>
    </row>
    <row r="801" spans="1:34">
      <c r="A801" s="15" t="s">
        <v>864</v>
      </c>
      <c r="B801" s="8" t="s">
        <v>836</v>
      </c>
      <c r="C801" s="41" t="s">
        <v>37</v>
      </c>
      <c r="D801" s="1" t="s">
        <v>38</v>
      </c>
      <c r="E801" s="26" t="s">
        <v>39</v>
      </c>
      <c r="F801" s="27">
        <v>0.94339622641509424</v>
      </c>
      <c r="G801" s="33">
        <v>0.5</v>
      </c>
      <c r="H801" s="26" t="s">
        <v>40</v>
      </c>
      <c r="I801" s="26" t="s">
        <v>41</v>
      </c>
      <c r="J801" s="26" t="s">
        <v>42</v>
      </c>
      <c r="K801" s="27">
        <v>2.3255813953488373</v>
      </c>
      <c r="L801" s="27">
        <v>0.5</v>
      </c>
      <c r="M801" s="70"/>
      <c r="N801" s="26"/>
      <c r="O801" s="26"/>
      <c r="P801" s="27"/>
      <c r="Q801" s="36"/>
      <c r="R801" s="26" t="s">
        <v>43</v>
      </c>
      <c r="S801" s="26" t="s">
        <v>38</v>
      </c>
      <c r="T801" s="26" t="s">
        <v>39</v>
      </c>
      <c r="U801" s="27">
        <v>0.84745762711864414</v>
      </c>
      <c r="V801" s="33">
        <v>1</v>
      </c>
      <c r="AG801" s="31">
        <v>1</v>
      </c>
      <c r="AH801" s="1" t="s">
        <v>73</v>
      </c>
    </row>
    <row r="802" spans="1:34">
      <c r="A802" s="15" t="s">
        <v>865</v>
      </c>
      <c r="B802" s="8" t="s">
        <v>836</v>
      </c>
      <c r="C802" s="41" t="s">
        <v>37</v>
      </c>
      <c r="D802" s="1" t="s">
        <v>38</v>
      </c>
      <c r="E802" s="26" t="s">
        <v>39</v>
      </c>
      <c r="F802" s="27">
        <v>0.94339622641509424</v>
      </c>
      <c r="G802" s="33">
        <v>0.5</v>
      </c>
      <c r="H802" s="26" t="s">
        <v>40</v>
      </c>
      <c r="I802" s="26" t="s">
        <v>41</v>
      </c>
      <c r="J802" s="26" t="s">
        <v>42</v>
      </c>
      <c r="K802" s="27">
        <v>2.3255813953488373</v>
      </c>
      <c r="L802" s="27">
        <v>0.5</v>
      </c>
      <c r="M802" s="70"/>
      <c r="N802" s="26"/>
      <c r="O802" s="26"/>
      <c r="P802" s="27"/>
      <c r="Q802" s="36"/>
      <c r="R802" s="26" t="s">
        <v>43</v>
      </c>
      <c r="S802" s="26" t="s">
        <v>38</v>
      </c>
      <c r="T802" s="26" t="s">
        <v>39</v>
      </c>
      <c r="U802" s="27">
        <v>0.84745762711864414</v>
      </c>
      <c r="V802" s="33">
        <v>1</v>
      </c>
      <c r="AG802" s="31">
        <v>1</v>
      </c>
      <c r="AH802" s="1" t="s">
        <v>73</v>
      </c>
    </row>
    <row r="803" spans="1:34">
      <c r="A803" s="15" t="s">
        <v>866</v>
      </c>
      <c r="B803" s="8" t="s">
        <v>836</v>
      </c>
      <c r="C803" s="41" t="s">
        <v>37</v>
      </c>
      <c r="D803" s="1" t="s">
        <v>38</v>
      </c>
      <c r="E803" s="26" t="s">
        <v>39</v>
      </c>
      <c r="F803" s="27">
        <v>0.94339622641509424</v>
      </c>
      <c r="G803" s="33">
        <v>0.5</v>
      </c>
      <c r="H803" s="26" t="s">
        <v>40</v>
      </c>
      <c r="I803" s="26" t="s">
        <v>41</v>
      </c>
      <c r="J803" s="26" t="s">
        <v>42</v>
      </c>
      <c r="K803" s="27">
        <v>2.3255813953488373</v>
      </c>
      <c r="L803" s="27">
        <v>0.5</v>
      </c>
      <c r="M803" s="70"/>
      <c r="N803" s="26"/>
      <c r="O803" s="26"/>
      <c r="P803" s="27"/>
      <c r="Q803" s="36"/>
      <c r="R803" s="26" t="s">
        <v>43</v>
      </c>
      <c r="S803" s="26" t="s">
        <v>38</v>
      </c>
      <c r="T803" s="26" t="s">
        <v>39</v>
      </c>
      <c r="U803" s="27">
        <v>0.84745762711864414</v>
      </c>
      <c r="V803" s="33">
        <v>1</v>
      </c>
      <c r="AG803" s="31">
        <v>1</v>
      </c>
      <c r="AH803" s="1" t="s">
        <v>73</v>
      </c>
    </row>
    <row r="804" spans="1:34">
      <c r="A804" s="15" t="s">
        <v>867</v>
      </c>
      <c r="B804" s="8" t="s">
        <v>836</v>
      </c>
      <c r="C804" s="41" t="s">
        <v>37</v>
      </c>
      <c r="D804" s="1" t="s">
        <v>38</v>
      </c>
      <c r="E804" s="26" t="s">
        <v>39</v>
      </c>
      <c r="F804" s="27">
        <v>0.94339622641509424</v>
      </c>
      <c r="G804" s="33">
        <v>0.5</v>
      </c>
      <c r="H804" s="26" t="s">
        <v>40</v>
      </c>
      <c r="I804" s="26" t="s">
        <v>41</v>
      </c>
      <c r="J804" s="26" t="s">
        <v>42</v>
      </c>
      <c r="K804" s="27">
        <v>2.3255813953488373</v>
      </c>
      <c r="L804" s="27">
        <v>0.5</v>
      </c>
      <c r="M804" s="70"/>
      <c r="N804" s="26"/>
      <c r="O804" s="26"/>
      <c r="P804" s="27"/>
      <c r="Q804" s="36"/>
      <c r="R804" s="26" t="s">
        <v>43</v>
      </c>
      <c r="S804" s="26" t="s">
        <v>38</v>
      </c>
      <c r="T804" s="26" t="s">
        <v>39</v>
      </c>
      <c r="U804" s="27">
        <v>0.84745762711864414</v>
      </c>
      <c r="V804" s="33">
        <v>1</v>
      </c>
      <c r="AG804" s="31">
        <v>1</v>
      </c>
      <c r="AH804" s="1" t="s">
        <v>73</v>
      </c>
    </row>
    <row r="805" spans="1:34">
      <c r="A805" s="15" t="s">
        <v>868</v>
      </c>
      <c r="B805" s="8" t="s">
        <v>836</v>
      </c>
      <c r="C805" s="41" t="s">
        <v>37</v>
      </c>
      <c r="D805" s="1" t="s">
        <v>38</v>
      </c>
      <c r="E805" s="26" t="s">
        <v>39</v>
      </c>
      <c r="F805" s="27">
        <v>0.94339622641509424</v>
      </c>
      <c r="G805" s="33">
        <v>0.5</v>
      </c>
      <c r="H805" s="26" t="s">
        <v>40</v>
      </c>
      <c r="I805" s="26" t="s">
        <v>41</v>
      </c>
      <c r="J805" s="26" t="s">
        <v>42</v>
      </c>
      <c r="K805" s="27">
        <v>2.3255813953488373</v>
      </c>
      <c r="L805" s="27">
        <v>0.5</v>
      </c>
      <c r="M805" s="70"/>
      <c r="N805" s="26"/>
      <c r="O805" s="26"/>
      <c r="P805" s="27"/>
      <c r="Q805" s="36"/>
      <c r="R805" s="26" t="s">
        <v>43</v>
      </c>
      <c r="S805" s="26" t="s">
        <v>38</v>
      </c>
      <c r="T805" s="26" t="s">
        <v>39</v>
      </c>
      <c r="U805" s="27">
        <v>0.84745762711864414</v>
      </c>
      <c r="V805" s="33">
        <v>1</v>
      </c>
      <c r="AG805" s="31">
        <v>1</v>
      </c>
      <c r="AH805" s="1" t="s">
        <v>73</v>
      </c>
    </row>
    <row r="806" spans="1:34">
      <c r="A806" s="15" t="s">
        <v>869</v>
      </c>
      <c r="B806" s="8" t="s">
        <v>836</v>
      </c>
      <c r="C806" s="41" t="s">
        <v>37</v>
      </c>
      <c r="D806" s="1" t="s">
        <v>38</v>
      </c>
      <c r="E806" s="26" t="s">
        <v>39</v>
      </c>
      <c r="F806" s="27">
        <v>0.94339622641509424</v>
      </c>
      <c r="G806" s="33">
        <v>0.5</v>
      </c>
      <c r="H806" s="26" t="s">
        <v>40</v>
      </c>
      <c r="I806" s="26" t="s">
        <v>41</v>
      </c>
      <c r="J806" s="26" t="s">
        <v>42</v>
      </c>
      <c r="K806" s="27">
        <v>2.3255813953488373</v>
      </c>
      <c r="L806" s="27">
        <v>0.5</v>
      </c>
      <c r="M806" s="70"/>
      <c r="N806" s="26"/>
      <c r="O806" s="26"/>
      <c r="P806" s="27"/>
      <c r="Q806" s="36"/>
      <c r="R806" s="26" t="s">
        <v>43</v>
      </c>
      <c r="S806" s="26" t="s">
        <v>38</v>
      </c>
      <c r="T806" s="26" t="s">
        <v>39</v>
      </c>
      <c r="U806" s="27">
        <v>0.84745762711864414</v>
      </c>
      <c r="V806" s="33">
        <v>1</v>
      </c>
      <c r="AG806" s="31">
        <v>1</v>
      </c>
      <c r="AH806" s="1" t="s">
        <v>73</v>
      </c>
    </row>
    <row r="807" spans="1:34">
      <c r="A807" s="15" t="s">
        <v>870</v>
      </c>
      <c r="B807" s="8" t="s">
        <v>836</v>
      </c>
      <c r="C807" s="41" t="s">
        <v>37</v>
      </c>
      <c r="D807" s="1" t="s">
        <v>38</v>
      </c>
      <c r="E807" s="26" t="s">
        <v>39</v>
      </c>
      <c r="F807" s="27">
        <v>0.94339622641509424</v>
      </c>
      <c r="G807" s="33">
        <v>0.5</v>
      </c>
      <c r="H807" s="26" t="s">
        <v>40</v>
      </c>
      <c r="I807" s="26" t="s">
        <v>41</v>
      </c>
      <c r="J807" s="26" t="s">
        <v>42</v>
      </c>
      <c r="K807" s="27">
        <v>2.3255813953488373</v>
      </c>
      <c r="L807" s="27">
        <v>0.5</v>
      </c>
      <c r="M807" s="70"/>
      <c r="N807" s="26"/>
      <c r="O807" s="26"/>
      <c r="P807" s="27"/>
      <c r="Q807" s="36"/>
      <c r="R807" s="26" t="s">
        <v>43</v>
      </c>
      <c r="S807" s="26" t="s">
        <v>38</v>
      </c>
      <c r="T807" s="26" t="s">
        <v>39</v>
      </c>
      <c r="U807" s="27">
        <v>0.84745762711864414</v>
      </c>
      <c r="V807" s="33">
        <v>1</v>
      </c>
      <c r="AG807" s="31">
        <v>1</v>
      </c>
      <c r="AH807" s="1" t="s">
        <v>73</v>
      </c>
    </row>
    <row r="808" spans="1:34">
      <c r="A808" s="15" t="s">
        <v>871</v>
      </c>
      <c r="B808" s="8" t="s">
        <v>836</v>
      </c>
      <c r="C808" s="41" t="s">
        <v>37</v>
      </c>
      <c r="D808" s="1" t="s">
        <v>38</v>
      </c>
      <c r="E808" s="26" t="s">
        <v>39</v>
      </c>
      <c r="F808" s="27">
        <v>0.94339622641509424</v>
      </c>
      <c r="G808" s="33">
        <v>0.5</v>
      </c>
      <c r="H808" s="26" t="s">
        <v>40</v>
      </c>
      <c r="I808" s="26" t="s">
        <v>41</v>
      </c>
      <c r="J808" s="26" t="s">
        <v>42</v>
      </c>
      <c r="K808" s="27">
        <v>2.3255813953488373</v>
      </c>
      <c r="L808" s="27">
        <v>0.5</v>
      </c>
      <c r="M808" s="70"/>
      <c r="N808" s="26"/>
      <c r="O808" s="26"/>
      <c r="P808" s="27"/>
      <c r="Q808" s="36"/>
      <c r="R808" s="26" t="s">
        <v>43</v>
      </c>
      <c r="S808" s="26" t="s">
        <v>38</v>
      </c>
      <c r="T808" s="26" t="s">
        <v>39</v>
      </c>
      <c r="U808" s="27">
        <v>0.84745762711864414</v>
      </c>
      <c r="V808" s="33">
        <v>1</v>
      </c>
      <c r="AG808" s="31">
        <v>0</v>
      </c>
      <c r="AH808" s="1" t="s">
        <v>44</v>
      </c>
    </row>
    <row r="809" spans="1:34">
      <c r="A809" s="15" t="s">
        <v>872</v>
      </c>
      <c r="B809" s="8" t="s">
        <v>836</v>
      </c>
      <c r="C809" s="41" t="s">
        <v>37</v>
      </c>
      <c r="D809" s="1" t="s">
        <v>38</v>
      </c>
      <c r="E809" s="26" t="s">
        <v>39</v>
      </c>
      <c r="F809" s="27">
        <v>0.94339622641509424</v>
      </c>
      <c r="G809" s="33">
        <v>0.5</v>
      </c>
      <c r="H809" s="26" t="s">
        <v>40</v>
      </c>
      <c r="I809" s="26" t="s">
        <v>41</v>
      </c>
      <c r="J809" s="26" t="s">
        <v>42</v>
      </c>
      <c r="K809" s="27">
        <v>2.3255813953488373</v>
      </c>
      <c r="L809" s="27">
        <v>0.5</v>
      </c>
      <c r="M809" s="70"/>
      <c r="N809" s="26"/>
      <c r="O809" s="26"/>
      <c r="P809" s="27"/>
      <c r="Q809" s="36"/>
      <c r="R809" s="26" t="s">
        <v>43</v>
      </c>
      <c r="S809" s="26" t="s">
        <v>38</v>
      </c>
      <c r="T809" s="26" t="s">
        <v>39</v>
      </c>
      <c r="U809" s="27">
        <v>0.84745762711864414</v>
      </c>
      <c r="V809" s="33">
        <v>1</v>
      </c>
      <c r="AG809" s="31">
        <v>0</v>
      </c>
      <c r="AH809" s="1" t="s">
        <v>44</v>
      </c>
    </row>
    <row r="810" spans="1:34">
      <c r="A810" s="15" t="s">
        <v>873</v>
      </c>
      <c r="B810" s="8" t="s">
        <v>836</v>
      </c>
      <c r="C810" s="41" t="s">
        <v>37</v>
      </c>
      <c r="D810" s="1" t="s">
        <v>38</v>
      </c>
      <c r="E810" s="26" t="s">
        <v>39</v>
      </c>
      <c r="F810" s="27">
        <v>0.94339622641509424</v>
      </c>
      <c r="G810" s="33">
        <v>0.5</v>
      </c>
      <c r="H810" s="26" t="s">
        <v>40</v>
      </c>
      <c r="I810" s="26" t="s">
        <v>41</v>
      </c>
      <c r="J810" s="26" t="s">
        <v>42</v>
      </c>
      <c r="K810" s="27">
        <v>2.3255813953488373</v>
      </c>
      <c r="L810" s="27">
        <v>0.5</v>
      </c>
      <c r="M810" s="70"/>
      <c r="N810" s="26"/>
      <c r="O810" s="26"/>
      <c r="P810" s="27"/>
      <c r="Q810" s="36"/>
      <c r="R810" s="26" t="s">
        <v>43</v>
      </c>
      <c r="S810" s="26" t="s">
        <v>38</v>
      </c>
      <c r="T810" s="26" t="s">
        <v>39</v>
      </c>
      <c r="U810" s="27">
        <v>0.84745762711864414</v>
      </c>
      <c r="V810" s="33">
        <v>1</v>
      </c>
      <c r="AG810" s="31">
        <v>0</v>
      </c>
      <c r="AH810" s="1" t="s">
        <v>44</v>
      </c>
    </row>
    <row r="811" spans="1:34">
      <c r="A811" s="15" t="s">
        <v>874</v>
      </c>
      <c r="B811" s="8" t="s">
        <v>836</v>
      </c>
      <c r="C811" s="41" t="s">
        <v>37</v>
      </c>
      <c r="D811" s="1" t="s">
        <v>38</v>
      </c>
      <c r="E811" s="26" t="s">
        <v>39</v>
      </c>
      <c r="F811" s="27">
        <v>0.94339622641509424</v>
      </c>
      <c r="G811" s="33">
        <v>0.5</v>
      </c>
      <c r="H811" s="26" t="s">
        <v>40</v>
      </c>
      <c r="I811" s="26" t="s">
        <v>41</v>
      </c>
      <c r="J811" s="26" t="s">
        <v>42</v>
      </c>
      <c r="K811" s="27">
        <v>2.3255813953488373</v>
      </c>
      <c r="L811" s="27">
        <v>0.5</v>
      </c>
      <c r="M811" s="70"/>
      <c r="N811" s="26"/>
      <c r="O811" s="26"/>
      <c r="P811" s="27"/>
      <c r="Q811" s="36"/>
      <c r="R811" s="26" t="s">
        <v>43</v>
      </c>
      <c r="S811" s="26" t="s">
        <v>38</v>
      </c>
      <c r="T811" s="26" t="s">
        <v>39</v>
      </c>
      <c r="U811" s="27">
        <v>0.84745762711864414</v>
      </c>
      <c r="V811" s="33">
        <v>1</v>
      </c>
      <c r="AG811" s="31">
        <v>0</v>
      </c>
      <c r="AH811" s="1" t="s">
        <v>44</v>
      </c>
    </row>
    <row r="812" spans="1:34">
      <c r="A812" s="15" t="s">
        <v>875</v>
      </c>
      <c r="B812" s="8" t="s">
        <v>836</v>
      </c>
      <c r="C812" s="41" t="s">
        <v>37</v>
      </c>
      <c r="D812" s="1" t="s">
        <v>38</v>
      </c>
      <c r="E812" s="26" t="s">
        <v>39</v>
      </c>
      <c r="F812" s="27">
        <v>0.94339622641509424</v>
      </c>
      <c r="G812" s="33">
        <v>0.5</v>
      </c>
      <c r="H812" s="26" t="s">
        <v>40</v>
      </c>
      <c r="I812" s="26" t="s">
        <v>41</v>
      </c>
      <c r="J812" s="26" t="s">
        <v>42</v>
      </c>
      <c r="K812" s="27">
        <v>2.3255813953488373</v>
      </c>
      <c r="L812" s="27">
        <v>0.5</v>
      </c>
      <c r="M812" s="70"/>
      <c r="N812" s="26"/>
      <c r="O812" s="26"/>
      <c r="P812" s="27"/>
      <c r="Q812" s="36"/>
      <c r="R812" s="26" t="s">
        <v>43</v>
      </c>
      <c r="S812" s="26" t="s">
        <v>38</v>
      </c>
      <c r="T812" s="26" t="s">
        <v>39</v>
      </c>
      <c r="U812" s="27">
        <v>0.84745762711864414</v>
      </c>
      <c r="V812" s="33">
        <v>1</v>
      </c>
      <c r="AG812" s="31">
        <v>0</v>
      </c>
      <c r="AH812" s="1" t="s">
        <v>44</v>
      </c>
    </row>
    <row r="813" spans="1:34">
      <c r="A813" s="15" t="s">
        <v>876</v>
      </c>
      <c r="B813" s="8" t="s">
        <v>836</v>
      </c>
      <c r="C813" s="41" t="s">
        <v>37</v>
      </c>
      <c r="D813" s="1" t="s">
        <v>38</v>
      </c>
      <c r="E813" s="26" t="s">
        <v>39</v>
      </c>
      <c r="F813" s="27">
        <v>0.94339622641509424</v>
      </c>
      <c r="G813" s="33">
        <v>0.5</v>
      </c>
      <c r="H813" s="26" t="s">
        <v>40</v>
      </c>
      <c r="I813" s="26" t="s">
        <v>41</v>
      </c>
      <c r="J813" s="26" t="s">
        <v>42</v>
      </c>
      <c r="K813" s="27">
        <v>2.3255813953488373</v>
      </c>
      <c r="L813" s="27">
        <v>0.5</v>
      </c>
      <c r="M813" s="70"/>
      <c r="N813" s="26"/>
      <c r="O813" s="26"/>
      <c r="P813" s="27"/>
      <c r="Q813" s="36"/>
      <c r="R813" s="26" t="s">
        <v>43</v>
      </c>
      <c r="S813" s="26" t="s">
        <v>38</v>
      </c>
      <c r="T813" s="26" t="s">
        <v>39</v>
      </c>
      <c r="U813" s="27">
        <v>0.84745762711864414</v>
      </c>
      <c r="V813" s="33">
        <v>1</v>
      </c>
      <c r="AG813" s="31">
        <v>0</v>
      </c>
      <c r="AH813" s="1" t="s">
        <v>44</v>
      </c>
    </row>
    <row r="814" spans="1:34">
      <c r="A814" s="15" t="s">
        <v>877</v>
      </c>
      <c r="B814" s="8" t="s">
        <v>836</v>
      </c>
      <c r="C814" s="41" t="s">
        <v>37</v>
      </c>
      <c r="D814" s="1" t="s">
        <v>38</v>
      </c>
      <c r="E814" s="26" t="s">
        <v>39</v>
      </c>
      <c r="F814" s="27">
        <v>0.94339622641509424</v>
      </c>
      <c r="G814" s="33">
        <v>0.5</v>
      </c>
      <c r="H814" s="26" t="s">
        <v>40</v>
      </c>
      <c r="I814" s="26" t="s">
        <v>41</v>
      </c>
      <c r="J814" s="26" t="s">
        <v>42</v>
      </c>
      <c r="K814" s="27">
        <v>2.3255813953488373</v>
      </c>
      <c r="L814" s="27">
        <v>0.5</v>
      </c>
      <c r="M814" s="70"/>
      <c r="N814" s="26"/>
      <c r="O814" s="26"/>
      <c r="P814" s="27"/>
      <c r="Q814" s="36"/>
      <c r="R814" s="26" t="s">
        <v>43</v>
      </c>
      <c r="S814" s="26" t="s">
        <v>38</v>
      </c>
      <c r="T814" s="26" t="s">
        <v>39</v>
      </c>
      <c r="U814" s="27">
        <v>0.84745762711864414</v>
      </c>
      <c r="V814" s="33">
        <v>1</v>
      </c>
      <c r="AG814" s="31">
        <v>0</v>
      </c>
      <c r="AH814" s="1" t="s">
        <v>44</v>
      </c>
    </row>
    <row r="815" spans="1:34">
      <c r="A815" s="15" t="s">
        <v>878</v>
      </c>
      <c r="B815" s="8" t="s">
        <v>836</v>
      </c>
      <c r="C815" s="41" t="s">
        <v>37</v>
      </c>
      <c r="D815" s="1" t="s">
        <v>38</v>
      </c>
      <c r="E815" s="26" t="s">
        <v>39</v>
      </c>
      <c r="F815" s="27">
        <v>0.94339622641509424</v>
      </c>
      <c r="G815" s="33">
        <v>0.5</v>
      </c>
      <c r="H815" s="26" t="s">
        <v>40</v>
      </c>
      <c r="I815" s="26" t="s">
        <v>41</v>
      </c>
      <c r="J815" s="26" t="s">
        <v>42</v>
      </c>
      <c r="K815" s="27">
        <v>2.3255813953488373</v>
      </c>
      <c r="L815" s="27">
        <v>0.5</v>
      </c>
      <c r="M815" s="70"/>
      <c r="N815" s="26"/>
      <c r="O815" s="26"/>
      <c r="P815" s="27"/>
      <c r="Q815" s="36"/>
      <c r="R815" s="26" t="s">
        <v>43</v>
      </c>
      <c r="S815" s="26" t="s">
        <v>38</v>
      </c>
      <c r="T815" s="26" t="s">
        <v>39</v>
      </c>
      <c r="U815" s="27">
        <v>0.84745762711864414</v>
      </c>
      <c r="V815" s="33">
        <v>1</v>
      </c>
      <c r="AG815" s="31">
        <v>0</v>
      </c>
      <c r="AH815" s="1" t="s">
        <v>44</v>
      </c>
    </row>
    <row r="816" spans="1:34">
      <c r="A816" s="15" t="s">
        <v>879</v>
      </c>
      <c r="B816" s="8" t="s">
        <v>836</v>
      </c>
      <c r="C816" s="41" t="s">
        <v>37</v>
      </c>
      <c r="D816" s="1" t="s">
        <v>38</v>
      </c>
      <c r="E816" s="26" t="s">
        <v>39</v>
      </c>
      <c r="F816" s="27">
        <v>0.94339622641509424</v>
      </c>
      <c r="G816" s="33">
        <v>0.5</v>
      </c>
      <c r="H816" s="26" t="s">
        <v>40</v>
      </c>
      <c r="I816" s="26" t="s">
        <v>41</v>
      </c>
      <c r="J816" s="26" t="s">
        <v>42</v>
      </c>
      <c r="K816" s="27">
        <v>2.3255813953488373</v>
      </c>
      <c r="L816" s="27">
        <v>0.5</v>
      </c>
      <c r="M816" s="70"/>
      <c r="N816" s="26"/>
      <c r="O816" s="26"/>
      <c r="P816" s="27"/>
      <c r="Q816" s="36"/>
      <c r="R816" s="26" t="s">
        <v>43</v>
      </c>
      <c r="S816" s="26" t="s">
        <v>38</v>
      </c>
      <c r="T816" s="26" t="s">
        <v>39</v>
      </c>
      <c r="U816" s="27">
        <v>0.84745762711864414</v>
      </c>
      <c r="V816" s="33">
        <v>1</v>
      </c>
      <c r="AG816" s="31">
        <v>0</v>
      </c>
      <c r="AH816" s="1" t="s">
        <v>44</v>
      </c>
    </row>
    <row r="817" spans="1:35">
      <c r="A817" s="15" t="s">
        <v>880</v>
      </c>
      <c r="B817" s="8" t="s">
        <v>836</v>
      </c>
      <c r="C817" s="41" t="s">
        <v>37</v>
      </c>
      <c r="D817" s="1" t="s">
        <v>38</v>
      </c>
      <c r="E817" s="26" t="s">
        <v>39</v>
      </c>
      <c r="F817" s="27">
        <v>0.94339622641509424</v>
      </c>
      <c r="G817" s="33">
        <v>0.5</v>
      </c>
      <c r="H817" s="26" t="s">
        <v>40</v>
      </c>
      <c r="I817" s="26" t="s">
        <v>41</v>
      </c>
      <c r="J817" s="26" t="s">
        <v>42</v>
      </c>
      <c r="K817" s="27">
        <v>2.3255813953488373</v>
      </c>
      <c r="L817" s="27">
        <v>0.5</v>
      </c>
      <c r="M817" s="70"/>
      <c r="N817" s="26"/>
      <c r="O817" s="26"/>
      <c r="P817" s="27"/>
      <c r="Q817" s="36"/>
      <c r="R817" s="26" t="s">
        <v>43</v>
      </c>
      <c r="S817" s="26" t="s">
        <v>38</v>
      </c>
      <c r="T817" s="26" t="s">
        <v>39</v>
      </c>
      <c r="U817" s="27">
        <v>0.84745762711864414</v>
      </c>
      <c r="V817" s="33">
        <v>1</v>
      </c>
      <c r="AG817" s="31">
        <v>0</v>
      </c>
      <c r="AH817" s="1" t="s">
        <v>44</v>
      </c>
    </row>
    <row r="818" spans="1:35">
      <c r="A818" s="15" t="s">
        <v>881</v>
      </c>
      <c r="B818" s="8" t="s">
        <v>836</v>
      </c>
      <c r="C818" s="41" t="s">
        <v>37</v>
      </c>
      <c r="D818" s="1" t="s">
        <v>38</v>
      </c>
      <c r="E818" s="26" t="s">
        <v>39</v>
      </c>
      <c r="F818" s="27">
        <v>0.94339622641509424</v>
      </c>
      <c r="G818" s="33">
        <v>0.5</v>
      </c>
      <c r="H818" s="26" t="s">
        <v>40</v>
      </c>
      <c r="I818" s="26" t="s">
        <v>41</v>
      </c>
      <c r="J818" s="26" t="s">
        <v>42</v>
      </c>
      <c r="K818" s="27">
        <v>2.3255813953488373</v>
      </c>
      <c r="L818" s="27">
        <v>0.5</v>
      </c>
      <c r="M818" s="70"/>
      <c r="N818" s="26"/>
      <c r="O818" s="26"/>
      <c r="P818" s="27"/>
      <c r="Q818" s="36"/>
      <c r="R818" s="26" t="s">
        <v>43</v>
      </c>
      <c r="S818" s="26" t="s">
        <v>38</v>
      </c>
      <c r="T818" s="26" t="s">
        <v>39</v>
      </c>
      <c r="U818" s="27">
        <v>0.84745762711864414</v>
      </c>
      <c r="V818" s="33">
        <v>1</v>
      </c>
      <c r="AG818" s="31">
        <v>0</v>
      </c>
      <c r="AH818" s="1" t="s">
        <v>44</v>
      </c>
    </row>
    <row r="819" spans="1:35">
      <c r="A819" s="15" t="s">
        <v>882</v>
      </c>
      <c r="B819" s="8" t="s">
        <v>836</v>
      </c>
      <c r="C819" s="41" t="s">
        <v>37</v>
      </c>
      <c r="D819" s="1" t="s">
        <v>38</v>
      </c>
      <c r="E819" s="26" t="s">
        <v>39</v>
      </c>
      <c r="F819" s="27">
        <v>0.94339622641509424</v>
      </c>
      <c r="G819" s="33">
        <v>0.5</v>
      </c>
      <c r="H819" s="26" t="s">
        <v>40</v>
      </c>
      <c r="I819" s="26" t="s">
        <v>41</v>
      </c>
      <c r="J819" s="26" t="s">
        <v>42</v>
      </c>
      <c r="K819" s="27">
        <v>2.3255813953488373</v>
      </c>
      <c r="L819" s="27">
        <v>0.5</v>
      </c>
      <c r="M819" s="70"/>
      <c r="N819" s="26"/>
      <c r="O819" s="26"/>
      <c r="P819" s="27"/>
      <c r="Q819" s="36"/>
      <c r="R819" s="26" t="s">
        <v>43</v>
      </c>
      <c r="S819" s="26" t="s">
        <v>38</v>
      </c>
      <c r="T819" s="26" t="s">
        <v>39</v>
      </c>
      <c r="U819" s="27">
        <v>0.84745762711864414</v>
      </c>
      <c r="V819" s="33">
        <v>1</v>
      </c>
      <c r="AG819" s="31">
        <v>0</v>
      </c>
      <c r="AH819" s="1" t="s">
        <v>44</v>
      </c>
    </row>
    <row r="820" spans="1:35">
      <c r="A820" s="15" t="s">
        <v>883</v>
      </c>
      <c r="B820" s="8" t="s">
        <v>836</v>
      </c>
      <c r="C820" s="41" t="s">
        <v>37</v>
      </c>
      <c r="D820" s="1" t="s">
        <v>38</v>
      </c>
      <c r="E820" s="26" t="s">
        <v>39</v>
      </c>
      <c r="F820" s="27">
        <v>0.94339622641509424</v>
      </c>
      <c r="G820" s="33">
        <v>0.5</v>
      </c>
      <c r="H820" s="26" t="s">
        <v>40</v>
      </c>
      <c r="I820" s="26" t="s">
        <v>41</v>
      </c>
      <c r="J820" s="26" t="s">
        <v>42</v>
      </c>
      <c r="K820" s="27">
        <v>2.3255813953488373</v>
      </c>
      <c r="L820" s="27">
        <v>0.5</v>
      </c>
      <c r="M820" s="70"/>
      <c r="N820" s="26"/>
      <c r="O820" s="26"/>
      <c r="P820" s="27"/>
      <c r="Q820" s="36"/>
      <c r="R820" s="26" t="s">
        <v>43</v>
      </c>
      <c r="S820" s="26" t="s">
        <v>38</v>
      </c>
      <c r="T820" s="26" t="s">
        <v>39</v>
      </c>
      <c r="U820" s="27">
        <v>0.84745762711864414</v>
      </c>
      <c r="V820" s="33">
        <v>1</v>
      </c>
      <c r="AG820" s="31">
        <v>0</v>
      </c>
      <c r="AH820" s="1" t="s">
        <v>44</v>
      </c>
    </row>
    <row r="821" spans="1:35">
      <c r="A821" s="15" t="s">
        <v>884</v>
      </c>
      <c r="B821" s="8" t="s">
        <v>836</v>
      </c>
      <c r="C821" s="41" t="s">
        <v>37</v>
      </c>
      <c r="D821" s="1" t="s">
        <v>38</v>
      </c>
      <c r="E821" s="26" t="s">
        <v>39</v>
      </c>
      <c r="F821" s="27">
        <v>0.94339622641509424</v>
      </c>
      <c r="G821" s="33">
        <v>0.5</v>
      </c>
      <c r="H821" s="26" t="s">
        <v>40</v>
      </c>
      <c r="I821" s="26" t="s">
        <v>41</v>
      </c>
      <c r="J821" s="26" t="s">
        <v>42</v>
      </c>
      <c r="K821" s="27">
        <v>2.3255813953488373</v>
      </c>
      <c r="L821" s="27">
        <v>0.5</v>
      </c>
      <c r="M821" s="70"/>
      <c r="N821" s="26"/>
      <c r="O821" s="26"/>
      <c r="P821" s="27"/>
      <c r="Q821" s="36"/>
      <c r="R821" s="26" t="s">
        <v>43</v>
      </c>
      <c r="S821" s="26" t="s">
        <v>38</v>
      </c>
      <c r="T821" s="26" t="s">
        <v>39</v>
      </c>
      <c r="U821" s="27">
        <v>0.84745762711864414</v>
      </c>
      <c r="V821" s="33">
        <v>1</v>
      </c>
      <c r="AG821" s="31">
        <v>0</v>
      </c>
      <c r="AH821" s="1" t="s">
        <v>44</v>
      </c>
    </row>
    <row r="822" spans="1:35">
      <c r="A822" s="15" t="s">
        <v>885</v>
      </c>
      <c r="B822" s="8" t="s">
        <v>836</v>
      </c>
      <c r="C822" s="41" t="s">
        <v>37</v>
      </c>
      <c r="D822" s="1" t="s">
        <v>38</v>
      </c>
      <c r="E822" s="26" t="s">
        <v>39</v>
      </c>
      <c r="F822" s="27">
        <v>0.94339622641509424</v>
      </c>
      <c r="G822" s="33">
        <v>0.5</v>
      </c>
      <c r="H822" s="26" t="s">
        <v>40</v>
      </c>
      <c r="I822" s="26" t="s">
        <v>41</v>
      </c>
      <c r="J822" s="26" t="s">
        <v>42</v>
      </c>
      <c r="K822" s="27">
        <v>2.3255813953488373</v>
      </c>
      <c r="L822" s="27">
        <v>0.5</v>
      </c>
      <c r="M822" s="70"/>
      <c r="N822" s="26"/>
      <c r="O822" s="26"/>
      <c r="P822" s="27"/>
      <c r="Q822" s="36"/>
      <c r="R822" s="26" t="s">
        <v>43</v>
      </c>
      <c r="S822" s="26" t="s">
        <v>38</v>
      </c>
      <c r="T822" s="26" t="s">
        <v>39</v>
      </c>
      <c r="U822" s="27">
        <v>0.84745762711864414</v>
      </c>
      <c r="V822" s="33">
        <v>1</v>
      </c>
      <c r="AG822" s="31">
        <v>0</v>
      </c>
      <c r="AH822" s="1" t="s">
        <v>44</v>
      </c>
    </row>
    <row r="823" spans="1:35">
      <c r="A823" s="15" t="s">
        <v>886</v>
      </c>
      <c r="B823" s="8" t="s">
        <v>836</v>
      </c>
      <c r="C823" s="41" t="s">
        <v>37</v>
      </c>
      <c r="D823" s="1" t="s">
        <v>38</v>
      </c>
      <c r="E823" s="26" t="s">
        <v>39</v>
      </c>
      <c r="F823" s="27">
        <v>0.94339622641509424</v>
      </c>
      <c r="G823" s="33">
        <v>0.5</v>
      </c>
      <c r="H823" s="26" t="s">
        <v>40</v>
      </c>
      <c r="I823" s="26" t="s">
        <v>41</v>
      </c>
      <c r="J823" s="26" t="s">
        <v>42</v>
      </c>
      <c r="K823" s="27">
        <v>2.3255813953488373</v>
      </c>
      <c r="L823" s="27">
        <v>0.5</v>
      </c>
      <c r="M823" s="70"/>
      <c r="N823" s="26"/>
      <c r="O823" s="26"/>
      <c r="P823" s="27"/>
      <c r="Q823" s="36"/>
      <c r="R823" s="26" t="s">
        <v>43</v>
      </c>
      <c r="S823" s="26" t="s">
        <v>38</v>
      </c>
      <c r="T823" s="26" t="s">
        <v>39</v>
      </c>
      <c r="U823" s="27">
        <v>0.84745762711864414</v>
      </c>
      <c r="V823" s="33">
        <v>1</v>
      </c>
      <c r="AG823" s="31">
        <v>0</v>
      </c>
      <c r="AH823" s="1" t="s">
        <v>44</v>
      </c>
    </row>
    <row r="824" spans="1:35">
      <c r="A824" s="15" t="s">
        <v>887</v>
      </c>
      <c r="B824" s="8" t="s">
        <v>836</v>
      </c>
      <c r="C824" s="41" t="s">
        <v>37</v>
      </c>
      <c r="D824" s="1" t="s">
        <v>38</v>
      </c>
      <c r="E824" s="26" t="s">
        <v>39</v>
      </c>
      <c r="F824" s="27">
        <v>0.94339622641509424</v>
      </c>
      <c r="G824" s="33">
        <v>0.5</v>
      </c>
      <c r="H824" s="26" t="s">
        <v>40</v>
      </c>
      <c r="I824" s="26" t="s">
        <v>41</v>
      </c>
      <c r="J824" s="26" t="s">
        <v>42</v>
      </c>
      <c r="K824" s="27">
        <v>2.3255813953488373</v>
      </c>
      <c r="L824" s="27">
        <v>0.5</v>
      </c>
      <c r="M824" s="70"/>
      <c r="N824" s="26"/>
      <c r="O824" s="26"/>
      <c r="P824" s="27"/>
      <c r="Q824" s="36"/>
      <c r="R824" s="26" t="s">
        <v>43</v>
      </c>
      <c r="S824" s="26" t="s">
        <v>38</v>
      </c>
      <c r="T824" s="26" t="s">
        <v>39</v>
      </c>
      <c r="U824" s="27">
        <v>0.84745762711864414</v>
      </c>
      <c r="V824" s="33">
        <v>1</v>
      </c>
      <c r="AG824" s="31">
        <v>0</v>
      </c>
      <c r="AH824" s="1" t="s">
        <v>44</v>
      </c>
    </row>
    <row r="825" spans="1:35">
      <c r="A825" s="15" t="s">
        <v>888</v>
      </c>
      <c r="B825" s="8" t="s">
        <v>836</v>
      </c>
      <c r="C825" s="41" t="s">
        <v>37</v>
      </c>
      <c r="D825" s="1" t="s">
        <v>38</v>
      </c>
      <c r="E825" s="26" t="s">
        <v>39</v>
      </c>
      <c r="F825" s="27">
        <v>0.94339622641509424</v>
      </c>
      <c r="G825" s="33">
        <v>0.5</v>
      </c>
      <c r="H825" s="26" t="s">
        <v>40</v>
      </c>
      <c r="I825" s="26" t="s">
        <v>41</v>
      </c>
      <c r="J825" s="26" t="s">
        <v>42</v>
      </c>
      <c r="K825" s="27">
        <v>2.3255813953488373</v>
      </c>
      <c r="L825" s="27">
        <v>0.5</v>
      </c>
      <c r="M825" s="70"/>
      <c r="N825" s="26"/>
      <c r="O825" s="26"/>
      <c r="P825" s="27"/>
      <c r="Q825" s="36"/>
      <c r="R825" s="26" t="s">
        <v>43</v>
      </c>
      <c r="S825" s="26" t="s">
        <v>38</v>
      </c>
      <c r="T825" s="26" t="s">
        <v>39</v>
      </c>
      <c r="U825" s="27">
        <v>0.84745762711864414</v>
      </c>
      <c r="V825" s="33">
        <v>1</v>
      </c>
      <c r="AG825" s="31">
        <v>0</v>
      </c>
      <c r="AH825" s="1" t="s">
        <v>44</v>
      </c>
    </row>
    <row r="826" spans="1:35">
      <c r="A826" s="15" t="s">
        <v>889</v>
      </c>
      <c r="B826" s="8" t="s">
        <v>836</v>
      </c>
      <c r="C826" s="41" t="s">
        <v>37</v>
      </c>
      <c r="D826" s="1" t="s">
        <v>38</v>
      </c>
      <c r="E826" s="26" t="s">
        <v>39</v>
      </c>
      <c r="F826" s="27">
        <v>0.94339622641509424</v>
      </c>
      <c r="G826" s="33">
        <v>0.5</v>
      </c>
      <c r="H826" s="26" t="s">
        <v>40</v>
      </c>
      <c r="I826" s="26" t="s">
        <v>41</v>
      </c>
      <c r="J826" s="26" t="s">
        <v>42</v>
      </c>
      <c r="K826" s="27">
        <v>2.3255813953488373</v>
      </c>
      <c r="L826" s="27">
        <v>0.5</v>
      </c>
      <c r="M826" s="70"/>
      <c r="N826" s="26"/>
      <c r="O826" s="26"/>
      <c r="P826" s="27"/>
      <c r="Q826" s="36"/>
      <c r="R826" s="26" t="s">
        <v>43</v>
      </c>
      <c r="S826" s="26" t="s">
        <v>38</v>
      </c>
      <c r="T826" s="26" t="s">
        <v>39</v>
      </c>
      <c r="U826" s="27">
        <v>0.84745762711864414</v>
      </c>
      <c r="V826" s="33">
        <v>1</v>
      </c>
      <c r="AG826" s="31">
        <v>0</v>
      </c>
      <c r="AH826" s="1" t="s">
        <v>44</v>
      </c>
    </row>
    <row r="827" spans="1:35">
      <c r="A827" s="15" t="s">
        <v>890</v>
      </c>
      <c r="B827" s="8" t="s">
        <v>836</v>
      </c>
      <c r="C827" s="41" t="s">
        <v>37</v>
      </c>
      <c r="D827" s="1" t="s">
        <v>38</v>
      </c>
      <c r="E827" s="26" t="s">
        <v>39</v>
      </c>
      <c r="F827" s="27">
        <v>0.94339622641509424</v>
      </c>
      <c r="G827" s="33">
        <v>0.5</v>
      </c>
      <c r="H827" s="26" t="s">
        <v>40</v>
      </c>
      <c r="I827" s="26" t="s">
        <v>41</v>
      </c>
      <c r="J827" s="26" t="s">
        <v>42</v>
      </c>
      <c r="K827" s="27">
        <v>2.3255813953488373</v>
      </c>
      <c r="L827" s="27">
        <v>0.5</v>
      </c>
      <c r="M827" s="70"/>
      <c r="N827" s="26"/>
      <c r="O827" s="26"/>
      <c r="P827" s="27"/>
      <c r="Q827" s="36"/>
      <c r="R827" s="26" t="s">
        <v>43</v>
      </c>
      <c r="S827" s="26" t="s">
        <v>38</v>
      </c>
      <c r="T827" s="26" t="s">
        <v>39</v>
      </c>
      <c r="U827" s="27">
        <v>0.84745762711864414</v>
      </c>
      <c r="V827" s="33">
        <v>1</v>
      </c>
      <c r="AG827" s="31">
        <v>0</v>
      </c>
      <c r="AH827" s="1" t="s">
        <v>44</v>
      </c>
    </row>
    <row r="828" spans="1:35">
      <c r="A828" s="16" t="s">
        <v>891</v>
      </c>
      <c r="B828" s="8" t="s">
        <v>836</v>
      </c>
      <c r="C828" s="58" t="s">
        <v>37</v>
      </c>
      <c r="D828" s="59" t="s">
        <v>38</v>
      </c>
      <c r="E828" s="60" t="s">
        <v>39</v>
      </c>
      <c r="F828" s="61">
        <v>0.94339622641509424</v>
      </c>
      <c r="G828" s="62">
        <v>0.5</v>
      </c>
      <c r="H828" s="60" t="s">
        <v>40</v>
      </c>
      <c r="I828" s="60" t="s">
        <v>41</v>
      </c>
      <c r="J828" s="60" t="s">
        <v>42</v>
      </c>
      <c r="K828" s="61">
        <v>2.3255813953488373</v>
      </c>
      <c r="L828" s="61">
        <v>0.5</v>
      </c>
      <c r="M828" s="71"/>
      <c r="N828" s="60"/>
      <c r="O828" s="60"/>
      <c r="P828" s="61"/>
      <c r="Q828" s="66"/>
      <c r="R828" s="60" t="s">
        <v>43</v>
      </c>
      <c r="S828" s="60" t="s">
        <v>38</v>
      </c>
      <c r="T828" s="60" t="s">
        <v>39</v>
      </c>
      <c r="U828" s="61">
        <v>0.84745762711864414</v>
      </c>
      <c r="V828" s="62">
        <v>1</v>
      </c>
      <c r="W828" s="63"/>
      <c r="X828" s="63"/>
      <c r="Y828" s="63"/>
      <c r="Z828" s="93"/>
      <c r="AA828" s="63"/>
      <c r="AB828" s="75"/>
      <c r="AC828" s="63"/>
      <c r="AD828" s="63"/>
      <c r="AE828" s="63"/>
      <c r="AF828" s="64"/>
      <c r="AG828" s="93">
        <v>0</v>
      </c>
      <c r="AH828" s="59" t="s">
        <v>44</v>
      </c>
      <c r="AI828" s="65"/>
    </row>
    <row r="829" spans="1:35" s="6" customFormat="1">
      <c r="A829" s="15" t="s">
        <v>892</v>
      </c>
      <c r="B829" s="9" t="s">
        <v>893</v>
      </c>
      <c r="C829" s="45" t="s">
        <v>160</v>
      </c>
      <c r="D829" s="46" t="s">
        <v>38</v>
      </c>
      <c r="E829" s="47" t="s">
        <v>39</v>
      </c>
      <c r="F829" s="48">
        <v>0.81300813008130079</v>
      </c>
      <c r="G829" s="49">
        <v>1</v>
      </c>
      <c r="H829" s="47"/>
      <c r="I829" s="47"/>
      <c r="J829" s="47"/>
      <c r="K829" s="48"/>
      <c r="L829" s="48"/>
      <c r="M829" s="72"/>
      <c r="N829" s="47"/>
      <c r="O829" s="47"/>
      <c r="P829" s="48"/>
      <c r="Q829" s="50"/>
      <c r="R829" s="54" t="s">
        <v>161</v>
      </c>
      <c r="S829" s="47" t="s">
        <v>38</v>
      </c>
      <c r="T829" s="47" t="s">
        <v>39</v>
      </c>
      <c r="U829" s="48">
        <v>0.83333333333333337</v>
      </c>
      <c r="V829" s="49">
        <v>1</v>
      </c>
      <c r="W829" s="28"/>
      <c r="X829" s="28"/>
      <c r="Y829" s="28"/>
      <c r="Z829" s="29"/>
      <c r="AA829" s="28"/>
      <c r="AB829" s="74"/>
      <c r="AC829" s="28"/>
      <c r="AD829" s="28"/>
      <c r="AE829" s="28"/>
      <c r="AF829" s="39"/>
      <c r="AG829" s="29">
        <v>0</v>
      </c>
      <c r="AH829" s="6" t="s">
        <v>44</v>
      </c>
    </row>
    <row r="830" spans="1:35">
      <c r="A830" s="15" t="s">
        <v>894</v>
      </c>
      <c r="B830" s="8" t="s">
        <v>893</v>
      </c>
      <c r="C830" s="41" t="s">
        <v>160</v>
      </c>
      <c r="D830" s="1" t="s">
        <v>38</v>
      </c>
      <c r="E830" s="26" t="s">
        <v>39</v>
      </c>
      <c r="F830" s="27">
        <v>0.81300813008130079</v>
      </c>
      <c r="G830" s="33">
        <v>1</v>
      </c>
      <c r="R830" s="55" t="s">
        <v>161</v>
      </c>
      <c r="S830" s="26" t="s">
        <v>38</v>
      </c>
      <c r="T830" s="26" t="s">
        <v>39</v>
      </c>
      <c r="U830" s="27">
        <v>0.83333333333333337</v>
      </c>
      <c r="V830" s="33">
        <v>1</v>
      </c>
      <c r="AG830" s="31">
        <v>0</v>
      </c>
      <c r="AH830" t="s">
        <v>44</v>
      </c>
    </row>
    <row r="831" spans="1:35">
      <c r="A831" s="15" t="s">
        <v>895</v>
      </c>
      <c r="B831" s="8" t="s">
        <v>893</v>
      </c>
      <c r="C831" s="41" t="s">
        <v>160</v>
      </c>
      <c r="D831" s="1" t="s">
        <v>38</v>
      </c>
      <c r="E831" s="26" t="s">
        <v>39</v>
      </c>
      <c r="F831" s="27">
        <v>0.81300813008130079</v>
      </c>
      <c r="G831" s="33">
        <v>1</v>
      </c>
      <c r="R831" s="55" t="s">
        <v>161</v>
      </c>
      <c r="S831" s="26" t="s">
        <v>38</v>
      </c>
      <c r="T831" s="26" t="s">
        <v>39</v>
      </c>
      <c r="U831" s="27">
        <v>0.83333333333333337</v>
      </c>
      <c r="V831" s="33">
        <v>1</v>
      </c>
      <c r="AG831" s="31">
        <v>0</v>
      </c>
      <c r="AH831" t="s">
        <v>44</v>
      </c>
    </row>
    <row r="832" spans="1:35">
      <c r="A832" s="15" t="s">
        <v>896</v>
      </c>
      <c r="B832" s="8" t="s">
        <v>893</v>
      </c>
      <c r="C832" s="41" t="s">
        <v>160</v>
      </c>
      <c r="D832" s="1" t="s">
        <v>38</v>
      </c>
      <c r="E832" s="26" t="s">
        <v>39</v>
      </c>
      <c r="F832" s="27">
        <v>0.81300813008130079</v>
      </c>
      <c r="G832" s="33">
        <v>1</v>
      </c>
      <c r="R832" s="55" t="s">
        <v>161</v>
      </c>
      <c r="S832" s="26" t="s">
        <v>38</v>
      </c>
      <c r="T832" s="26" t="s">
        <v>39</v>
      </c>
      <c r="U832" s="27">
        <v>0.83333333333333337</v>
      </c>
      <c r="V832" s="33">
        <v>1</v>
      </c>
      <c r="AG832" s="31">
        <v>0</v>
      </c>
      <c r="AH832" t="s">
        <v>44</v>
      </c>
    </row>
    <row r="833" spans="1:34">
      <c r="A833" s="15" t="s">
        <v>897</v>
      </c>
      <c r="B833" s="8" t="s">
        <v>893</v>
      </c>
      <c r="C833" s="41" t="s">
        <v>160</v>
      </c>
      <c r="D833" s="1" t="s">
        <v>38</v>
      </c>
      <c r="E833" s="26" t="s">
        <v>39</v>
      </c>
      <c r="F833" s="27">
        <v>0.81300813008130079</v>
      </c>
      <c r="G833" s="33">
        <v>1</v>
      </c>
      <c r="R833" s="55" t="s">
        <v>161</v>
      </c>
      <c r="S833" s="26" t="s">
        <v>38</v>
      </c>
      <c r="T833" s="26" t="s">
        <v>39</v>
      </c>
      <c r="U833" s="27">
        <v>0.83333333333333337</v>
      </c>
      <c r="V833" s="33">
        <v>1</v>
      </c>
      <c r="AG833" s="31">
        <v>0</v>
      </c>
      <c r="AH833" t="s">
        <v>44</v>
      </c>
    </row>
    <row r="834" spans="1:34">
      <c r="A834" s="15" t="s">
        <v>898</v>
      </c>
      <c r="B834" s="8" t="s">
        <v>893</v>
      </c>
      <c r="C834" s="41" t="s">
        <v>160</v>
      </c>
      <c r="D834" s="1" t="s">
        <v>38</v>
      </c>
      <c r="E834" s="26" t="s">
        <v>39</v>
      </c>
      <c r="F834" s="27">
        <v>0.81300813008130079</v>
      </c>
      <c r="G834" s="33">
        <v>1</v>
      </c>
      <c r="R834" s="55" t="s">
        <v>161</v>
      </c>
      <c r="S834" s="26" t="s">
        <v>38</v>
      </c>
      <c r="T834" s="26" t="s">
        <v>39</v>
      </c>
      <c r="U834" s="27">
        <v>0.83333333333333337</v>
      </c>
      <c r="V834" s="33">
        <v>1</v>
      </c>
      <c r="AG834" s="31">
        <v>0</v>
      </c>
      <c r="AH834" t="s">
        <v>44</v>
      </c>
    </row>
    <row r="835" spans="1:34">
      <c r="A835" s="15" t="s">
        <v>899</v>
      </c>
      <c r="B835" s="8" t="s">
        <v>893</v>
      </c>
      <c r="C835" s="41" t="s">
        <v>160</v>
      </c>
      <c r="D835" s="1" t="s">
        <v>38</v>
      </c>
      <c r="E835" s="26" t="s">
        <v>39</v>
      </c>
      <c r="F835" s="27">
        <v>0.81300813008130079</v>
      </c>
      <c r="G835" s="33">
        <v>1</v>
      </c>
      <c r="R835" s="55" t="s">
        <v>161</v>
      </c>
      <c r="S835" s="26" t="s">
        <v>38</v>
      </c>
      <c r="T835" s="26" t="s">
        <v>39</v>
      </c>
      <c r="U835" s="27">
        <v>0.83333333333333337</v>
      </c>
      <c r="V835" s="33">
        <v>1</v>
      </c>
      <c r="AG835" s="31">
        <v>0</v>
      </c>
      <c r="AH835" t="s">
        <v>44</v>
      </c>
    </row>
    <row r="836" spans="1:34">
      <c r="A836" s="15" t="s">
        <v>900</v>
      </c>
      <c r="B836" s="8" t="s">
        <v>893</v>
      </c>
      <c r="C836" s="41" t="s">
        <v>160</v>
      </c>
      <c r="D836" s="1" t="s">
        <v>38</v>
      </c>
      <c r="E836" s="26" t="s">
        <v>39</v>
      </c>
      <c r="F836" s="27">
        <v>0.81300813008130079</v>
      </c>
      <c r="G836" s="33">
        <v>1</v>
      </c>
      <c r="R836" s="55" t="s">
        <v>161</v>
      </c>
      <c r="S836" s="26" t="s">
        <v>38</v>
      </c>
      <c r="T836" s="26" t="s">
        <v>39</v>
      </c>
      <c r="U836" s="27">
        <v>0.83333333333333337</v>
      </c>
      <c r="V836" s="33">
        <v>1</v>
      </c>
      <c r="AG836" s="31">
        <v>0</v>
      </c>
      <c r="AH836" t="s">
        <v>44</v>
      </c>
    </row>
    <row r="837" spans="1:34">
      <c r="A837" s="15" t="s">
        <v>901</v>
      </c>
      <c r="B837" s="8" t="s">
        <v>893</v>
      </c>
      <c r="C837" s="41" t="s">
        <v>160</v>
      </c>
      <c r="D837" s="1" t="s">
        <v>38</v>
      </c>
      <c r="E837" s="26" t="s">
        <v>39</v>
      </c>
      <c r="F837" s="27">
        <v>0.81300813008130079</v>
      </c>
      <c r="G837" s="33">
        <v>1</v>
      </c>
      <c r="R837" s="55" t="s">
        <v>161</v>
      </c>
      <c r="S837" s="26" t="s">
        <v>38</v>
      </c>
      <c r="T837" s="26" t="s">
        <v>39</v>
      </c>
      <c r="U837" s="27">
        <v>0.83333333333333337</v>
      </c>
      <c r="V837" s="33">
        <v>1</v>
      </c>
      <c r="AG837" s="31">
        <v>0</v>
      </c>
      <c r="AH837" t="s">
        <v>44</v>
      </c>
    </row>
    <row r="838" spans="1:34">
      <c r="A838" s="15" t="s">
        <v>902</v>
      </c>
      <c r="B838" s="8" t="s">
        <v>893</v>
      </c>
      <c r="C838" s="41" t="s">
        <v>160</v>
      </c>
      <c r="D838" s="1" t="s">
        <v>38</v>
      </c>
      <c r="E838" s="26" t="s">
        <v>39</v>
      </c>
      <c r="F838" s="27">
        <v>0.81300813008130079</v>
      </c>
      <c r="G838" s="33">
        <v>1</v>
      </c>
      <c r="R838" s="55" t="s">
        <v>161</v>
      </c>
      <c r="S838" s="26" t="s">
        <v>38</v>
      </c>
      <c r="T838" s="26" t="s">
        <v>39</v>
      </c>
      <c r="U838" s="27">
        <v>0.83333333333333337</v>
      </c>
      <c r="V838" s="33">
        <v>1</v>
      </c>
      <c r="AG838" s="31">
        <v>0</v>
      </c>
      <c r="AH838" t="s">
        <v>44</v>
      </c>
    </row>
    <row r="839" spans="1:34">
      <c r="A839" s="15" t="s">
        <v>903</v>
      </c>
      <c r="B839" s="8" t="s">
        <v>893</v>
      </c>
      <c r="C839" s="41" t="s">
        <v>160</v>
      </c>
      <c r="D839" s="1" t="s">
        <v>38</v>
      </c>
      <c r="E839" s="26" t="s">
        <v>39</v>
      </c>
      <c r="F839" s="27">
        <v>0.81300813008130079</v>
      </c>
      <c r="G839" s="33">
        <v>1</v>
      </c>
      <c r="R839" s="55" t="s">
        <v>161</v>
      </c>
      <c r="S839" s="26" t="s">
        <v>38</v>
      </c>
      <c r="T839" s="26" t="s">
        <v>39</v>
      </c>
      <c r="U839" s="27">
        <v>0.83333333333333337</v>
      </c>
      <c r="V839" s="33">
        <v>1</v>
      </c>
      <c r="AG839" s="31">
        <v>0</v>
      </c>
      <c r="AH839" t="s">
        <v>44</v>
      </c>
    </row>
    <row r="840" spans="1:34">
      <c r="A840" s="15" t="s">
        <v>904</v>
      </c>
      <c r="B840" s="8" t="s">
        <v>893</v>
      </c>
      <c r="C840" s="41" t="s">
        <v>160</v>
      </c>
      <c r="D840" s="1" t="s">
        <v>38</v>
      </c>
      <c r="E840" s="26" t="s">
        <v>39</v>
      </c>
      <c r="F840" s="27">
        <v>0.81300813008130079</v>
      </c>
      <c r="G840" s="33">
        <v>1</v>
      </c>
      <c r="R840" s="55" t="s">
        <v>161</v>
      </c>
      <c r="S840" s="26" t="s">
        <v>38</v>
      </c>
      <c r="T840" s="26" t="s">
        <v>39</v>
      </c>
      <c r="U840" s="27">
        <v>0.83333333333333337</v>
      </c>
      <c r="V840" s="33">
        <v>1</v>
      </c>
      <c r="AG840" s="31">
        <v>0</v>
      </c>
      <c r="AH840" t="s">
        <v>44</v>
      </c>
    </row>
    <row r="841" spans="1:34">
      <c r="A841" s="15" t="s">
        <v>905</v>
      </c>
      <c r="B841" s="8" t="s">
        <v>893</v>
      </c>
      <c r="C841" s="41" t="s">
        <v>160</v>
      </c>
      <c r="D841" s="1" t="s">
        <v>38</v>
      </c>
      <c r="E841" s="26" t="s">
        <v>39</v>
      </c>
      <c r="F841" s="27">
        <v>0.81300813008130079</v>
      </c>
      <c r="G841" s="33">
        <v>1</v>
      </c>
      <c r="R841" s="55" t="s">
        <v>161</v>
      </c>
      <c r="S841" s="26" t="s">
        <v>38</v>
      </c>
      <c r="T841" s="26" t="s">
        <v>39</v>
      </c>
      <c r="U841" s="27">
        <v>0.83333333333333337</v>
      </c>
      <c r="V841" s="33">
        <v>1</v>
      </c>
      <c r="AG841" s="31">
        <v>0</v>
      </c>
      <c r="AH841" t="s">
        <v>44</v>
      </c>
    </row>
    <row r="842" spans="1:34">
      <c r="A842" s="15" t="s">
        <v>906</v>
      </c>
      <c r="B842" s="8" t="s">
        <v>893</v>
      </c>
      <c r="C842" s="41" t="s">
        <v>160</v>
      </c>
      <c r="D842" s="1" t="s">
        <v>38</v>
      </c>
      <c r="E842" s="26" t="s">
        <v>39</v>
      </c>
      <c r="F842" s="27">
        <v>0.81300813008130079</v>
      </c>
      <c r="G842" s="33">
        <v>1</v>
      </c>
      <c r="R842" s="55" t="s">
        <v>161</v>
      </c>
      <c r="S842" s="26" t="s">
        <v>38</v>
      </c>
      <c r="T842" s="26" t="s">
        <v>39</v>
      </c>
      <c r="U842" s="27">
        <v>0.83333333333333337</v>
      </c>
      <c r="V842" s="33">
        <v>1</v>
      </c>
      <c r="AG842" s="31">
        <v>0</v>
      </c>
      <c r="AH842" t="s">
        <v>44</v>
      </c>
    </row>
    <row r="843" spans="1:34">
      <c r="A843" s="15" t="s">
        <v>907</v>
      </c>
      <c r="B843" s="8" t="s">
        <v>893</v>
      </c>
      <c r="C843" s="41" t="s">
        <v>160</v>
      </c>
      <c r="D843" s="1" t="s">
        <v>38</v>
      </c>
      <c r="E843" s="26" t="s">
        <v>39</v>
      </c>
      <c r="F843" s="27">
        <v>0.81300813008130079</v>
      </c>
      <c r="G843" s="33">
        <v>1</v>
      </c>
      <c r="R843" s="55" t="s">
        <v>161</v>
      </c>
      <c r="S843" s="26" t="s">
        <v>38</v>
      </c>
      <c r="T843" s="26" t="s">
        <v>39</v>
      </c>
      <c r="U843" s="27">
        <v>0.83333333333333337</v>
      </c>
      <c r="V843" s="33">
        <v>1</v>
      </c>
      <c r="AG843" s="31">
        <v>0</v>
      </c>
      <c r="AH843" t="s">
        <v>44</v>
      </c>
    </row>
    <row r="844" spans="1:34">
      <c r="A844" s="15" t="s">
        <v>908</v>
      </c>
      <c r="B844" s="8" t="s">
        <v>893</v>
      </c>
      <c r="C844" s="41" t="s">
        <v>160</v>
      </c>
      <c r="D844" s="1" t="s">
        <v>38</v>
      </c>
      <c r="E844" s="26" t="s">
        <v>39</v>
      </c>
      <c r="F844" s="27">
        <v>0.81300813008130079</v>
      </c>
      <c r="G844" s="33">
        <v>1</v>
      </c>
      <c r="R844" s="55" t="s">
        <v>161</v>
      </c>
      <c r="S844" s="26" t="s">
        <v>38</v>
      </c>
      <c r="T844" s="26" t="s">
        <v>39</v>
      </c>
      <c r="U844" s="27">
        <v>0.83333333333333337</v>
      </c>
      <c r="V844" s="33">
        <v>1</v>
      </c>
      <c r="AG844" s="31">
        <v>0</v>
      </c>
      <c r="AH844" t="s">
        <v>44</v>
      </c>
    </row>
    <row r="845" spans="1:34">
      <c r="A845" s="15" t="s">
        <v>909</v>
      </c>
      <c r="B845" s="8" t="s">
        <v>893</v>
      </c>
      <c r="C845" s="41" t="s">
        <v>160</v>
      </c>
      <c r="D845" s="1" t="s">
        <v>38</v>
      </c>
      <c r="E845" s="26" t="s">
        <v>39</v>
      </c>
      <c r="F845" s="27">
        <v>0.81300813008130079</v>
      </c>
      <c r="G845" s="33">
        <v>1</v>
      </c>
      <c r="R845" s="55" t="s">
        <v>161</v>
      </c>
      <c r="S845" s="26" t="s">
        <v>38</v>
      </c>
      <c r="T845" s="26" t="s">
        <v>39</v>
      </c>
      <c r="U845" s="27">
        <v>0.83333333333333337</v>
      </c>
      <c r="V845" s="33">
        <v>1</v>
      </c>
      <c r="AG845" s="31">
        <v>0</v>
      </c>
      <c r="AH845" t="s">
        <v>44</v>
      </c>
    </row>
    <row r="846" spans="1:34">
      <c r="A846" s="15" t="s">
        <v>910</v>
      </c>
      <c r="B846" s="8" t="s">
        <v>893</v>
      </c>
      <c r="C846" s="41" t="s">
        <v>160</v>
      </c>
      <c r="D846" s="1" t="s">
        <v>38</v>
      </c>
      <c r="E846" s="26" t="s">
        <v>39</v>
      </c>
      <c r="F846" s="27">
        <v>0.81300813008130079</v>
      </c>
      <c r="G846" s="33">
        <v>1</v>
      </c>
      <c r="R846" s="55" t="s">
        <v>161</v>
      </c>
      <c r="S846" s="26" t="s">
        <v>38</v>
      </c>
      <c r="T846" s="26" t="s">
        <v>39</v>
      </c>
      <c r="U846" s="27">
        <v>0.83333333333333337</v>
      </c>
      <c r="V846" s="33">
        <v>1</v>
      </c>
      <c r="AG846" s="31">
        <v>0</v>
      </c>
      <c r="AH846" t="s">
        <v>44</v>
      </c>
    </row>
    <row r="847" spans="1:34">
      <c r="A847" s="15" t="s">
        <v>911</v>
      </c>
      <c r="B847" s="8" t="s">
        <v>893</v>
      </c>
      <c r="C847" s="41" t="s">
        <v>160</v>
      </c>
      <c r="D847" s="1" t="s">
        <v>38</v>
      </c>
      <c r="E847" s="26" t="s">
        <v>39</v>
      </c>
      <c r="F847" s="27">
        <v>0.81300813008130079</v>
      </c>
      <c r="G847" s="33">
        <v>1</v>
      </c>
      <c r="R847" s="55" t="s">
        <v>161</v>
      </c>
      <c r="S847" s="26" t="s">
        <v>38</v>
      </c>
      <c r="T847" s="26" t="s">
        <v>39</v>
      </c>
      <c r="U847" s="27">
        <v>0.83333333333333337</v>
      </c>
      <c r="V847" s="33">
        <v>1</v>
      </c>
      <c r="AG847" s="31">
        <v>0</v>
      </c>
      <c r="AH847" t="s">
        <v>44</v>
      </c>
    </row>
    <row r="848" spans="1:34">
      <c r="A848" s="15" t="s">
        <v>912</v>
      </c>
      <c r="B848" s="8" t="s">
        <v>893</v>
      </c>
      <c r="C848" s="41" t="s">
        <v>160</v>
      </c>
      <c r="D848" s="1" t="s">
        <v>38</v>
      </c>
      <c r="E848" s="26" t="s">
        <v>39</v>
      </c>
      <c r="F848" s="27">
        <v>0.81300813008130079</v>
      </c>
      <c r="G848" s="33">
        <v>1</v>
      </c>
      <c r="R848" s="55" t="s">
        <v>161</v>
      </c>
      <c r="S848" s="26" t="s">
        <v>38</v>
      </c>
      <c r="T848" s="26" t="s">
        <v>39</v>
      </c>
      <c r="U848" s="27">
        <v>0.83333333333333337</v>
      </c>
      <c r="V848" s="33">
        <v>1</v>
      </c>
      <c r="AG848" s="31">
        <v>0</v>
      </c>
      <c r="AH848" t="s">
        <v>44</v>
      </c>
    </row>
    <row r="849" spans="1:34">
      <c r="A849" s="15" t="s">
        <v>913</v>
      </c>
      <c r="B849" s="8" t="s">
        <v>893</v>
      </c>
      <c r="C849" s="41" t="s">
        <v>160</v>
      </c>
      <c r="D849" s="1" t="s">
        <v>38</v>
      </c>
      <c r="E849" s="26" t="s">
        <v>39</v>
      </c>
      <c r="F849" s="27">
        <v>0.81300813008130079</v>
      </c>
      <c r="G849" s="33">
        <v>1</v>
      </c>
      <c r="R849" s="55" t="s">
        <v>161</v>
      </c>
      <c r="S849" s="26" t="s">
        <v>38</v>
      </c>
      <c r="T849" s="26" t="s">
        <v>39</v>
      </c>
      <c r="U849" s="27">
        <v>0.83333333333333337</v>
      </c>
      <c r="V849" s="33">
        <v>1</v>
      </c>
      <c r="AG849" s="31">
        <v>0</v>
      </c>
      <c r="AH849" t="s">
        <v>44</v>
      </c>
    </row>
    <row r="850" spans="1:34">
      <c r="A850" s="15" t="s">
        <v>914</v>
      </c>
      <c r="B850" s="8" t="s">
        <v>893</v>
      </c>
      <c r="C850" s="41" t="s">
        <v>160</v>
      </c>
      <c r="D850" s="1" t="s">
        <v>38</v>
      </c>
      <c r="E850" s="26" t="s">
        <v>39</v>
      </c>
      <c r="F850" s="27">
        <v>0.81300813008130079</v>
      </c>
      <c r="G850" s="33">
        <v>1</v>
      </c>
      <c r="R850" s="55" t="s">
        <v>161</v>
      </c>
      <c r="S850" s="26" t="s">
        <v>38</v>
      </c>
      <c r="T850" s="26" t="s">
        <v>39</v>
      </c>
      <c r="U850" s="27">
        <v>0.83333333333333337</v>
      </c>
      <c r="V850" s="33">
        <v>1</v>
      </c>
      <c r="AG850" s="31">
        <v>1</v>
      </c>
      <c r="AH850" t="s">
        <v>73</v>
      </c>
    </row>
    <row r="851" spans="1:34">
      <c r="A851" s="15" t="s">
        <v>915</v>
      </c>
      <c r="B851" s="8" t="s">
        <v>893</v>
      </c>
      <c r="C851" s="41" t="s">
        <v>160</v>
      </c>
      <c r="D851" s="1" t="s">
        <v>38</v>
      </c>
      <c r="E851" s="26" t="s">
        <v>39</v>
      </c>
      <c r="F851" s="27">
        <v>0.81300813008130079</v>
      </c>
      <c r="G851" s="33">
        <v>1</v>
      </c>
      <c r="R851" s="55" t="s">
        <v>161</v>
      </c>
      <c r="S851" s="26" t="s">
        <v>38</v>
      </c>
      <c r="T851" s="26" t="s">
        <v>39</v>
      </c>
      <c r="U851" s="27">
        <v>0.83333333333333337</v>
      </c>
      <c r="V851" s="33">
        <v>1</v>
      </c>
      <c r="AG851" s="31">
        <v>1</v>
      </c>
      <c r="AH851" t="s">
        <v>73</v>
      </c>
    </row>
    <row r="852" spans="1:34">
      <c r="A852" s="15" t="s">
        <v>916</v>
      </c>
      <c r="B852" s="8" t="s">
        <v>893</v>
      </c>
      <c r="C852" s="41" t="s">
        <v>160</v>
      </c>
      <c r="D852" s="1" t="s">
        <v>38</v>
      </c>
      <c r="E852" s="26" t="s">
        <v>39</v>
      </c>
      <c r="F852" s="27">
        <v>0.81300813008130079</v>
      </c>
      <c r="G852" s="33">
        <v>1</v>
      </c>
      <c r="R852" s="55" t="s">
        <v>161</v>
      </c>
      <c r="S852" s="26" t="s">
        <v>38</v>
      </c>
      <c r="T852" s="26" t="s">
        <v>39</v>
      </c>
      <c r="U852" s="27">
        <v>0.83333333333333337</v>
      </c>
      <c r="V852" s="33">
        <v>1</v>
      </c>
      <c r="AG852" s="31">
        <v>1</v>
      </c>
      <c r="AH852" t="s">
        <v>73</v>
      </c>
    </row>
    <row r="853" spans="1:34">
      <c r="A853" s="15" t="s">
        <v>917</v>
      </c>
      <c r="B853" s="8" t="s">
        <v>893</v>
      </c>
      <c r="C853" s="41" t="s">
        <v>160</v>
      </c>
      <c r="D853" s="1" t="s">
        <v>38</v>
      </c>
      <c r="E853" s="26" t="s">
        <v>39</v>
      </c>
      <c r="F853" s="27">
        <v>0.81300813008130079</v>
      </c>
      <c r="G853" s="33">
        <v>1</v>
      </c>
      <c r="R853" s="55" t="s">
        <v>161</v>
      </c>
      <c r="S853" s="26" t="s">
        <v>38</v>
      </c>
      <c r="T853" s="26" t="s">
        <v>39</v>
      </c>
      <c r="U853" s="27">
        <v>0.83333333333333337</v>
      </c>
      <c r="V853" s="33">
        <v>1</v>
      </c>
      <c r="AG853" s="31">
        <v>1</v>
      </c>
      <c r="AH853" t="s">
        <v>73</v>
      </c>
    </row>
    <row r="854" spans="1:34">
      <c r="A854" s="15" t="s">
        <v>918</v>
      </c>
      <c r="B854" s="8" t="s">
        <v>893</v>
      </c>
      <c r="C854" s="41" t="s">
        <v>160</v>
      </c>
      <c r="D854" s="1" t="s">
        <v>38</v>
      </c>
      <c r="E854" s="26" t="s">
        <v>39</v>
      </c>
      <c r="F854" s="27">
        <v>0.81300813008130079</v>
      </c>
      <c r="G854" s="33">
        <v>1</v>
      </c>
      <c r="R854" s="55" t="s">
        <v>161</v>
      </c>
      <c r="S854" s="26" t="s">
        <v>38</v>
      </c>
      <c r="T854" s="26" t="s">
        <v>39</v>
      </c>
      <c r="U854" s="27">
        <v>0.83333333333333337</v>
      </c>
      <c r="V854" s="33">
        <v>1</v>
      </c>
      <c r="AG854" s="31">
        <v>1</v>
      </c>
      <c r="AH854" t="s">
        <v>73</v>
      </c>
    </row>
    <row r="855" spans="1:34">
      <c r="A855" s="15" t="s">
        <v>919</v>
      </c>
      <c r="B855" s="8" t="s">
        <v>893</v>
      </c>
      <c r="C855" s="41" t="s">
        <v>160</v>
      </c>
      <c r="D855" s="1" t="s">
        <v>38</v>
      </c>
      <c r="E855" s="26" t="s">
        <v>39</v>
      </c>
      <c r="F855" s="27">
        <v>0.81300813008130079</v>
      </c>
      <c r="G855" s="33">
        <v>1</v>
      </c>
      <c r="R855" s="55" t="s">
        <v>161</v>
      </c>
      <c r="S855" s="26" t="s">
        <v>38</v>
      </c>
      <c r="T855" s="26" t="s">
        <v>39</v>
      </c>
      <c r="U855" s="27">
        <v>0.83333333333333337</v>
      </c>
      <c r="V855" s="33">
        <v>1</v>
      </c>
      <c r="AG855" s="31">
        <v>1</v>
      </c>
      <c r="AH855" t="s">
        <v>73</v>
      </c>
    </row>
    <row r="856" spans="1:34">
      <c r="A856" s="15" t="s">
        <v>920</v>
      </c>
      <c r="B856" s="8" t="s">
        <v>893</v>
      </c>
      <c r="C856" s="41" t="s">
        <v>160</v>
      </c>
      <c r="D856" s="1" t="s">
        <v>38</v>
      </c>
      <c r="E856" s="26" t="s">
        <v>39</v>
      </c>
      <c r="F856" s="27">
        <v>0.81300813008130079</v>
      </c>
      <c r="G856" s="33">
        <v>1</v>
      </c>
      <c r="R856" s="55" t="s">
        <v>161</v>
      </c>
      <c r="S856" s="26" t="s">
        <v>38</v>
      </c>
      <c r="T856" s="26" t="s">
        <v>39</v>
      </c>
      <c r="U856" s="27">
        <v>0.83333333333333337</v>
      </c>
      <c r="V856" s="33">
        <v>1</v>
      </c>
      <c r="AG856" s="31">
        <v>1</v>
      </c>
      <c r="AH856" t="s">
        <v>73</v>
      </c>
    </row>
    <row r="857" spans="1:34">
      <c r="A857" s="15" t="s">
        <v>921</v>
      </c>
      <c r="B857" s="8" t="s">
        <v>893</v>
      </c>
      <c r="C857" s="41" t="s">
        <v>160</v>
      </c>
      <c r="D857" s="1" t="s">
        <v>38</v>
      </c>
      <c r="E857" s="26" t="s">
        <v>39</v>
      </c>
      <c r="F857" s="27">
        <v>0.81300813008130079</v>
      </c>
      <c r="G857" s="33">
        <v>1</v>
      </c>
      <c r="R857" s="55" t="s">
        <v>161</v>
      </c>
      <c r="S857" s="26" t="s">
        <v>38</v>
      </c>
      <c r="T857" s="26" t="s">
        <v>39</v>
      </c>
      <c r="U857" s="27">
        <v>0.83333333333333337</v>
      </c>
      <c r="V857" s="33">
        <v>1</v>
      </c>
      <c r="AG857" s="31">
        <v>0</v>
      </c>
      <c r="AH857" t="s">
        <v>44</v>
      </c>
    </row>
    <row r="858" spans="1:34">
      <c r="A858" s="15" t="s">
        <v>922</v>
      </c>
      <c r="B858" s="8" t="s">
        <v>893</v>
      </c>
      <c r="C858" s="41" t="s">
        <v>160</v>
      </c>
      <c r="D858" s="1" t="s">
        <v>38</v>
      </c>
      <c r="E858" s="26" t="s">
        <v>39</v>
      </c>
      <c r="F858" s="27">
        <v>0.81300813008130079</v>
      </c>
      <c r="G858" s="33">
        <v>1</v>
      </c>
      <c r="R858" s="55" t="s">
        <v>161</v>
      </c>
      <c r="S858" s="26" t="s">
        <v>38</v>
      </c>
      <c r="T858" s="26" t="s">
        <v>39</v>
      </c>
      <c r="U858" s="27">
        <v>0.83333333333333337</v>
      </c>
      <c r="V858" s="33">
        <v>1</v>
      </c>
      <c r="AG858" s="31">
        <v>0</v>
      </c>
      <c r="AH858" t="s">
        <v>44</v>
      </c>
    </row>
    <row r="859" spans="1:34">
      <c r="A859" s="15" t="s">
        <v>923</v>
      </c>
      <c r="B859" s="8" t="s">
        <v>893</v>
      </c>
      <c r="C859" s="41" t="s">
        <v>160</v>
      </c>
      <c r="D859" s="1" t="s">
        <v>38</v>
      </c>
      <c r="E859" s="26" t="s">
        <v>39</v>
      </c>
      <c r="F859" s="27">
        <v>0.81300813008130079</v>
      </c>
      <c r="G859" s="33">
        <v>1</v>
      </c>
      <c r="R859" s="55" t="s">
        <v>161</v>
      </c>
      <c r="S859" s="26" t="s">
        <v>38</v>
      </c>
      <c r="T859" s="26" t="s">
        <v>39</v>
      </c>
      <c r="U859" s="27">
        <v>0.83333333333333337</v>
      </c>
      <c r="V859" s="33">
        <v>1</v>
      </c>
      <c r="AG859" s="31">
        <v>0</v>
      </c>
      <c r="AH859" t="s">
        <v>44</v>
      </c>
    </row>
    <row r="860" spans="1:34">
      <c r="A860" s="15" t="s">
        <v>924</v>
      </c>
      <c r="B860" s="8" t="s">
        <v>893</v>
      </c>
      <c r="C860" s="41" t="s">
        <v>160</v>
      </c>
      <c r="D860" s="1" t="s">
        <v>38</v>
      </c>
      <c r="E860" s="26" t="s">
        <v>39</v>
      </c>
      <c r="F860" s="27">
        <v>0.81300813008130079</v>
      </c>
      <c r="G860" s="33">
        <v>1</v>
      </c>
      <c r="R860" s="55" t="s">
        <v>161</v>
      </c>
      <c r="S860" s="26" t="s">
        <v>38</v>
      </c>
      <c r="T860" s="26" t="s">
        <v>39</v>
      </c>
      <c r="U860" s="27">
        <v>0.83333333333333337</v>
      </c>
      <c r="V860" s="33">
        <v>1</v>
      </c>
      <c r="AG860" s="31">
        <v>0</v>
      </c>
      <c r="AH860" t="s">
        <v>44</v>
      </c>
    </row>
    <row r="861" spans="1:34">
      <c r="A861" s="15" t="s">
        <v>925</v>
      </c>
      <c r="B861" s="8" t="s">
        <v>893</v>
      </c>
      <c r="C861" s="41" t="s">
        <v>160</v>
      </c>
      <c r="D861" s="1" t="s">
        <v>38</v>
      </c>
      <c r="E861" s="26" t="s">
        <v>39</v>
      </c>
      <c r="F861" s="27">
        <v>0.81300813008130079</v>
      </c>
      <c r="G861" s="33">
        <v>1</v>
      </c>
      <c r="R861" s="55" t="s">
        <v>161</v>
      </c>
      <c r="S861" s="26" t="s">
        <v>38</v>
      </c>
      <c r="T861" s="26" t="s">
        <v>39</v>
      </c>
      <c r="U861" s="27">
        <v>0.83333333333333337</v>
      </c>
      <c r="V861" s="33">
        <v>1</v>
      </c>
      <c r="AG861" s="31">
        <v>0</v>
      </c>
      <c r="AH861" t="s">
        <v>44</v>
      </c>
    </row>
    <row r="862" spans="1:34">
      <c r="A862" s="15" t="s">
        <v>926</v>
      </c>
      <c r="B862" s="8" t="s">
        <v>893</v>
      </c>
      <c r="C862" s="41" t="s">
        <v>160</v>
      </c>
      <c r="D862" s="1" t="s">
        <v>38</v>
      </c>
      <c r="E862" s="26" t="s">
        <v>39</v>
      </c>
      <c r="F862" s="27">
        <v>0.81300813008130079</v>
      </c>
      <c r="G862" s="33">
        <v>1</v>
      </c>
      <c r="R862" s="55" t="s">
        <v>161</v>
      </c>
      <c r="S862" s="26" t="s">
        <v>38</v>
      </c>
      <c r="T862" s="26" t="s">
        <v>39</v>
      </c>
      <c r="U862" s="27">
        <v>0.83333333333333337</v>
      </c>
      <c r="V862" s="33">
        <v>1</v>
      </c>
      <c r="AG862" s="31">
        <v>0</v>
      </c>
      <c r="AH862" t="s">
        <v>44</v>
      </c>
    </row>
    <row r="863" spans="1:34">
      <c r="A863" s="15" t="s">
        <v>927</v>
      </c>
      <c r="B863" s="8" t="s">
        <v>893</v>
      </c>
      <c r="C863" s="41" t="s">
        <v>160</v>
      </c>
      <c r="D863" s="1" t="s">
        <v>38</v>
      </c>
      <c r="E863" s="26" t="s">
        <v>39</v>
      </c>
      <c r="F863" s="27">
        <v>0.81300813008130079</v>
      </c>
      <c r="G863" s="33">
        <v>1</v>
      </c>
      <c r="R863" s="55" t="s">
        <v>161</v>
      </c>
      <c r="S863" s="26" t="s">
        <v>38</v>
      </c>
      <c r="T863" s="26" t="s">
        <v>39</v>
      </c>
      <c r="U863" s="27">
        <v>0.83333333333333337</v>
      </c>
      <c r="V863" s="33">
        <v>1</v>
      </c>
      <c r="AG863" s="31">
        <v>0</v>
      </c>
      <c r="AH863" t="s">
        <v>44</v>
      </c>
    </row>
    <row r="864" spans="1:34">
      <c r="A864" s="15" t="s">
        <v>928</v>
      </c>
      <c r="B864" s="8" t="s">
        <v>893</v>
      </c>
      <c r="C864" s="41" t="s">
        <v>160</v>
      </c>
      <c r="D864" s="1" t="s">
        <v>38</v>
      </c>
      <c r="E864" s="26" t="s">
        <v>39</v>
      </c>
      <c r="F864" s="27">
        <v>0.81300813008130079</v>
      </c>
      <c r="G864" s="33">
        <v>1</v>
      </c>
      <c r="R864" s="55" t="s">
        <v>161</v>
      </c>
      <c r="S864" s="26" t="s">
        <v>38</v>
      </c>
      <c r="T864" s="26" t="s">
        <v>39</v>
      </c>
      <c r="U864" s="27">
        <v>0.83333333333333337</v>
      </c>
      <c r="V864" s="33">
        <v>1</v>
      </c>
      <c r="AG864" s="31">
        <v>0</v>
      </c>
      <c r="AH864" t="s">
        <v>44</v>
      </c>
    </row>
    <row r="865" spans="1:34">
      <c r="A865" s="15" t="s">
        <v>929</v>
      </c>
      <c r="B865" s="8" t="s">
        <v>893</v>
      </c>
      <c r="C865" s="41" t="s">
        <v>160</v>
      </c>
      <c r="D865" s="1" t="s">
        <v>38</v>
      </c>
      <c r="E865" s="26" t="s">
        <v>39</v>
      </c>
      <c r="F865" s="27">
        <v>0.81300813008130079</v>
      </c>
      <c r="G865" s="33">
        <v>1</v>
      </c>
      <c r="R865" s="55" t="s">
        <v>161</v>
      </c>
      <c r="S865" s="26" t="s">
        <v>38</v>
      </c>
      <c r="T865" s="26" t="s">
        <v>39</v>
      </c>
      <c r="U865" s="27">
        <v>0.83333333333333337</v>
      </c>
      <c r="V865" s="33">
        <v>1</v>
      </c>
      <c r="AG865" s="31">
        <v>0</v>
      </c>
      <c r="AH865" t="s">
        <v>44</v>
      </c>
    </row>
    <row r="866" spans="1:34">
      <c r="A866" s="15" t="s">
        <v>930</v>
      </c>
      <c r="B866" s="8" t="s">
        <v>893</v>
      </c>
      <c r="C866" s="41" t="s">
        <v>160</v>
      </c>
      <c r="D866" s="1" t="s">
        <v>38</v>
      </c>
      <c r="E866" s="26" t="s">
        <v>39</v>
      </c>
      <c r="F866" s="27">
        <v>0.81300813008130079</v>
      </c>
      <c r="G866" s="33">
        <v>1</v>
      </c>
      <c r="R866" s="55" t="s">
        <v>161</v>
      </c>
      <c r="S866" s="26" t="s">
        <v>38</v>
      </c>
      <c r="T866" s="26" t="s">
        <v>39</v>
      </c>
      <c r="U866" s="27">
        <v>0.83333333333333337</v>
      </c>
      <c r="V866" s="33">
        <v>1</v>
      </c>
      <c r="AG866" s="31">
        <v>0</v>
      </c>
      <c r="AH866" t="s">
        <v>44</v>
      </c>
    </row>
    <row r="867" spans="1:34">
      <c r="A867" s="15" t="s">
        <v>931</v>
      </c>
      <c r="B867" s="8" t="s">
        <v>893</v>
      </c>
      <c r="C867" s="41" t="s">
        <v>160</v>
      </c>
      <c r="D867" s="1" t="s">
        <v>38</v>
      </c>
      <c r="E867" s="26" t="s">
        <v>39</v>
      </c>
      <c r="F867" s="27">
        <v>0.81300813008130079</v>
      </c>
      <c r="G867" s="33">
        <v>1</v>
      </c>
      <c r="R867" s="55" t="s">
        <v>161</v>
      </c>
      <c r="S867" s="26" t="s">
        <v>38</v>
      </c>
      <c r="T867" s="26" t="s">
        <v>39</v>
      </c>
      <c r="U867" s="27">
        <v>0.83333333333333337</v>
      </c>
      <c r="V867" s="33">
        <v>1</v>
      </c>
      <c r="AG867" s="31">
        <v>0</v>
      </c>
      <c r="AH867" t="s">
        <v>44</v>
      </c>
    </row>
    <row r="868" spans="1:34">
      <c r="A868" s="15" t="s">
        <v>932</v>
      </c>
      <c r="B868" s="8" t="s">
        <v>893</v>
      </c>
      <c r="C868" s="41" t="s">
        <v>160</v>
      </c>
      <c r="D868" s="1" t="s">
        <v>38</v>
      </c>
      <c r="E868" s="26" t="s">
        <v>39</v>
      </c>
      <c r="F868" s="27">
        <v>0.81300813008130079</v>
      </c>
      <c r="G868" s="33">
        <v>1</v>
      </c>
      <c r="R868" s="55" t="s">
        <v>161</v>
      </c>
      <c r="S868" s="26" t="s">
        <v>38</v>
      </c>
      <c r="T868" s="26" t="s">
        <v>39</v>
      </c>
      <c r="U868" s="27">
        <v>0.83333333333333337</v>
      </c>
      <c r="V868" s="33">
        <v>1</v>
      </c>
      <c r="AG868" s="31">
        <v>0</v>
      </c>
      <c r="AH868" t="s">
        <v>44</v>
      </c>
    </row>
    <row r="869" spans="1:34">
      <c r="A869" s="15" t="s">
        <v>933</v>
      </c>
      <c r="B869" s="8" t="s">
        <v>893</v>
      </c>
      <c r="C869" s="41" t="s">
        <v>160</v>
      </c>
      <c r="D869" s="1" t="s">
        <v>38</v>
      </c>
      <c r="E869" s="26" t="s">
        <v>39</v>
      </c>
      <c r="F869" s="27">
        <v>0.81300813008130079</v>
      </c>
      <c r="G869" s="33">
        <v>1</v>
      </c>
      <c r="R869" s="55" t="s">
        <v>161</v>
      </c>
      <c r="S869" s="26" t="s">
        <v>38</v>
      </c>
      <c r="T869" s="26" t="s">
        <v>39</v>
      </c>
      <c r="U869" s="27">
        <v>0.83333333333333337</v>
      </c>
      <c r="V869" s="33">
        <v>1</v>
      </c>
      <c r="AG869" s="31">
        <v>0</v>
      </c>
      <c r="AH869" t="s">
        <v>44</v>
      </c>
    </row>
    <row r="870" spans="1:34">
      <c r="A870" s="15" t="s">
        <v>934</v>
      </c>
      <c r="B870" s="8" t="s">
        <v>893</v>
      </c>
      <c r="C870" s="41" t="s">
        <v>160</v>
      </c>
      <c r="D870" s="1" t="s">
        <v>38</v>
      </c>
      <c r="E870" s="26" t="s">
        <v>39</v>
      </c>
      <c r="F870" s="27">
        <v>0.81300813008130079</v>
      </c>
      <c r="G870" s="33">
        <v>1</v>
      </c>
      <c r="R870" s="55" t="s">
        <v>161</v>
      </c>
      <c r="S870" s="26" t="s">
        <v>38</v>
      </c>
      <c r="T870" s="26" t="s">
        <v>39</v>
      </c>
      <c r="U870" s="27">
        <v>0.83333333333333337</v>
      </c>
      <c r="V870" s="33">
        <v>1</v>
      </c>
      <c r="AG870" s="31">
        <v>0</v>
      </c>
      <c r="AH870" t="s">
        <v>44</v>
      </c>
    </row>
    <row r="871" spans="1:34">
      <c r="A871" s="15" t="s">
        <v>935</v>
      </c>
      <c r="B871" s="8" t="s">
        <v>893</v>
      </c>
      <c r="C871" s="41" t="s">
        <v>160</v>
      </c>
      <c r="D871" s="1" t="s">
        <v>38</v>
      </c>
      <c r="E871" s="26" t="s">
        <v>39</v>
      </c>
      <c r="F871" s="27">
        <v>0.81300813008130079</v>
      </c>
      <c r="G871" s="33">
        <v>1</v>
      </c>
      <c r="R871" s="55" t="s">
        <v>161</v>
      </c>
      <c r="S871" s="26" t="s">
        <v>38</v>
      </c>
      <c r="T871" s="26" t="s">
        <v>39</v>
      </c>
      <c r="U871" s="27">
        <v>0.83333333333333337</v>
      </c>
      <c r="V871" s="33">
        <v>1</v>
      </c>
      <c r="AG871" s="31">
        <v>0</v>
      </c>
      <c r="AH871" t="s">
        <v>44</v>
      </c>
    </row>
    <row r="872" spans="1:34">
      <c r="A872" s="15" t="s">
        <v>936</v>
      </c>
      <c r="B872" s="8" t="s">
        <v>893</v>
      </c>
      <c r="C872" s="41" t="s">
        <v>160</v>
      </c>
      <c r="D872" s="1" t="s">
        <v>38</v>
      </c>
      <c r="E872" s="26" t="s">
        <v>39</v>
      </c>
      <c r="F872" s="27">
        <v>0.81300813008130079</v>
      </c>
      <c r="G872" s="33">
        <v>1</v>
      </c>
      <c r="R872" s="55" t="s">
        <v>161</v>
      </c>
      <c r="S872" s="26" t="s">
        <v>38</v>
      </c>
      <c r="T872" s="26" t="s">
        <v>39</v>
      </c>
      <c r="U872" s="27">
        <v>0.83333333333333337</v>
      </c>
      <c r="V872" s="33">
        <v>1</v>
      </c>
      <c r="AG872" s="31">
        <v>0</v>
      </c>
      <c r="AH872" t="s">
        <v>44</v>
      </c>
    </row>
    <row r="873" spans="1:34">
      <c r="A873" s="15" t="s">
        <v>937</v>
      </c>
      <c r="B873" s="8" t="s">
        <v>893</v>
      </c>
      <c r="C873" s="41" t="s">
        <v>160</v>
      </c>
      <c r="D873" s="1" t="s">
        <v>38</v>
      </c>
      <c r="E873" s="26" t="s">
        <v>39</v>
      </c>
      <c r="F873" s="27">
        <v>0.81300813008130079</v>
      </c>
      <c r="G873" s="33">
        <v>1</v>
      </c>
      <c r="R873" s="55" t="s">
        <v>161</v>
      </c>
      <c r="S873" s="26" t="s">
        <v>38</v>
      </c>
      <c r="T873" s="26" t="s">
        <v>39</v>
      </c>
      <c r="U873" s="27">
        <v>0.83333333333333337</v>
      </c>
      <c r="V873" s="33">
        <v>1</v>
      </c>
      <c r="AG873" s="31">
        <v>0</v>
      </c>
      <c r="AH873" t="s">
        <v>44</v>
      </c>
    </row>
    <row r="874" spans="1:34">
      <c r="A874" s="15" t="s">
        <v>938</v>
      </c>
      <c r="B874" s="8" t="s">
        <v>893</v>
      </c>
      <c r="C874" s="41" t="s">
        <v>160</v>
      </c>
      <c r="D874" s="1" t="s">
        <v>38</v>
      </c>
      <c r="E874" s="26" t="s">
        <v>39</v>
      </c>
      <c r="F874" s="27">
        <v>0.81300813008130079</v>
      </c>
      <c r="G874" s="33">
        <v>1</v>
      </c>
      <c r="R874" s="55" t="s">
        <v>161</v>
      </c>
      <c r="S874" s="26" t="s">
        <v>38</v>
      </c>
      <c r="T874" s="26" t="s">
        <v>39</v>
      </c>
      <c r="U874" s="27">
        <v>0.83333333333333337</v>
      </c>
      <c r="V874" s="33">
        <v>1</v>
      </c>
      <c r="AG874" s="31">
        <v>0</v>
      </c>
      <c r="AH874" t="s">
        <v>44</v>
      </c>
    </row>
    <row r="875" spans="1:34">
      <c r="A875" s="15" t="s">
        <v>939</v>
      </c>
      <c r="B875" s="8" t="s">
        <v>893</v>
      </c>
      <c r="C875" s="41" t="s">
        <v>160</v>
      </c>
      <c r="D875" s="1" t="s">
        <v>38</v>
      </c>
      <c r="E875" s="26" t="s">
        <v>39</v>
      </c>
      <c r="F875" s="27">
        <v>0.81300813008130079</v>
      </c>
      <c r="G875" s="33">
        <v>1</v>
      </c>
      <c r="R875" s="55" t="s">
        <v>161</v>
      </c>
      <c r="S875" s="26" t="s">
        <v>38</v>
      </c>
      <c r="T875" s="26" t="s">
        <v>39</v>
      </c>
      <c r="U875" s="27">
        <v>0.83333333333333337</v>
      </c>
      <c r="V875" s="33">
        <v>1</v>
      </c>
      <c r="AG875" s="31">
        <v>0</v>
      </c>
      <c r="AH875" t="s">
        <v>44</v>
      </c>
    </row>
    <row r="876" spans="1:34">
      <c r="A876" s="15" t="s">
        <v>940</v>
      </c>
      <c r="B876" s="8" t="s">
        <v>893</v>
      </c>
      <c r="C876" s="41" t="s">
        <v>160</v>
      </c>
      <c r="D876" s="1" t="s">
        <v>38</v>
      </c>
      <c r="E876" s="26" t="s">
        <v>39</v>
      </c>
      <c r="F876" s="27">
        <v>0.81300813008130079</v>
      </c>
      <c r="G876" s="33">
        <v>1</v>
      </c>
      <c r="R876" s="55" t="s">
        <v>161</v>
      </c>
      <c r="S876" s="26" t="s">
        <v>38</v>
      </c>
      <c r="T876" s="26" t="s">
        <v>39</v>
      </c>
      <c r="U876" s="27">
        <v>0.83333333333333337</v>
      </c>
      <c r="V876" s="33">
        <v>1</v>
      </c>
      <c r="AG876" s="31">
        <v>0</v>
      </c>
      <c r="AH876" t="s">
        <v>44</v>
      </c>
    </row>
    <row r="877" spans="1:34">
      <c r="A877" s="16" t="s">
        <v>941</v>
      </c>
      <c r="B877" s="8" t="s">
        <v>893</v>
      </c>
      <c r="C877" s="41" t="s">
        <v>160</v>
      </c>
      <c r="D877" s="1" t="s">
        <v>38</v>
      </c>
      <c r="E877" s="26" t="s">
        <v>39</v>
      </c>
      <c r="F877" s="27">
        <v>0.81300813008130079</v>
      </c>
      <c r="G877" s="33">
        <v>1</v>
      </c>
      <c r="R877" s="55" t="s">
        <v>161</v>
      </c>
      <c r="S877" s="26" t="s">
        <v>38</v>
      </c>
      <c r="T877" s="26" t="s">
        <v>39</v>
      </c>
      <c r="U877" s="27">
        <v>0.83333333333333337</v>
      </c>
      <c r="V877" s="33">
        <v>1</v>
      </c>
      <c r="AG877" s="31">
        <v>0</v>
      </c>
      <c r="AH877" t="s">
        <v>44</v>
      </c>
    </row>
    <row r="878" spans="1:34" s="6" customFormat="1">
      <c r="A878" s="15" t="s">
        <v>942</v>
      </c>
      <c r="B878" s="9" t="s">
        <v>943</v>
      </c>
      <c r="C878" s="45" t="s">
        <v>160</v>
      </c>
      <c r="D878" s="46" t="s">
        <v>38</v>
      </c>
      <c r="E878" s="47" t="s">
        <v>39</v>
      </c>
      <c r="F878" s="48">
        <v>0.81300813008130079</v>
      </c>
      <c r="G878" s="49">
        <v>1</v>
      </c>
      <c r="H878" s="47"/>
      <c r="I878" s="47"/>
      <c r="J878" s="47"/>
      <c r="K878" s="48"/>
      <c r="L878" s="48"/>
      <c r="M878" s="72"/>
      <c r="N878" s="47"/>
      <c r="O878" s="47"/>
      <c r="P878" s="48"/>
      <c r="Q878" s="50"/>
      <c r="R878" s="54" t="s">
        <v>161</v>
      </c>
      <c r="S878" s="47" t="s">
        <v>38</v>
      </c>
      <c r="T878" s="47" t="s">
        <v>39</v>
      </c>
      <c r="U878" s="48">
        <v>0.83333333333333337</v>
      </c>
      <c r="V878" s="49">
        <v>1</v>
      </c>
      <c r="W878" s="28"/>
      <c r="X878" s="28"/>
      <c r="Y878" s="28"/>
      <c r="Z878" s="29"/>
      <c r="AA878" s="28"/>
      <c r="AB878" s="74"/>
      <c r="AC878" s="28"/>
      <c r="AD878" s="28"/>
      <c r="AE878" s="28"/>
      <c r="AF878" s="39"/>
      <c r="AG878" s="29">
        <v>0</v>
      </c>
      <c r="AH878" s="6" t="s">
        <v>44</v>
      </c>
    </row>
    <row r="879" spans="1:34">
      <c r="A879" s="15" t="s">
        <v>944</v>
      </c>
      <c r="B879" s="8" t="s">
        <v>943</v>
      </c>
      <c r="C879" s="41" t="s">
        <v>160</v>
      </c>
      <c r="D879" s="1" t="s">
        <v>38</v>
      </c>
      <c r="E879" s="26" t="s">
        <v>39</v>
      </c>
      <c r="F879" s="27">
        <v>0.81300813008130079</v>
      </c>
      <c r="G879" s="33">
        <v>1</v>
      </c>
      <c r="R879" s="55" t="s">
        <v>161</v>
      </c>
      <c r="S879" s="26" t="s">
        <v>38</v>
      </c>
      <c r="T879" s="26" t="s">
        <v>39</v>
      </c>
      <c r="U879" s="27">
        <v>0.83333333333333337</v>
      </c>
      <c r="V879" s="33">
        <v>1</v>
      </c>
      <c r="AG879" s="31">
        <v>0</v>
      </c>
      <c r="AH879" t="s">
        <v>44</v>
      </c>
    </row>
    <row r="880" spans="1:34">
      <c r="A880" s="15" t="s">
        <v>945</v>
      </c>
      <c r="B880" s="8" t="s">
        <v>943</v>
      </c>
      <c r="C880" s="41" t="s">
        <v>160</v>
      </c>
      <c r="D880" s="1" t="s">
        <v>38</v>
      </c>
      <c r="E880" s="26" t="s">
        <v>39</v>
      </c>
      <c r="F880" s="27">
        <v>0.81300813008130079</v>
      </c>
      <c r="G880" s="33">
        <v>1</v>
      </c>
      <c r="R880" s="55" t="s">
        <v>161</v>
      </c>
      <c r="S880" s="26" t="s">
        <v>38</v>
      </c>
      <c r="T880" s="26" t="s">
        <v>39</v>
      </c>
      <c r="U880" s="27">
        <v>0.83333333333333337</v>
      </c>
      <c r="V880" s="33">
        <v>1</v>
      </c>
      <c r="AG880" s="31">
        <v>0</v>
      </c>
      <c r="AH880" t="s">
        <v>44</v>
      </c>
    </row>
    <row r="881" spans="1:34">
      <c r="A881" s="15" t="s">
        <v>946</v>
      </c>
      <c r="B881" s="8" t="s">
        <v>943</v>
      </c>
      <c r="C881" s="41" t="s">
        <v>160</v>
      </c>
      <c r="D881" s="1" t="s">
        <v>38</v>
      </c>
      <c r="E881" s="26" t="s">
        <v>39</v>
      </c>
      <c r="F881" s="27">
        <v>0.81300813008130079</v>
      </c>
      <c r="G881" s="33">
        <v>1</v>
      </c>
      <c r="R881" s="55" t="s">
        <v>161</v>
      </c>
      <c r="S881" s="26" t="s">
        <v>38</v>
      </c>
      <c r="T881" s="26" t="s">
        <v>39</v>
      </c>
      <c r="U881" s="27">
        <v>0.83333333333333337</v>
      </c>
      <c r="V881" s="33">
        <v>1</v>
      </c>
      <c r="AG881" s="31">
        <v>0</v>
      </c>
      <c r="AH881" t="s">
        <v>44</v>
      </c>
    </row>
    <row r="882" spans="1:34">
      <c r="A882" s="15" t="s">
        <v>947</v>
      </c>
      <c r="B882" s="8" t="s">
        <v>943</v>
      </c>
      <c r="C882" s="41" t="s">
        <v>160</v>
      </c>
      <c r="D882" s="1" t="s">
        <v>38</v>
      </c>
      <c r="E882" s="26" t="s">
        <v>39</v>
      </c>
      <c r="F882" s="27">
        <v>0.81300813008130079</v>
      </c>
      <c r="G882" s="33">
        <v>1</v>
      </c>
      <c r="R882" s="55" t="s">
        <v>161</v>
      </c>
      <c r="S882" s="26" t="s">
        <v>38</v>
      </c>
      <c r="T882" s="26" t="s">
        <v>39</v>
      </c>
      <c r="U882" s="27">
        <v>0.83333333333333337</v>
      </c>
      <c r="V882" s="33">
        <v>1</v>
      </c>
      <c r="AG882" s="31">
        <v>0</v>
      </c>
      <c r="AH882" t="s">
        <v>44</v>
      </c>
    </row>
    <row r="883" spans="1:34">
      <c r="A883" s="15" t="s">
        <v>948</v>
      </c>
      <c r="B883" s="8" t="s">
        <v>943</v>
      </c>
      <c r="C883" s="41" t="s">
        <v>160</v>
      </c>
      <c r="D883" s="1" t="s">
        <v>38</v>
      </c>
      <c r="E883" s="26" t="s">
        <v>39</v>
      </c>
      <c r="F883" s="27">
        <v>0.81300813008130079</v>
      </c>
      <c r="G883" s="33">
        <v>1</v>
      </c>
      <c r="R883" s="55" t="s">
        <v>161</v>
      </c>
      <c r="S883" s="26" t="s">
        <v>38</v>
      </c>
      <c r="T883" s="26" t="s">
        <v>39</v>
      </c>
      <c r="U883" s="27">
        <v>0.83333333333333337</v>
      </c>
      <c r="V883" s="33">
        <v>1</v>
      </c>
      <c r="AG883" s="31">
        <v>0</v>
      </c>
      <c r="AH883" t="s">
        <v>44</v>
      </c>
    </row>
    <row r="884" spans="1:34">
      <c r="A884" s="15" t="s">
        <v>949</v>
      </c>
      <c r="B884" s="8" t="s">
        <v>943</v>
      </c>
      <c r="C884" s="41" t="s">
        <v>160</v>
      </c>
      <c r="D884" s="1" t="s">
        <v>38</v>
      </c>
      <c r="E884" s="26" t="s">
        <v>39</v>
      </c>
      <c r="F884" s="27">
        <v>0.81300813008130079</v>
      </c>
      <c r="G884" s="33">
        <v>1</v>
      </c>
      <c r="R884" s="55" t="s">
        <v>161</v>
      </c>
      <c r="S884" s="26" t="s">
        <v>38</v>
      </c>
      <c r="T884" s="26" t="s">
        <v>39</v>
      </c>
      <c r="U884" s="27">
        <v>0.83333333333333337</v>
      </c>
      <c r="V884" s="33">
        <v>1</v>
      </c>
      <c r="AG884" s="31">
        <v>0</v>
      </c>
      <c r="AH884" t="s">
        <v>44</v>
      </c>
    </row>
    <row r="885" spans="1:34">
      <c r="A885" s="15" t="s">
        <v>950</v>
      </c>
      <c r="B885" s="8" t="s">
        <v>943</v>
      </c>
      <c r="C885" s="41" t="s">
        <v>160</v>
      </c>
      <c r="D885" s="1" t="s">
        <v>38</v>
      </c>
      <c r="E885" s="26" t="s">
        <v>39</v>
      </c>
      <c r="F885" s="27">
        <v>0.81300813008130079</v>
      </c>
      <c r="G885" s="33">
        <v>1</v>
      </c>
      <c r="R885" s="55" t="s">
        <v>161</v>
      </c>
      <c r="S885" s="26" t="s">
        <v>38</v>
      </c>
      <c r="T885" s="26" t="s">
        <v>39</v>
      </c>
      <c r="U885" s="27">
        <v>0.83333333333333337</v>
      </c>
      <c r="V885" s="33">
        <v>1</v>
      </c>
      <c r="AG885" s="31">
        <v>0</v>
      </c>
      <c r="AH885" t="s">
        <v>44</v>
      </c>
    </row>
    <row r="886" spans="1:34">
      <c r="A886" s="15" t="s">
        <v>951</v>
      </c>
      <c r="B886" s="8" t="s">
        <v>943</v>
      </c>
      <c r="C886" s="41" t="s">
        <v>160</v>
      </c>
      <c r="D886" s="1" t="s">
        <v>38</v>
      </c>
      <c r="E886" s="26" t="s">
        <v>39</v>
      </c>
      <c r="F886" s="27">
        <v>0.81300813008130079</v>
      </c>
      <c r="G886" s="33">
        <v>1</v>
      </c>
      <c r="R886" s="55" t="s">
        <v>161</v>
      </c>
      <c r="S886" s="26" t="s">
        <v>38</v>
      </c>
      <c r="T886" s="26" t="s">
        <v>39</v>
      </c>
      <c r="U886" s="27">
        <v>0.83333333333333337</v>
      </c>
      <c r="V886" s="33">
        <v>1</v>
      </c>
      <c r="AG886" s="31">
        <v>0</v>
      </c>
      <c r="AH886" t="s">
        <v>44</v>
      </c>
    </row>
    <row r="887" spans="1:34">
      <c r="A887" s="15" t="s">
        <v>952</v>
      </c>
      <c r="B887" s="8" t="s">
        <v>943</v>
      </c>
      <c r="C887" s="41" t="s">
        <v>160</v>
      </c>
      <c r="D887" s="1" t="s">
        <v>38</v>
      </c>
      <c r="E887" s="26" t="s">
        <v>39</v>
      </c>
      <c r="F887" s="27">
        <v>0.81300813008130079</v>
      </c>
      <c r="G887" s="33">
        <v>1</v>
      </c>
      <c r="R887" s="55" t="s">
        <v>161</v>
      </c>
      <c r="S887" s="26" t="s">
        <v>38</v>
      </c>
      <c r="T887" s="26" t="s">
        <v>39</v>
      </c>
      <c r="U887" s="27">
        <v>0.83333333333333337</v>
      </c>
      <c r="V887" s="33">
        <v>1</v>
      </c>
      <c r="AG887" s="31">
        <v>0</v>
      </c>
      <c r="AH887" t="s">
        <v>44</v>
      </c>
    </row>
    <row r="888" spans="1:34">
      <c r="A888" s="15" t="s">
        <v>953</v>
      </c>
      <c r="B888" s="8" t="s">
        <v>943</v>
      </c>
      <c r="C888" s="41" t="s">
        <v>160</v>
      </c>
      <c r="D888" s="1" t="s">
        <v>38</v>
      </c>
      <c r="E888" s="26" t="s">
        <v>39</v>
      </c>
      <c r="F888" s="27">
        <v>0.81300813008130079</v>
      </c>
      <c r="G888" s="33">
        <v>1</v>
      </c>
      <c r="R888" s="55" t="s">
        <v>161</v>
      </c>
      <c r="S888" s="26" t="s">
        <v>38</v>
      </c>
      <c r="T888" s="26" t="s">
        <v>39</v>
      </c>
      <c r="U888" s="27">
        <v>0.83333333333333337</v>
      </c>
      <c r="V888" s="33">
        <v>1</v>
      </c>
      <c r="AG888" s="31">
        <v>0</v>
      </c>
      <c r="AH888" t="s">
        <v>44</v>
      </c>
    </row>
    <row r="889" spans="1:34">
      <c r="A889" s="15" t="s">
        <v>954</v>
      </c>
      <c r="B889" s="8" t="s">
        <v>943</v>
      </c>
      <c r="C889" s="41" t="s">
        <v>160</v>
      </c>
      <c r="D889" s="1" t="s">
        <v>38</v>
      </c>
      <c r="E889" s="26" t="s">
        <v>39</v>
      </c>
      <c r="F889" s="27">
        <v>0.81300813008130079</v>
      </c>
      <c r="G889" s="33">
        <v>1</v>
      </c>
      <c r="R889" s="55" t="s">
        <v>161</v>
      </c>
      <c r="S889" s="26" t="s">
        <v>38</v>
      </c>
      <c r="T889" s="26" t="s">
        <v>39</v>
      </c>
      <c r="U889" s="27">
        <v>0.83333333333333337</v>
      </c>
      <c r="V889" s="33">
        <v>1</v>
      </c>
      <c r="AG889" s="31">
        <v>0</v>
      </c>
      <c r="AH889" t="s">
        <v>44</v>
      </c>
    </row>
    <row r="890" spans="1:34">
      <c r="A890" s="15" t="s">
        <v>955</v>
      </c>
      <c r="B890" s="8" t="s">
        <v>943</v>
      </c>
      <c r="C890" s="41" t="s">
        <v>160</v>
      </c>
      <c r="D890" s="1" t="s">
        <v>38</v>
      </c>
      <c r="E890" s="26" t="s">
        <v>39</v>
      </c>
      <c r="F890" s="27">
        <v>0.81300813008130079</v>
      </c>
      <c r="G890" s="33">
        <v>1</v>
      </c>
      <c r="R890" s="55" t="s">
        <v>161</v>
      </c>
      <c r="S890" s="26" t="s">
        <v>38</v>
      </c>
      <c r="T890" s="26" t="s">
        <v>39</v>
      </c>
      <c r="U890" s="27">
        <v>0.83333333333333337</v>
      </c>
      <c r="V890" s="33">
        <v>1</v>
      </c>
      <c r="AG890" s="31">
        <v>0</v>
      </c>
      <c r="AH890" t="s">
        <v>44</v>
      </c>
    </row>
    <row r="891" spans="1:34">
      <c r="A891" s="15" t="s">
        <v>956</v>
      </c>
      <c r="B891" s="8" t="s">
        <v>943</v>
      </c>
      <c r="C891" s="41" t="s">
        <v>160</v>
      </c>
      <c r="D891" s="1" t="s">
        <v>38</v>
      </c>
      <c r="E891" s="26" t="s">
        <v>39</v>
      </c>
      <c r="F891" s="27">
        <v>0.81300813008130079</v>
      </c>
      <c r="G891" s="33">
        <v>1</v>
      </c>
      <c r="R891" s="55" t="s">
        <v>161</v>
      </c>
      <c r="S891" s="26" t="s">
        <v>38</v>
      </c>
      <c r="T891" s="26" t="s">
        <v>39</v>
      </c>
      <c r="U891" s="27">
        <v>0.83333333333333337</v>
      </c>
      <c r="V891" s="33">
        <v>1</v>
      </c>
      <c r="AG891" s="31">
        <v>0</v>
      </c>
      <c r="AH891" t="s">
        <v>44</v>
      </c>
    </row>
    <row r="892" spans="1:34">
      <c r="A892" s="15" t="s">
        <v>957</v>
      </c>
      <c r="B892" s="8" t="s">
        <v>943</v>
      </c>
      <c r="C892" s="41" t="s">
        <v>160</v>
      </c>
      <c r="D892" s="1" t="s">
        <v>38</v>
      </c>
      <c r="E892" s="26" t="s">
        <v>39</v>
      </c>
      <c r="F892" s="27">
        <v>0.81300813008130079</v>
      </c>
      <c r="G892" s="33">
        <v>1</v>
      </c>
      <c r="R892" s="55" t="s">
        <v>161</v>
      </c>
      <c r="S892" s="26" t="s">
        <v>38</v>
      </c>
      <c r="T892" s="26" t="s">
        <v>39</v>
      </c>
      <c r="U892" s="27">
        <v>0.83333333333333337</v>
      </c>
      <c r="V892" s="33">
        <v>1</v>
      </c>
      <c r="AG892" s="31">
        <v>0</v>
      </c>
      <c r="AH892" t="s">
        <v>44</v>
      </c>
    </row>
    <row r="893" spans="1:34">
      <c r="A893" s="15" t="s">
        <v>958</v>
      </c>
      <c r="B893" s="8" t="s">
        <v>943</v>
      </c>
      <c r="C893" s="41" t="s">
        <v>160</v>
      </c>
      <c r="D893" s="1" t="s">
        <v>38</v>
      </c>
      <c r="E893" s="26" t="s">
        <v>39</v>
      </c>
      <c r="F893" s="27">
        <v>0.81300813008130079</v>
      </c>
      <c r="G893" s="33">
        <v>1</v>
      </c>
      <c r="R893" s="55" t="s">
        <v>161</v>
      </c>
      <c r="S893" s="26" t="s">
        <v>38</v>
      </c>
      <c r="T893" s="26" t="s">
        <v>39</v>
      </c>
      <c r="U893" s="27">
        <v>0.83333333333333337</v>
      </c>
      <c r="V893" s="33">
        <v>1</v>
      </c>
      <c r="AG893" s="31">
        <v>0</v>
      </c>
      <c r="AH893" t="s">
        <v>44</v>
      </c>
    </row>
    <row r="894" spans="1:34">
      <c r="A894" s="15" t="s">
        <v>959</v>
      </c>
      <c r="B894" s="8" t="s">
        <v>943</v>
      </c>
      <c r="C894" s="41" t="s">
        <v>160</v>
      </c>
      <c r="D894" s="1" t="s">
        <v>38</v>
      </c>
      <c r="E894" s="26" t="s">
        <v>39</v>
      </c>
      <c r="F894" s="27">
        <v>0.81300813008130079</v>
      </c>
      <c r="G894" s="33">
        <v>1</v>
      </c>
      <c r="R894" s="55" t="s">
        <v>161</v>
      </c>
      <c r="S894" s="26" t="s">
        <v>38</v>
      </c>
      <c r="T894" s="26" t="s">
        <v>39</v>
      </c>
      <c r="U894" s="27">
        <v>0.83333333333333337</v>
      </c>
      <c r="V894" s="33">
        <v>1</v>
      </c>
      <c r="AG894" s="31">
        <v>0</v>
      </c>
      <c r="AH894" t="s">
        <v>44</v>
      </c>
    </row>
    <row r="895" spans="1:34">
      <c r="A895" s="15" t="s">
        <v>960</v>
      </c>
      <c r="B895" s="8" t="s">
        <v>943</v>
      </c>
      <c r="C895" s="41" t="s">
        <v>160</v>
      </c>
      <c r="D895" s="1" t="s">
        <v>38</v>
      </c>
      <c r="E895" s="26" t="s">
        <v>39</v>
      </c>
      <c r="F895" s="27">
        <v>0.81300813008130079</v>
      </c>
      <c r="G895" s="33">
        <v>1</v>
      </c>
      <c r="R895" s="55" t="s">
        <v>161</v>
      </c>
      <c r="S895" s="26" t="s">
        <v>38</v>
      </c>
      <c r="T895" s="26" t="s">
        <v>39</v>
      </c>
      <c r="U895" s="27">
        <v>0.83333333333333337</v>
      </c>
      <c r="V895" s="33">
        <v>1</v>
      </c>
      <c r="AG895" s="31">
        <v>0</v>
      </c>
      <c r="AH895" t="s">
        <v>44</v>
      </c>
    </row>
    <row r="896" spans="1:34">
      <c r="A896" s="15" t="s">
        <v>961</v>
      </c>
      <c r="B896" s="8" t="s">
        <v>943</v>
      </c>
      <c r="C896" s="41" t="s">
        <v>160</v>
      </c>
      <c r="D896" s="1" t="s">
        <v>38</v>
      </c>
      <c r="E896" s="26" t="s">
        <v>39</v>
      </c>
      <c r="F896" s="27">
        <v>0.81300813008130079</v>
      </c>
      <c r="G896" s="33">
        <v>1</v>
      </c>
      <c r="R896" s="55" t="s">
        <v>161</v>
      </c>
      <c r="S896" s="26" t="s">
        <v>38</v>
      </c>
      <c r="T896" s="26" t="s">
        <v>39</v>
      </c>
      <c r="U896" s="27">
        <v>0.83333333333333337</v>
      </c>
      <c r="V896" s="33">
        <v>1</v>
      </c>
      <c r="AG896" s="31">
        <v>0</v>
      </c>
      <c r="AH896" t="s">
        <v>44</v>
      </c>
    </row>
    <row r="897" spans="1:34">
      <c r="A897" s="15" t="s">
        <v>962</v>
      </c>
      <c r="B897" s="8" t="s">
        <v>943</v>
      </c>
      <c r="C897" s="41" t="s">
        <v>160</v>
      </c>
      <c r="D897" s="1" t="s">
        <v>38</v>
      </c>
      <c r="E897" s="26" t="s">
        <v>39</v>
      </c>
      <c r="F897" s="27">
        <v>0.81300813008130079</v>
      </c>
      <c r="G897" s="33">
        <v>1</v>
      </c>
      <c r="R897" s="55" t="s">
        <v>161</v>
      </c>
      <c r="S897" s="26" t="s">
        <v>38</v>
      </c>
      <c r="T897" s="26" t="s">
        <v>39</v>
      </c>
      <c r="U897" s="27">
        <v>0.83333333333333337</v>
      </c>
      <c r="V897" s="33">
        <v>1</v>
      </c>
      <c r="AG897" s="31">
        <v>0</v>
      </c>
      <c r="AH897" t="s">
        <v>44</v>
      </c>
    </row>
    <row r="898" spans="1:34">
      <c r="A898" s="15" t="s">
        <v>963</v>
      </c>
      <c r="B898" s="8" t="s">
        <v>943</v>
      </c>
      <c r="C898" s="41" t="s">
        <v>160</v>
      </c>
      <c r="D898" s="1" t="s">
        <v>38</v>
      </c>
      <c r="E898" s="26" t="s">
        <v>39</v>
      </c>
      <c r="F898" s="27">
        <v>0.81300813008130079</v>
      </c>
      <c r="G898" s="33">
        <v>1</v>
      </c>
      <c r="R898" s="55" t="s">
        <v>161</v>
      </c>
      <c r="S898" s="26" t="s">
        <v>38</v>
      </c>
      <c r="T898" s="26" t="s">
        <v>39</v>
      </c>
      <c r="U898" s="27">
        <v>0.83333333333333337</v>
      </c>
      <c r="V898" s="33">
        <v>1</v>
      </c>
      <c r="AG898" s="31">
        <v>0</v>
      </c>
      <c r="AH898" t="s">
        <v>44</v>
      </c>
    </row>
    <row r="899" spans="1:34">
      <c r="A899" s="15" t="s">
        <v>964</v>
      </c>
      <c r="B899" s="8" t="s">
        <v>943</v>
      </c>
      <c r="C899" s="41" t="s">
        <v>160</v>
      </c>
      <c r="D899" s="1" t="s">
        <v>38</v>
      </c>
      <c r="E899" s="26" t="s">
        <v>39</v>
      </c>
      <c r="F899" s="27">
        <v>0.81300813008130079</v>
      </c>
      <c r="G899" s="33">
        <v>1</v>
      </c>
      <c r="R899" s="55" t="s">
        <v>161</v>
      </c>
      <c r="S899" s="26" t="s">
        <v>38</v>
      </c>
      <c r="T899" s="26" t="s">
        <v>39</v>
      </c>
      <c r="U899" s="27">
        <v>0.83333333333333337</v>
      </c>
      <c r="V899" s="33">
        <v>1</v>
      </c>
      <c r="AG899" s="31">
        <v>1</v>
      </c>
      <c r="AH899" t="s">
        <v>73</v>
      </c>
    </row>
    <row r="900" spans="1:34">
      <c r="A900" s="15" t="s">
        <v>965</v>
      </c>
      <c r="B900" s="8" t="s">
        <v>943</v>
      </c>
      <c r="C900" s="41" t="s">
        <v>160</v>
      </c>
      <c r="D900" s="1" t="s">
        <v>38</v>
      </c>
      <c r="E900" s="26" t="s">
        <v>39</v>
      </c>
      <c r="F900" s="27">
        <v>0.81300813008130079</v>
      </c>
      <c r="G900" s="33">
        <v>1</v>
      </c>
      <c r="R900" s="55" t="s">
        <v>161</v>
      </c>
      <c r="S900" s="26" t="s">
        <v>38</v>
      </c>
      <c r="T900" s="26" t="s">
        <v>39</v>
      </c>
      <c r="U900" s="27">
        <v>0.83333333333333337</v>
      </c>
      <c r="V900" s="33">
        <v>1</v>
      </c>
      <c r="AG900" s="31">
        <v>1</v>
      </c>
      <c r="AH900" t="s">
        <v>73</v>
      </c>
    </row>
    <row r="901" spans="1:34">
      <c r="A901" s="15" t="s">
        <v>966</v>
      </c>
      <c r="B901" s="8" t="s">
        <v>943</v>
      </c>
      <c r="C901" s="41" t="s">
        <v>160</v>
      </c>
      <c r="D901" s="1" t="s">
        <v>38</v>
      </c>
      <c r="E901" s="26" t="s">
        <v>39</v>
      </c>
      <c r="F901" s="27">
        <v>0.81300813008130079</v>
      </c>
      <c r="G901" s="33">
        <v>1</v>
      </c>
      <c r="R901" s="55" t="s">
        <v>161</v>
      </c>
      <c r="S901" s="26" t="s">
        <v>38</v>
      </c>
      <c r="T901" s="26" t="s">
        <v>39</v>
      </c>
      <c r="U901" s="27">
        <v>0.83333333333333337</v>
      </c>
      <c r="V901" s="33">
        <v>1</v>
      </c>
      <c r="AG901" s="31">
        <v>1</v>
      </c>
      <c r="AH901" t="s">
        <v>73</v>
      </c>
    </row>
    <row r="902" spans="1:34">
      <c r="A902" s="15" t="s">
        <v>967</v>
      </c>
      <c r="B902" s="8" t="s">
        <v>943</v>
      </c>
      <c r="C902" s="41" t="s">
        <v>160</v>
      </c>
      <c r="D902" s="1" t="s">
        <v>38</v>
      </c>
      <c r="E902" s="26" t="s">
        <v>39</v>
      </c>
      <c r="F902" s="27">
        <v>0.81300813008130079</v>
      </c>
      <c r="G902" s="33">
        <v>1</v>
      </c>
      <c r="R902" s="55" t="s">
        <v>161</v>
      </c>
      <c r="S902" s="26" t="s">
        <v>38</v>
      </c>
      <c r="T902" s="26" t="s">
        <v>39</v>
      </c>
      <c r="U902" s="27">
        <v>0.83333333333333337</v>
      </c>
      <c r="V902" s="33">
        <v>1</v>
      </c>
      <c r="AG902" s="31">
        <v>1</v>
      </c>
      <c r="AH902" t="s">
        <v>73</v>
      </c>
    </row>
    <row r="903" spans="1:34">
      <c r="A903" s="15" t="s">
        <v>968</v>
      </c>
      <c r="B903" s="8" t="s">
        <v>943</v>
      </c>
      <c r="C903" s="41" t="s">
        <v>160</v>
      </c>
      <c r="D903" s="1" t="s">
        <v>38</v>
      </c>
      <c r="E903" s="26" t="s">
        <v>39</v>
      </c>
      <c r="F903" s="27">
        <v>0.81300813008130079</v>
      </c>
      <c r="G903" s="33">
        <v>1</v>
      </c>
      <c r="R903" s="55" t="s">
        <v>161</v>
      </c>
      <c r="S903" s="26" t="s">
        <v>38</v>
      </c>
      <c r="T903" s="26" t="s">
        <v>39</v>
      </c>
      <c r="U903" s="27">
        <v>0.83333333333333337</v>
      </c>
      <c r="V903" s="33">
        <v>1</v>
      </c>
      <c r="AG903" s="31">
        <v>1</v>
      </c>
      <c r="AH903" t="s">
        <v>73</v>
      </c>
    </row>
    <row r="904" spans="1:34">
      <c r="A904" s="15" t="s">
        <v>969</v>
      </c>
      <c r="B904" s="8" t="s">
        <v>943</v>
      </c>
      <c r="C904" s="41" t="s">
        <v>160</v>
      </c>
      <c r="D904" s="1" t="s">
        <v>38</v>
      </c>
      <c r="E904" s="26" t="s">
        <v>39</v>
      </c>
      <c r="F904" s="27">
        <v>0.81300813008130079</v>
      </c>
      <c r="G904" s="33">
        <v>1</v>
      </c>
      <c r="R904" s="55" t="s">
        <v>161</v>
      </c>
      <c r="S904" s="26" t="s">
        <v>38</v>
      </c>
      <c r="T904" s="26" t="s">
        <v>39</v>
      </c>
      <c r="U904" s="27">
        <v>0.83333333333333337</v>
      </c>
      <c r="V904" s="33">
        <v>1</v>
      </c>
      <c r="AG904" s="31">
        <v>1</v>
      </c>
      <c r="AH904" t="s">
        <v>73</v>
      </c>
    </row>
    <row r="905" spans="1:34">
      <c r="A905" s="15" t="s">
        <v>970</v>
      </c>
      <c r="B905" s="8" t="s">
        <v>943</v>
      </c>
      <c r="C905" s="41" t="s">
        <v>160</v>
      </c>
      <c r="D905" s="1" t="s">
        <v>38</v>
      </c>
      <c r="E905" s="26" t="s">
        <v>39</v>
      </c>
      <c r="F905" s="27">
        <v>0.81300813008130079</v>
      </c>
      <c r="G905" s="33">
        <v>1</v>
      </c>
      <c r="R905" s="55" t="s">
        <v>161</v>
      </c>
      <c r="S905" s="26" t="s">
        <v>38</v>
      </c>
      <c r="T905" s="26" t="s">
        <v>39</v>
      </c>
      <c r="U905" s="27">
        <v>0.83333333333333337</v>
      </c>
      <c r="V905" s="33">
        <v>1</v>
      </c>
      <c r="AG905" s="31">
        <v>1</v>
      </c>
      <c r="AH905" t="s">
        <v>73</v>
      </c>
    </row>
    <row r="906" spans="1:34">
      <c r="A906" s="15" t="s">
        <v>971</v>
      </c>
      <c r="B906" s="8" t="s">
        <v>943</v>
      </c>
      <c r="C906" s="41" t="s">
        <v>160</v>
      </c>
      <c r="D906" s="1" t="s">
        <v>38</v>
      </c>
      <c r="E906" s="26" t="s">
        <v>39</v>
      </c>
      <c r="F906" s="27">
        <v>0.81300813008130079</v>
      </c>
      <c r="G906" s="33">
        <v>1</v>
      </c>
      <c r="R906" s="55" t="s">
        <v>161</v>
      </c>
      <c r="S906" s="26" t="s">
        <v>38</v>
      </c>
      <c r="T906" s="26" t="s">
        <v>39</v>
      </c>
      <c r="U906" s="27">
        <v>0.83333333333333337</v>
      </c>
      <c r="V906" s="33">
        <v>1</v>
      </c>
      <c r="AG906" s="31">
        <v>0</v>
      </c>
      <c r="AH906" t="s">
        <v>44</v>
      </c>
    </row>
    <row r="907" spans="1:34">
      <c r="A907" s="15" t="s">
        <v>972</v>
      </c>
      <c r="B907" s="8" t="s">
        <v>943</v>
      </c>
      <c r="C907" s="41" t="s">
        <v>160</v>
      </c>
      <c r="D907" s="1" t="s">
        <v>38</v>
      </c>
      <c r="E907" s="26" t="s">
        <v>39</v>
      </c>
      <c r="F907" s="27">
        <v>0.81300813008130079</v>
      </c>
      <c r="G907" s="33">
        <v>1</v>
      </c>
      <c r="R907" s="55" t="s">
        <v>161</v>
      </c>
      <c r="S907" s="26" t="s">
        <v>38</v>
      </c>
      <c r="T907" s="26" t="s">
        <v>39</v>
      </c>
      <c r="U907" s="27">
        <v>0.83333333333333337</v>
      </c>
      <c r="V907" s="33">
        <v>1</v>
      </c>
      <c r="AG907" s="31">
        <v>0</v>
      </c>
      <c r="AH907" t="s">
        <v>44</v>
      </c>
    </row>
    <row r="908" spans="1:34">
      <c r="A908" s="15" t="s">
        <v>973</v>
      </c>
      <c r="B908" s="8" t="s">
        <v>943</v>
      </c>
      <c r="C908" s="41" t="s">
        <v>160</v>
      </c>
      <c r="D908" s="1" t="s">
        <v>38</v>
      </c>
      <c r="E908" s="26" t="s">
        <v>39</v>
      </c>
      <c r="F908" s="27">
        <v>0.81300813008130079</v>
      </c>
      <c r="G908" s="33">
        <v>1</v>
      </c>
      <c r="R908" s="55" t="s">
        <v>161</v>
      </c>
      <c r="S908" s="26" t="s">
        <v>38</v>
      </c>
      <c r="T908" s="26" t="s">
        <v>39</v>
      </c>
      <c r="U908" s="27">
        <v>0.83333333333333337</v>
      </c>
      <c r="V908" s="33">
        <v>1</v>
      </c>
      <c r="AG908" s="31">
        <v>0</v>
      </c>
      <c r="AH908" t="s">
        <v>44</v>
      </c>
    </row>
    <row r="909" spans="1:34">
      <c r="A909" s="15" t="s">
        <v>974</v>
      </c>
      <c r="B909" s="8" t="s">
        <v>943</v>
      </c>
      <c r="C909" s="41" t="s">
        <v>160</v>
      </c>
      <c r="D909" s="1" t="s">
        <v>38</v>
      </c>
      <c r="E909" s="26" t="s">
        <v>39</v>
      </c>
      <c r="F909" s="27">
        <v>0.81300813008130079</v>
      </c>
      <c r="G909" s="33">
        <v>1</v>
      </c>
      <c r="R909" s="55" t="s">
        <v>161</v>
      </c>
      <c r="S909" s="26" t="s">
        <v>38</v>
      </c>
      <c r="T909" s="26" t="s">
        <v>39</v>
      </c>
      <c r="U909" s="27">
        <v>0.83333333333333337</v>
      </c>
      <c r="V909" s="33">
        <v>1</v>
      </c>
      <c r="AG909" s="31">
        <v>0</v>
      </c>
      <c r="AH909" t="s">
        <v>44</v>
      </c>
    </row>
    <row r="910" spans="1:34">
      <c r="A910" s="15" t="s">
        <v>975</v>
      </c>
      <c r="B910" s="8" t="s">
        <v>943</v>
      </c>
      <c r="C910" s="41" t="s">
        <v>160</v>
      </c>
      <c r="D910" s="1" t="s">
        <v>38</v>
      </c>
      <c r="E910" s="26" t="s">
        <v>39</v>
      </c>
      <c r="F910" s="27">
        <v>0.81300813008130079</v>
      </c>
      <c r="G910" s="33">
        <v>1</v>
      </c>
      <c r="R910" s="55" t="s">
        <v>161</v>
      </c>
      <c r="S910" s="26" t="s">
        <v>38</v>
      </c>
      <c r="T910" s="26" t="s">
        <v>39</v>
      </c>
      <c r="U910" s="27">
        <v>0.83333333333333337</v>
      </c>
      <c r="V910" s="33">
        <v>1</v>
      </c>
      <c r="AG910" s="31">
        <v>0</v>
      </c>
      <c r="AH910" t="s">
        <v>44</v>
      </c>
    </row>
    <row r="911" spans="1:34">
      <c r="A911" s="15" t="s">
        <v>976</v>
      </c>
      <c r="B911" s="8" t="s">
        <v>943</v>
      </c>
      <c r="C911" s="41" t="s">
        <v>160</v>
      </c>
      <c r="D911" s="1" t="s">
        <v>38</v>
      </c>
      <c r="E911" s="26" t="s">
        <v>39</v>
      </c>
      <c r="F911" s="27">
        <v>0.81300813008130079</v>
      </c>
      <c r="G911" s="33">
        <v>1</v>
      </c>
      <c r="R911" s="55" t="s">
        <v>161</v>
      </c>
      <c r="S911" s="26" t="s">
        <v>38</v>
      </c>
      <c r="T911" s="26" t="s">
        <v>39</v>
      </c>
      <c r="U911" s="27">
        <v>0.83333333333333337</v>
      </c>
      <c r="V911" s="33">
        <v>1</v>
      </c>
      <c r="AG911" s="31">
        <v>0</v>
      </c>
      <c r="AH911" t="s">
        <v>44</v>
      </c>
    </row>
    <row r="912" spans="1:34">
      <c r="A912" s="15" t="s">
        <v>977</v>
      </c>
      <c r="B912" s="8" t="s">
        <v>943</v>
      </c>
      <c r="C912" s="41" t="s">
        <v>160</v>
      </c>
      <c r="D912" s="1" t="s">
        <v>38</v>
      </c>
      <c r="E912" s="26" t="s">
        <v>39</v>
      </c>
      <c r="F912" s="27">
        <v>0.81300813008130079</v>
      </c>
      <c r="G912" s="33">
        <v>1</v>
      </c>
      <c r="R912" s="55" t="s">
        <v>161</v>
      </c>
      <c r="S912" s="26" t="s">
        <v>38</v>
      </c>
      <c r="T912" s="26" t="s">
        <v>39</v>
      </c>
      <c r="U912" s="27">
        <v>0.83333333333333337</v>
      </c>
      <c r="V912" s="33">
        <v>1</v>
      </c>
      <c r="AG912" s="31">
        <v>0</v>
      </c>
      <c r="AH912" t="s">
        <v>44</v>
      </c>
    </row>
    <row r="913" spans="1:35">
      <c r="A913" s="15" t="s">
        <v>978</v>
      </c>
      <c r="B913" s="8" t="s">
        <v>943</v>
      </c>
      <c r="C913" s="41" t="s">
        <v>160</v>
      </c>
      <c r="D913" s="1" t="s">
        <v>38</v>
      </c>
      <c r="E913" s="26" t="s">
        <v>39</v>
      </c>
      <c r="F913" s="27">
        <v>0.81300813008130079</v>
      </c>
      <c r="G913" s="33">
        <v>1</v>
      </c>
      <c r="R913" s="55" t="s">
        <v>161</v>
      </c>
      <c r="S913" s="26" t="s">
        <v>38</v>
      </c>
      <c r="T913" s="26" t="s">
        <v>39</v>
      </c>
      <c r="U913" s="27">
        <v>0.83333333333333337</v>
      </c>
      <c r="V913" s="33">
        <v>1</v>
      </c>
      <c r="AG913" s="31">
        <v>0</v>
      </c>
      <c r="AH913" t="s">
        <v>44</v>
      </c>
    </row>
    <row r="914" spans="1:35">
      <c r="A914" s="15" t="s">
        <v>979</v>
      </c>
      <c r="B914" s="8" t="s">
        <v>943</v>
      </c>
      <c r="C914" s="41" t="s">
        <v>160</v>
      </c>
      <c r="D914" s="1" t="s">
        <v>38</v>
      </c>
      <c r="E914" s="26" t="s">
        <v>39</v>
      </c>
      <c r="F914" s="27">
        <v>0.81300813008130079</v>
      </c>
      <c r="G914" s="33">
        <v>1</v>
      </c>
      <c r="R914" s="55" t="s">
        <v>161</v>
      </c>
      <c r="S914" s="26" t="s">
        <v>38</v>
      </c>
      <c r="T914" s="26" t="s">
        <v>39</v>
      </c>
      <c r="U914" s="27">
        <v>0.83333333333333337</v>
      </c>
      <c r="V914" s="33">
        <v>1</v>
      </c>
      <c r="AG914" s="31">
        <v>0</v>
      </c>
      <c r="AH914" t="s">
        <v>44</v>
      </c>
    </row>
    <row r="915" spans="1:35">
      <c r="A915" s="15" t="s">
        <v>980</v>
      </c>
      <c r="B915" s="8" t="s">
        <v>943</v>
      </c>
      <c r="C915" s="41" t="s">
        <v>160</v>
      </c>
      <c r="D915" s="1" t="s">
        <v>38</v>
      </c>
      <c r="E915" s="26" t="s">
        <v>39</v>
      </c>
      <c r="F915" s="27">
        <v>0.81300813008130079</v>
      </c>
      <c r="G915" s="33">
        <v>1</v>
      </c>
      <c r="R915" s="55" t="s">
        <v>161</v>
      </c>
      <c r="S915" s="26" t="s">
        <v>38</v>
      </c>
      <c r="T915" s="26" t="s">
        <v>39</v>
      </c>
      <c r="U915" s="27">
        <v>0.83333333333333337</v>
      </c>
      <c r="V915" s="33">
        <v>1</v>
      </c>
      <c r="AG915" s="31">
        <v>0</v>
      </c>
      <c r="AH915" t="s">
        <v>44</v>
      </c>
    </row>
    <row r="916" spans="1:35">
      <c r="A916" s="15" t="s">
        <v>981</v>
      </c>
      <c r="B916" s="8" t="s">
        <v>943</v>
      </c>
      <c r="C916" s="41" t="s">
        <v>160</v>
      </c>
      <c r="D916" s="1" t="s">
        <v>38</v>
      </c>
      <c r="E916" s="26" t="s">
        <v>39</v>
      </c>
      <c r="F916" s="27">
        <v>0.81300813008130079</v>
      </c>
      <c r="G916" s="33">
        <v>1</v>
      </c>
      <c r="R916" s="55" t="s">
        <v>161</v>
      </c>
      <c r="S916" s="26" t="s">
        <v>38</v>
      </c>
      <c r="T916" s="26" t="s">
        <v>39</v>
      </c>
      <c r="U916" s="27">
        <v>0.83333333333333337</v>
      </c>
      <c r="V916" s="33">
        <v>1</v>
      </c>
      <c r="AG916" s="31">
        <v>0</v>
      </c>
      <c r="AH916" t="s">
        <v>44</v>
      </c>
    </row>
    <row r="917" spans="1:35">
      <c r="A917" s="15" t="s">
        <v>982</v>
      </c>
      <c r="B917" s="8" t="s">
        <v>943</v>
      </c>
      <c r="C917" s="41" t="s">
        <v>160</v>
      </c>
      <c r="D917" s="1" t="s">
        <v>38</v>
      </c>
      <c r="E917" s="26" t="s">
        <v>39</v>
      </c>
      <c r="F917" s="27">
        <v>0.81300813008130079</v>
      </c>
      <c r="G917" s="33">
        <v>1</v>
      </c>
      <c r="R917" s="55" t="s">
        <v>161</v>
      </c>
      <c r="S917" s="26" t="s">
        <v>38</v>
      </c>
      <c r="T917" s="26" t="s">
        <v>39</v>
      </c>
      <c r="U917" s="27">
        <v>0.83333333333333337</v>
      </c>
      <c r="V917" s="33">
        <v>1</v>
      </c>
      <c r="AG917" s="31">
        <v>0</v>
      </c>
      <c r="AH917" t="s">
        <v>44</v>
      </c>
    </row>
    <row r="918" spans="1:35">
      <c r="A918" s="15" t="s">
        <v>983</v>
      </c>
      <c r="B918" s="8" t="s">
        <v>943</v>
      </c>
      <c r="C918" s="41" t="s">
        <v>160</v>
      </c>
      <c r="D918" s="1" t="s">
        <v>38</v>
      </c>
      <c r="E918" s="26" t="s">
        <v>39</v>
      </c>
      <c r="F918" s="27">
        <v>0.81300813008130079</v>
      </c>
      <c r="G918" s="33">
        <v>1</v>
      </c>
      <c r="R918" s="55" t="s">
        <v>161</v>
      </c>
      <c r="S918" s="26" t="s">
        <v>38</v>
      </c>
      <c r="T918" s="26" t="s">
        <v>39</v>
      </c>
      <c r="U918" s="27">
        <v>0.83333333333333337</v>
      </c>
      <c r="V918" s="33">
        <v>1</v>
      </c>
      <c r="AG918" s="31">
        <v>0</v>
      </c>
      <c r="AH918" t="s">
        <v>44</v>
      </c>
    </row>
    <row r="919" spans="1:35">
      <c r="A919" s="15" t="s">
        <v>984</v>
      </c>
      <c r="B919" s="8" t="s">
        <v>943</v>
      </c>
      <c r="C919" s="41" t="s">
        <v>160</v>
      </c>
      <c r="D919" s="1" t="s">
        <v>38</v>
      </c>
      <c r="E919" s="26" t="s">
        <v>39</v>
      </c>
      <c r="F919" s="27">
        <v>0.81300813008130079</v>
      </c>
      <c r="G919" s="33">
        <v>1</v>
      </c>
      <c r="R919" s="55" t="s">
        <v>161</v>
      </c>
      <c r="S919" s="26" t="s">
        <v>38</v>
      </c>
      <c r="T919" s="26" t="s">
        <v>39</v>
      </c>
      <c r="U919" s="27">
        <v>0.83333333333333337</v>
      </c>
      <c r="V919" s="33">
        <v>1</v>
      </c>
      <c r="AG919" s="31">
        <v>0</v>
      </c>
      <c r="AH919" t="s">
        <v>44</v>
      </c>
    </row>
    <row r="920" spans="1:35">
      <c r="A920" s="15" t="s">
        <v>985</v>
      </c>
      <c r="B920" s="8" t="s">
        <v>943</v>
      </c>
      <c r="C920" s="41" t="s">
        <v>160</v>
      </c>
      <c r="D920" s="1" t="s">
        <v>38</v>
      </c>
      <c r="E920" s="26" t="s">
        <v>39</v>
      </c>
      <c r="F920" s="27">
        <v>0.81300813008130079</v>
      </c>
      <c r="G920" s="33">
        <v>1</v>
      </c>
      <c r="R920" s="55" t="s">
        <v>161</v>
      </c>
      <c r="S920" s="26" t="s">
        <v>38</v>
      </c>
      <c r="T920" s="26" t="s">
        <v>39</v>
      </c>
      <c r="U920" s="27">
        <v>0.83333333333333337</v>
      </c>
      <c r="V920" s="33">
        <v>1</v>
      </c>
      <c r="AG920" s="31">
        <v>0</v>
      </c>
      <c r="AH920" t="s">
        <v>44</v>
      </c>
    </row>
    <row r="921" spans="1:35">
      <c r="A921" s="15" t="s">
        <v>986</v>
      </c>
      <c r="B921" s="8" t="s">
        <v>943</v>
      </c>
      <c r="C921" s="41" t="s">
        <v>160</v>
      </c>
      <c r="D921" s="1" t="s">
        <v>38</v>
      </c>
      <c r="E921" s="26" t="s">
        <v>39</v>
      </c>
      <c r="F921" s="27">
        <v>0.81300813008130079</v>
      </c>
      <c r="G921" s="33">
        <v>1</v>
      </c>
      <c r="R921" s="55" t="s">
        <v>161</v>
      </c>
      <c r="S921" s="26" t="s">
        <v>38</v>
      </c>
      <c r="T921" s="26" t="s">
        <v>39</v>
      </c>
      <c r="U921" s="27">
        <v>0.83333333333333337</v>
      </c>
      <c r="V921" s="33">
        <v>1</v>
      </c>
      <c r="AG921" s="31">
        <v>0</v>
      </c>
      <c r="AH921" t="s">
        <v>44</v>
      </c>
    </row>
    <row r="922" spans="1:35">
      <c r="A922" s="15" t="s">
        <v>987</v>
      </c>
      <c r="B922" s="8" t="s">
        <v>943</v>
      </c>
      <c r="C922" s="41" t="s">
        <v>160</v>
      </c>
      <c r="D922" s="1" t="s">
        <v>38</v>
      </c>
      <c r="E922" s="26" t="s">
        <v>39</v>
      </c>
      <c r="F922" s="27">
        <v>0.81300813008130079</v>
      </c>
      <c r="G922" s="33">
        <v>1</v>
      </c>
      <c r="R922" s="55" t="s">
        <v>161</v>
      </c>
      <c r="S922" s="26" t="s">
        <v>38</v>
      </c>
      <c r="T922" s="26" t="s">
        <v>39</v>
      </c>
      <c r="U922" s="27">
        <v>0.83333333333333337</v>
      </c>
      <c r="V922" s="33">
        <v>1</v>
      </c>
      <c r="AG922" s="31">
        <v>0</v>
      </c>
      <c r="AH922" t="s">
        <v>44</v>
      </c>
    </row>
    <row r="923" spans="1:35">
      <c r="A923" s="15" t="s">
        <v>988</v>
      </c>
      <c r="B923" s="8" t="s">
        <v>943</v>
      </c>
      <c r="C923" s="41" t="s">
        <v>160</v>
      </c>
      <c r="D923" s="1" t="s">
        <v>38</v>
      </c>
      <c r="E923" s="26" t="s">
        <v>39</v>
      </c>
      <c r="F923" s="27">
        <v>0.81300813008130079</v>
      </c>
      <c r="G923" s="33">
        <v>1</v>
      </c>
      <c r="R923" s="55" t="s">
        <v>161</v>
      </c>
      <c r="S923" s="26" t="s">
        <v>38</v>
      </c>
      <c r="T923" s="26" t="s">
        <v>39</v>
      </c>
      <c r="U923" s="27">
        <v>0.83333333333333337</v>
      </c>
      <c r="V923" s="33">
        <v>1</v>
      </c>
      <c r="AG923" s="31">
        <v>0</v>
      </c>
      <c r="AH923" t="s">
        <v>44</v>
      </c>
    </row>
    <row r="924" spans="1:35">
      <c r="A924" s="15" t="s">
        <v>989</v>
      </c>
      <c r="B924" s="8" t="s">
        <v>943</v>
      </c>
      <c r="C924" s="41" t="s">
        <v>160</v>
      </c>
      <c r="D924" s="1" t="s">
        <v>38</v>
      </c>
      <c r="E924" s="26" t="s">
        <v>39</v>
      </c>
      <c r="F924" s="27">
        <v>0.81300813008130079</v>
      </c>
      <c r="G924" s="33">
        <v>1</v>
      </c>
      <c r="R924" s="55" t="s">
        <v>161</v>
      </c>
      <c r="S924" s="26" t="s">
        <v>38</v>
      </c>
      <c r="T924" s="26" t="s">
        <v>39</v>
      </c>
      <c r="U924" s="27">
        <v>0.83333333333333337</v>
      </c>
      <c r="V924" s="33">
        <v>1</v>
      </c>
      <c r="AG924" s="31">
        <v>0</v>
      </c>
      <c r="AH924" t="s">
        <v>44</v>
      </c>
    </row>
    <row r="925" spans="1:35">
      <c r="A925" s="15" t="s">
        <v>990</v>
      </c>
      <c r="B925" s="8" t="s">
        <v>943</v>
      </c>
      <c r="C925" s="41" t="s">
        <v>160</v>
      </c>
      <c r="D925" s="1" t="s">
        <v>38</v>
      </c>
      <c r="E925" s="26" t="s">
        <v>39</v>
      </c>
      <c r="F925" s="27">
        <v>0.81300813008130079</v>
      </c>
      <c r="G925" s="33">
        <v>1</v>
      </c>
      <c r="R925" s="55" t="s">
        <v>161</v>
      </c>
      <c r="S925" s="26" t="s">
        <v>38</v>
      </c>
      <c r="T925" s="26" t="s">
        <v>39</v>
      </c>
      <c r="U925" s="27">
        <v>0.83333333333333337</v>
      </c>
      <c r="V925" s="33">
        <v>1</v>
      </c>
      <c r="AG925" s="31">
        <v>0</v>
      </c>
      <c r="AH925" t="s">
        <v>44</v>
      </c>
    </row>
    <row r="926" spans="1:35">
      <c r="A926" s="16" t="s">
        <v>991</v>
      </c>
      <c r="B926" s="8" t="s">
        <v>943</v>
      </c>
      <c r="C926" s="41" t="s">
        <v>160</v>
      </c>
      <c r="D926" s="1" t="s">
        <v>38</v>
      </c>
      <c r="E926" s="26" t="s">
        <v>39</v>
      </c>
      <c r="F926" s="27">
        <v>0.81300813008130079</v>
      </c>
      <c r="G926" s="33">
        <v>1</v>
      </c>
      <c r="R926" s="55" t="s">
        <v>161</v>
      </c>
      <c r="S926" s="26" t="s">
        <v>38</v>
      </c>
      <c r="T926" s="26" t="s">
        <v>39</v>
      </c>
      <c r="U926" s="27">
        <v>0.83333333333333337</v>
      </c>
      <c r="V926" s="33">
        <v>1</v>
      </c>
      <c r="AG926" s="31">
        <v>0</v>
      </c>
      <c r="AH926" t="s">
        <v>44</v>
      </c>
    </row>
    <row r="927" spans="1:35" s="6" customFormat="1">
      <c r="A927" s="15" t="s">
        <v>992</v>
      </c>
      <c r="B927" s="9" t="s">
        <v>993</v>
      </c>
      <c r="C927" s="41" t="s">
        <v>37</v>
      </c>
      <c r="D927" s="1" t="s">
        <v>38</v>
      </c>
      <c r="E927" s="26" t="s">
        <v>39</v>
      </c>
      <c r="F927" s="27">
        <v>0.94339622641509424</v>
      </c>
      <c r="G927" s="33">
        <v>0.5</v>
      </c>
      <c r="H927" s="26" t="s">
        <v>40</v>
      </c>
      <c r="I927" s="26" t="s">
        <v>41</v>
      </c>
      <c r="J927" s="26" t="s">
        <v>42</v>
      </c>
      <c r="K927" s="27">
        <v>2.3255813953488373</v>
      </c>
      <c r="L927" s="27">
        <v>0.5</v>
      </c>
      <c r="M927" s="70"/>
      <c r="N927" s="26"/>
      <c r="O927" s="26"/>
      <c r="P927" s="27"/>
      <c r="Q927" s="36"/>
      <c r="R927" s="26" t="s">
        <v>43</v>
      </c>
      <c r="S927" s="26" t="s">
        <v>38</v>
      </c>
      <c r="T927" s="26" t="s">
        <v>39</v>
      </c>
      <c r="U927" s="27">
        <v>0.84745762711864414</v>
      </c>
      <c r="V927" s="33">
        <v>1</v>
      </c>
      <c r="W927" s="26"/>
      <c r="X927" s="26"/>
      <c r="Y927" s="26"/>
      <c r="Z927" s="27"/>
      <c r="AA927" s="26"/>
      <c r="AB927" s="70"/>
      <c r="AC927" s="26"/>
      <c r="AD927" s="26"/>
      <c r="AE927" s="26"/>
      <c r="AF927" s="37"/>
      <c r="AG927" s="27">
        <v>0</v>
      </c>
      <c r="AH927" s="1" t="s">
        <v>44</v>
      </c>
      <c r="AI927" s="1"/>
    </row>
    <row r="928" spans="1:35">
      <c r="A928" s="15" t="s">
        <v>994</v>
      </c>
      <c r="B928" s="8" t="s">
        <v>993</v>
      </c>
      <c r="C928" s="41" t="s">
        <v>37</v>
      </c>
      <c r="D928" s="1" t="s">
        <v>38</v>
      </c>
      <c r="E928" s="26" t="s">
        <v>39</v>
      </c>
      <c r="F928" s="27">
        <v>0.94339622641509424</v>
      </c>
      <c r="G928" s="33">
        <v>0.5</v>
      </c>
      <c r="H928" s="26" t="s">
        <v>40</v>
      </c>
      <c r="I928" s="26" t="s">
        <v>41</v>
      </c>
      <c r="J928" s="26" t="s">
        <v>42</v>
      </c>
      <c r="K928" s="27">
        <v>2.3255813953488373</v>
      </c>
      <c r="L928" s="27">
        <v>0.5</v>
      </c>
      <c r="M928" s="70"/>
      <c r="N928" s="26"/>
      <c r="O928" s="26"/>
      <c r="P928" s="27"/>
      <c r="Q928" s="36"/>
      <c r="R928" s="26" t="s">
        <v>43</v>
      </c>
      <c r="S928" s="26" t="s">
        <v>38</v>
      </c>
      <c r="T928" s="26" t="s">
        <v>39</v>
      </c>
      <c r="U928" s="27">
        <v>0.84745762711864414</v>
      </c>
      <c r="V928" s="33">
        <v>1</v>
      </c>
      <c r="AG928" s="31">
        <v>0</v>
      </c>
      <c r="AH928" s="1" t="s">
        <v>44</v>
      </c>
    </row>
    <row r="929" spans="1:34">
      <c r="A929" s="15" t="s">
        <v>995</v>
      </c>
      <c r="B929" s="8" t="s">
        <v>993</v>
      </c>
      <c r="C929" s="41" t="s">
        <v>37</v>
      </c>
      <c r="D929" s="1" t="s">
        <v>38</v>
      </c>
      <c r="E929" s="26" t="s">
        <v>39</v>
      </c>
      <c r="F929" s="27">
        <v>0.94339622641509424</v>
      </c>
      <c r="G929" s="33">
        <v>0.5</v>
      </c>
      <c r="H929" s="26" t="s">
        <v>40</v>
      </c>
      <c r="I929" s="26" t="s">
        <v>41</v>
      </c>
      <c r="J929" s="26" t="s">
        <v>42</v>
      </c>
      <c r="K929" s="27">
        <v>2.3255813953488373</v>
      </c>
      <c r="L929" s="27">
        <v>0.5</v>
      </c>
      <c r="M929" s="70"/>
      <c r="N929" s="26"/>
      <c r="O929" s="26"/>
      <c r="P929" s="27"/>
      <c r="Q929" s="36"/>
      <c r="R929" s="26" t="s">
        <v>43</v>
      </c>
      <c r="S929" s="26" t="s">
        <v>38</v>
      </c>
      <c r="T929" s="26" t="s">
        <v>39</v>
      </c>
      <c r="U929" s="27">
        <v>0.84745762711864414</v>
      </c>
      <c r="V929" s="33">
        <v>1</v>
      </c>
      <c r="AG929" s="31">
        <v>0</v>
      </c>
      <c r="AH929" s="1" t="s">
        <v>44</v>
      </c>
    </row>
    <row r="930" spans="1:34">
      <c r="A930" s="15" t="s">
        <v>996</v>
      </c>
      <c r="B930" s="8" t="s">
        <v>993</v>
      </c>
      <c r="C930" s="41" t="s">
        <v>37</v>
      </c>
      <c r="D930" s="1" t="s">
        <v>38</v>
      </c>
      <c r="E930" s="26" t="s">
        <v>39</v>
      </c>
      <c r="F930" s="27">
        <v>0.94339622641509424</v>
      </c>
      <c r="G930" s="33">
        <v>0.5</v>
      </c>
      <c r="H930" s="26" t="s">
        <v>40</v>
      </c>
      <c r="I930" s="26" t="s">
        <v>41</v>
      </c>
      <c r="J930" s="26" t="s">
        <v>42</v>
      </c>
      <c r="K930" s="27">
        <v>2.3255813953488373</v>
      </c>
      <c r="L930" s="27">
        <v>0.5</v>
      </c>
      <c r="M930" s="70"/>
      <c r="N930" s="26"/>
      <c r="O930" s="26"/>
      <c r="P930" s="27"/>
      <c r="Q930" s="36"/>
      <c r="R930" s="26" t="s">
        <v>43</v>
      </c>
      <c r="S930" s="26" t="s">
        <v>38</v>
      </c>
      <c r="T930" s="26" t="s">
        <v>39</v>
      </c>
      <c r="U930" s="27">
        <v>0.84745762711864414</v>
      </c>
      <c r="V930" s="33">
        <v>1</v>
      </c>
      <c r="AG930" s="31">
        <v>0</v>
      </c>
      <c r="AH930" s="1" t="s">
        <v>44</v>
      </c>
    </row>
    <row r="931" spans="1:34">
      <c r="A931" s="15" t="s">
        <v>997</v>
      </c>
      <c r="B931" s="8" t="s">
        <v>993</v>
      </c>
      <c r="C931" s="41" t="s">
        <v>37</v>
      </c>
      <c r="D931" s="1" t="s">
        <v>38</v>
      </c>
      <c r="E931" s="26" t="s">
        <v>39</v>
      </c>
      <c r="F931" s="27">
        <v>0.94339622641509424</v>
      </c>
      <c r="G931" s="33">
        <v>0.5</v>
      </c>
      <c r="H931" s="26" t="s">
        <v>40</v>
      </c>
      <c r="I931" s="26" t="s">
        <v>41</v>
      </c>
      <c r="J931" s="26" t="s">
        <v>42</v>
      </c>
      <c r="K931" s="27">
        <v>2.3255813953488373</v>
      </c>
      <c r="L931" s="27">
        <v>0.5</v>
      </c>
      <c r="M931" s="70"/>
      <c r="N931" s="26"/>
      <c r="O931" s="26"/>
      <c r="P931" s="27"/>
      <c r="Q931" s="36"/>
      <c r="R931" s="26" t="s">
        <v>43</v>
      </c>
      <c r="S931" s="26" t="s">
        <v>38</v>
      </c>
      <c r="T931" s="26" t="s">
        <v>39</v>
      </c>
      <c r="U931" s="27">
        <v>0.84745762711864414</v>
      </c>
      <c r="V931" s="33">
        <v>1</v>
      </c>
      <c r="AG931" s="31">
        <v>0</v>
      </c>
      <c r="AH931" s="1" t="s">
        <v>44</v>
      </c>
    </row>
    <row r="932" spans="1:34">
      <c r="A932" s="15" t="s">
        <v>998</v>
      </c>
      <c r="B932" s="8" t="s">
        <v>993</v>
      </c>
      <c r="C932" s="41" t="s">
        <v>37</v>
      </c>
      <c r="D932" s="1" t="s">
        <v>38</v>
      </c>
      <c r="E932" s="26" t="s">
        <v>39</v>
      </c>
      <c r="F932" s="27">
        <v>0.94339622641509424</v>
      </c>
      <c r="G932" s="33">
        <v>0.5</v>
      </c>
      <c r="H932" s="26" t="s">
        <v>40</v>
      </c>
      <c r="I932" s="26" t="s">
        <v>41</v>
      </c>
      <c r="J932" s="26" t="s">
        <v>42</v>
      </c>
      <c r="K932" s="27">
        <v>2.3255813953488373</v>
      </c>
      <c r="L932" s="27">
        <v>0.5</v>
      </c>
      <c r="M932" s="70"/>
      <c r="N932" s="26"/>
      <c r="O932" s="26"/>
      <c r="P932" s="27"/>
      <c r="Q932" s="36"/>
      <c r="R932" s="26" t="s">
        <v>43</v>
      </c>
      <c r="S932" s="26" t="s">
        <v>38</v>
      </c>
      <c r="T932" s="26" t="s">
        <v>39</v>
      </c>
      <c r="U932" s="27">
        <v>0.84745762711864414</v>
      </c>
      <c r="V932" s="33">
        <v>1</v>
      </c>
      <c r="AG932" s="31">
        <v>0</v>
      </c>
      <c r="AH932" s="1" t="s">
        <v>44</v>
      </c>
    </row>
    <row r="933" spans="1:34">
      <c r="A933" s="15" t="s">
        <v>999</v>
      </c>
      <c r="B933" s="8" t="s">
        <v>993</v>
      </c>
      <c r="C933" s="41" t="s">
        <v>37</v>
      </c>
      <c r="D933" s="1" t="s">
        <v>38</v>
      </c>
      <c r="E933" s="26" t="s">
        <v>39</v>
      </c>
      <c r="F933" s="27">
        <v>0.94339622641509424</v>
      </c>
      <c r="G933" s="33">
        <v>0.5</v>
      </c>
      <c r="H933" s="26" t="s">
        <v>40</v>
      </c>
      <c r="I933" s="26" t="s">
        <v>41</v>
      </c>
      <c r="J933" s="26" t="s">
        <v>42</v>
      </c>
      <c r="K933" s="27">
        <v>2.3255813953488373</v>
      </c>
      <c r="L933" s="27">
        <v>0.5</v>
      </c>
      <c r="M933" s="70"/>
      <c r="N933" s="26"/>
      <c r="O933" s="26"/>
      <c r="P933" s="27"/>
      <c r="Q933" s="36"/>
      <c r="R933" s="26" t="s">
        <v>43</v>
      </c>
      <c r="S933" s="26" t="s">
        <v>38</v>
      </c>
      <c r="T933" s="26" t="s">
        <v>39</v>
      </c>
      <c r="U933" s="27">
        <v>0.84745762711864414</v>
      </c>
      <c r="V933" s="33">
        <v>1</v>
      </c>
      <c r="AG933" s="31">
        <v>0</v>
      </c>
      <c r="AH933" s="1" t="s">
        <v>44</v>
      </c>
    </row>
    <row r="934" spans="1:34">
      <c r="A934" s="15" t="s">
        <v>1000</v>
      </c>
      <c r="B934" s="8" t="s">
        <v>993</v>
      </c>
      <c r="C934" s="41" t="s">
        <v>37</v>
      </c>
      <c r="D934" s="1" t="s">
        <v>38</v>
      </c>
      <c r="E934" s="26" t="s">
        <v>39</v>
      </c>
      <c r="F934" s="27">
        <v>0.94339622641509424</v>
      </c>
      <c r="G934" s="33">
        <v>0.5</v>
      </c>
      <c r="H934" s="26" t="s">
        <v>40</v>
      </c>
      <c r="I934" s="26" t="s">
        <v>41</v>
      </c>
      <c r="J934" s="26" t="s">
        <v>42</v>
      </c>
      <c r="K934" s="27">
        <v>2.3255813953488373</v>
      </c>
      <c r="L934" s="27">
        <v>0.5</v>
      </c>
      <c r="M934" s="70"/>
      <c r="N934" s="26"/>
      <c r="O934" s="26"/>
      <c r="P934" s="27"/>
      <c r="Q934" s="36"/>
      <c r="R934" s="26" t="s">
        <v>43</v>
      </c>
      <c r="S934" s="26" t="s">
        <v>38</v>
      </c>
      <c r="T934" s="26" t="s">
        <v>39</v>
      </c>
      <c r="U934" s="27">
        <v>0.84745762711864414</v>
      </c>
      <c r="V934" s="33">
        <v>1</v>
      </c>
      <c r="AG934" s="31">
        <v>0</v>
      </c>
      <c r="AH934" s="1" t="s">
        <v>44</v>
      </c>
    </row>
    <row r="935" spans="1:34">
      <c r="A935" s="15" t="s">
        <v>1001</v>
      </c>
      <c r="B935" s="8" t="s">
        <v>993</v>
      </c>
      <c r="C935" s="41" t="s">
        <v>37</v>
      </c>
      <c r="D935" s="1" t="s">
        <v>38</v>
      </c>
      <c r="E935" s="26" t="s">
        <v>39</v>
      </c>
      <c r="F935" s="27">
        <v>0.94339622641509424</v>
      </c>
      <c r="G935" s="33">
        <v>0.5</v>
      </c>
      <c r="H935" s="26" t="s">
        <v>40</v>
      </c>
      <c r="I935" s="26" t="s">
        <v>41</v>
      </c>
      <c r="J935" s="26" t="s">
        <v>42</v>
      </c>
      <c r="K935" s="27">
        <v>2.3255813953488373</v>
      </c>
      <c r="L935" s="27">
        <v>0.5</v>
      </c>
      <c r="M935" s="70"/>
      <c r="N935" s="26"/>
      <c r="O935" s="26"/>
      <c r="P935" s="27"/>
      <c r="Q935" s="36"/>
      <c r="R935" s="26" t="s">
        <v>43</v>
      </c>
      <c r="S935" s="26" t="s">
        <v>38</v>
      </c>
      <c r="T935" s="26" t="s">
        <v>39</v>
      </c>
      <c r="U935" s="27">
        <v>0.84745762711864414</v>
      </c>
      <c r="V935" s="33">
        <v>1</v>
      </c>
      <c r="AG935" s="31">
        <v>0</v>
      </c>
      <c r="AH935" s="1" t="s">
        <v>44</v>
      </c>
    </row>
    <row r="936" spans="1:34">
      <c r="A936" s="15" t="s">
        <v>1002</v>
      </c>
      <c r="B936" s="8" t="s">
        <v>993</v>
      </c>
      <c r="C936" s="41" t="s">
        <v>37</v>
      </c>
      <c r="D936" s="1" t="s">
        <v>38</v>
      </c>
      <c r="E936" s="26" t="s">
        <v>39</v>
      </c>
      <c r="F936" s="27">
        <v>0.94339622641509424</v>
      </c>
      <c r="G936" s="33">
        <v>0.5</v>
      </c>
      <c r="H936" s="26" t="s">
        <v>40</v>
      </c>
      <c r="I936" s="26" t="s">
        <v>41</v>
      </c>
      <c r="J936" s="26" t="s">
        <v>42</v>
      </c>
      <c r="K936" s="27">
        <v>2.3255813953488373</v>
      </c>
      <c r="L936" s="27">
        <v>0.5</v>
      </c>
      <c r="M936" s="70"/>
      <c r="N936" s="26"/>
      <c r="O936" s="26"/>
      <c r="P936" s="27"/>
      <c r="Q936" s="36"/>
      <c r="R936" s="26" t="s">
        <v>43</v>
      </c>
      <c r="S936" s="26" t="s">
        <v>38</v>
      </c>
      <c r="T936" s="26" t="s">
        <v>39</v>
      </c>
      <c r="U936" s="27">
        <v>0.84745762711864414</v>
      </c>
      <c r="V936" s="33">
        <v>1</v>
      </c>
      <c r="AG936" s="31">
        <v>0</v>
      </c>
      <c r="AH936" s="1" t="s">
        <v>44</v>
      </c>
    </row>
    <row r="937" spans="1:34">
      <c r="A937" s="15" t="s">
        <v>1003</v>
      </c>
      <c r="B937" s="8" t="s">
        <v>993</v>
      </c>
      <c r="C937" s="41" t="s">
        <v>37</v>
      </c>
      <c r="D937" s="1" t="s">
        <v>38</v>
      </c>
      <c r="E937" s="26" t="s">
        <v>39</v>
      </c>
      <c r="F937" s="27">
        <v>0.94339622641509424</v>
      </c>
      <c r="G937" s="33">
        <v>0.5</v>
      </c>
      <c r="H937" s="26" t="s">
        <v>40</v>
      </c>
      <c r="I937" s="26" t="s">
        <v>41</v>
      </c>
      <c r="J937" s="26" t="s">
        <v>42</v>
      </c>
      <c r="K937" s="27">
        <v>2.3255813953488373</v>
      </c>
      <c r="L937" s="27">
        <v>0.5</v>
      </c>
      <c r="M937" s="70"/>
      <c r="N937" s="26"/>
      <c r="O937" s="26"/>
      <c r="P937" s="27"/>
      <c r="Q937" s="36"/>
      <c r="R937" s="26" t="s">
        <v>43</v>
      </c>
      <c r="S937" s="26" t="s">
        <v>38</v>
      </c>
      <c r="T937" s="26" t="s">
        <v>39</v>
      </c>
      <c r="U937" s="27">
        <v>0.84745762711864414</v>
      </c>
      <c r="V937" s="33">
        <v>1</v>
      </c>
      <c r="AG937" s="31">
        <v>0</v>
      </c>
      <c r="AH937" s="1" t="s">
        <v>44</v>
      </c>
    </row>
    <row r="938" spans="1:34">
      <c r="A938" s="15" t="s">
        <v>1004</v>
      </c>
      <c r="B938" s="8" t="s">
        <v>993</v>
      </c>
      <c r="C938" s="41" t="s">
        <v>37</v>
      </c>
      <c r="D938" s="1" t="s">
        <v>38</v>
      </c>
      <c r="E938" s="26" t="s">
        <v>39</v>
      </c>
      <c r="F938" s="27">
        <v>0.94339622641509424</v>
      </c>
      <c r="G938" s="33">
        <v>0.5</v>
      </c>
      <c r="H938" s="26" t="s">
        <v>40</v>
      </c>
      <c r="I938" s="26" t="s">
        <v>41</v>
      </c>
      <c r="J938" s="26" t="s">
        <v>42</v>
      </c>
      <c r="K938" s="27">
        <v>2.3255813953488373</v>
      </c>
      <c r="L938" s="27">
        <v>0.5</v>
      </c>
      <c r="M938" s="70"/>
      <c r="N938" s="26"/>
      <c r="O938" s="26"/>
      <c r="P938" s="27"/>
      <c r="Q938" s="36"/>
      <c r="R938" s="26" t="s">
        <v>43</v>
      </c>
      <c r="S938" s="26" t="s">
        <v>38</v>
      </c>
      <c r="T938" s="26" t="s">
        <v>39</v>
      </c>
      <c r="U938" s="27">
        <v>0.84745762711864414</v>
      </c>
      <c r="V938" s="33">
        <v>1</v>
      </c>
      <c r="AG938" s="31">
        <v>0</v>
      </c>
      <c r="AH938" s="1" t="s">
        <v>44</v>
      </c>
    </row>
    <row r="939" spans="1:34">
      <c r="A939" s="15" t="s">
        <v>1005</v>
      </c>
      <c r="B939" s="8" t="s">
        <v>993</v>
      </c>
      <c r="C939" s="41" t="s">
        <v>37</v>
      </c>
      <c r="D939" s="1" t="s">
        <v>38</v>
      </c>
      <c r="E939" s="26" t="s">
        <v>39</v>
      </c>
      <c r="F939" s="27">
        <v>0.94339622641509424</v>
      </c>
      <c r="G939" s="33">
        <v>0.5</v>
      </c>
      <c r="H939" s="26" t="s">
        <v>40</v>
      </c>
      <c r="I939" s="26" t="s">
        <v>41</v>
      </c>
      <c r="J939" s="26" t="s">
        <v>42</v>
      </c>
      <c r="K939" s="27">
        <v>2.3255813953488373</v>
      </c>
      <c r="L939" s="27">
        <v>0.5</v>
      </c>
      <c r="M939" s="70"/>
      <c r="N939" s="26"/>
      <c r="O939" s="26"/>
      <c r="P939" s="27"/>
      <c r="Q939" s="36"/>
      <c r="R939" s="26" t="s">
        <v>43</v>
      </c>
      <c r="S939" s="26" t="s">
        <v>38</v>
      </c>
      <c r="T939" s="26" t="s">
        <v>39</v>
      </c>
      <c r="U939" s="27">
        <v>0.84745762711864414</v>
      </c>
      <c r="V939" s="33">
        <v>1</v>
      </c>
      <c r="AG939" s="31">
        <v>0</v>
      </c>
      <c r="AH939" s="1" t="s">
        <v>44</v>
      </c>
    </row>
    <row r="940" spans="1:34">
      <c r="A940" s="15" t="s">
        <v>1006</v>
      </c>
      <c r="B940" s="8" t="s">
        <v>993</v>
      </c>
      <c r="C940" s="41" t="s">
        <v>37</v>
      </c>
      <c r="D940" s="1" t="s">
        <v>38</v>
      </c>
      <c r="E940" s="26" t="s">
        <v>39</v>
      </c>
      <c r="F940" s="27">
        <v>0.94339622641509424</v>
      </c>
      <c r="G940" s="33">
        <v>0.5</v>
      </c>
      <c r="H940" s="26" t="s">
        <v>40</v>
      </c>
      <c r="I940" s="26" t="s">
        <v>41</v>
      </c>
      <c r="J940" s="26" t="s">
        <v>42</v>
      </c>
      <c r="K940" s="27">
        <v>2.3255813953488373</v>
      </c>
      <c r="L940" s="27">
        <v>0.5</v>
      </c>
      <c r="M940" s="70"/>
      <c r="N940" s="26"/>
      <c r="O940" s="26"/>
      <c r="P940" s="27"/>
      <c r="Q940" s="36"/>
      <c r="R940" s="26" t="s">
        <v>43</v>
      </c>
      <c r="S940" s="26" t="s">
        <v>38</v>
      </c>
      <c r="T940" s="26" t="s">
        <v>39</v>
      </c>
      <c r="U940" s="27">
        <v>0.84745762711864414</v>
      </c>
      <c r="V940" s="33">
        <v>1</v>
      </c>
      <c r="AG940" s="31">
        <v>0</v>
      </c>
      <c r="AH940" s="1" t="s">
        <v>44</v>
      </c>
    </row>
    <row r="941" spans="1:34">
      <c r="A941" s="15" t="s">
        <v>1007</v>
      </c>
      <c r="B941" s="8" t="s">
        <v>993</v>
      </c>
      <c r="C941" s="41" t="s">
        <v>37</v>
      </c>
      <c r="D941" s="1" t="s">
        <v>38</v>
      </c>
      <c r="E941" s="26" t="s">
        <v>39</v>
      </c>
      <c r="F941" s="27">
        <v>0.94339622641509424</v>
      </c>
      <c r="G941" s="33">
        <v>0.5</v>
      </c>
      <c r="H941" s="26" t="s">
        <v>40</v>
      </c>
      <c r="I941" s="26" t="s">
        <v>41</v>
      </c>
      <c r="J941" s="26" t="s">
        <v>42</v>
      </c>
      <c r="K941" s="27">
        <v>2.3255813953488373</v>
      </c>
      <c r="L941" s="27">
        <v>0.5</v>
      </c>
      <c r="M941" s="70"/>
      <c r="N941" s="26"/>
      <c r="O941" s="26"/>
      <c r="P941" s="27"/>
      <c r="Q941" s="36"/>
      <c r="R941" s="26" t="s">
        <v>43</v>
      </c>
      <c r="S941" s="26" t="s">
        <v>38</v>
      </c>
      <c r="T941" s="26" t="s">
        <v>39</v>
      </c>
      <c r="U941" s="27">
        <v>0.84745762711864414</v>
      </c>
      <c r="V941" s="33">
        <v>1</v>
      </c>
      <c r="AG941" s="31">
        <v>0</v>
      </c>
      <c r="AH941" s="1" t="s">
        <v>44</v>
      </c>
    </row>
    <row r="942" spans="1:34">
      <c r="A942" s="15" t="s">
        <v>1008</v>
      </c>
      <c r="B942" s="8" t="s">
        <v>993</v>
      </c>
      <c r="C942" s="41" t="s">
        <v>37</v>
      </c>
      <c r="D942" s="1" t="s">
        <v>38</v>
      </c>
      <c r="E942" s="26" t="s">
        <v>39</v>
      </c>
      <c r="F942" s="27">
        <v>0.94339622641509424</v>
      </c>
      <c r="G942" s="33">
        <v>0.5</v>
      </c>
      <c r="H942" s="26" t="s">
        <v>40</v>
      </c>
      <c r="I942" s="26" t="s">
        <v>41</v>
      </c>
      <c r="J942" s="26" t="s">
        <v>42</v>
      </c>
      <c r="K942" s="27">
        <v>2.3255813953488373</v>
      </c>
      <c r="L942" s="27">
        <v>0.5</v>
      </c>
      <c r="M942" s="70"/>
      <c r="N942" s="26"/>
      <c r="O942" s="26"/>
      <c r="P942" s="27"/>
      <c r="Q942" s="36"/>
      <c r="R942" s="26" t="s">
        <v>43</v>
      </c>
      <c r="S942" s="26" t="s">
        <v>38</v>
      </c>
      <c r="T942" s="26" t="s">
        <v>39</v>
      </c>
      <c r="U942" s="27">
        <v>0.84745762711864414</v>
      </c>
      <c r="V942" s="33">
        <v>1</v>
      </c>
      <c r="AG942" s="31">
        <v>0</v>
      </c>
      <c r="AH942" s="1" t="s">
        <v>44</v>
      </c>
    </row>
    <row r="943" spans="1:34">
      <c r="A943" s="15" t="s">
        <v>1009</v>
      </c>
      <c r="B943" s="8" t="s">
        <v>993</v>
      </c>
      <c r="C943" s="41" t="s">
        <v>37</v>
      </c>
      <c r="D943" s="1" t="s">
        <v>38</v>
      </c>
      <c r="E943" s="26" t="s">
        <v>39</v>
      </c>
      <c r="F943" s="27">
        <v>0.94339622641509424</v>
      </c>
      <c r="G943" s="33">
        <v>0.5</v>
      </c>
      <c r="H943" s="26" t="s">
        <v>40</v>
      </c>
      <c r="I943" s="26" t="s">
        <v>41</v>
      </c>
      <c r="J943" s="26" t="s">
        <v>42</v>
      </c>
      <c r="K943" s="27">
        <v>2.3255813953488373</v>
      </c>
      <c r="L943" s="27">
        <v>0.5</v>
      </c>
      <c r="M943" s="70"/>
      <c r="N943" s="26"/>
      <c r="O943" s="26"/>
      <c r="P943" s="27"/>
      <c r="Q943" s="36"/>
      <c r="R943" s="26" t="s">
        <v>43</v>
      </c>
      <c r="S943" s="26" t="s">
        <v>38</v>
      </c>
      <c r="T943" s="26" t="s">
        <v>39</v>
      </c>
      <c r="U943" s="27">
        <v>0.84745762711864414</v>
      </c>
      <c r="V943" s="33">
        <v>1</v>
      </c>
      <c r="AG943" s="31">
        <v>0</v>
      </c>
      <c r="AH943" s="1" t="s">
        <v>44</v>
      </c>
    </row>
    <row r="944" spans="1:34">
      <c r="A944" s="15" t="s">
        <v>1010</v>
      </c>
      <c r="B944" s="8" t="s">
        <v>993</v>
      </c>
      <c r="C944" s="41" t="s">
        <v>37</v>
      </c>
      <c r="D944" s="1" t="s">
        <v>38</v>
      </c>
      <c r="E944" s="26" t="s">
        <v>39</v>
      </c>
      <c r="F944" s="27">
        <v>0.94339622641509424</v>
      </c>
      <c r="G944" s="33">
        <v>0.5</v>
      </c>
      <c r="H944" s="26" t="s">
        <v>40</v>
      </c>
      <c r="I944" s="26" t="s">
        <v>41</v>
      </c>
      <c r="J944" s="26" t="s">
        <v>42</v>
      </c>
      <c r="K944" s="27">
        <v>2.3255813953488373</v>
      </c>
      <c r="L944" s="27">
        <v>0.5</v>
      </c>
      <c r="M944" s="70"/>
      <c r="N944" s="26"/>
      <c r="O944" s="26"/>
      <c r="P944" s="27"/>
      <c r="Q944" s="36"/>
      <c r="R944" s="26" t="s">
        <v>43</v>
      </c>
      <c r="S944" s="26" t="s">
        <v>38</v>
      </c>
      <c r="T944" s="26" t="s">
        <v>39</v>
      </c>
      <c r="U944" s="27">
        <v>0.84745762711864414</v>
      </c>
      <c r="V944" s="33">
        <v>1</v>
      </c>
      <c r="AG944" s="31">
        <v>0</v>
      </c>
      <c r="AH944" s="1" t="s">
        <v>44</v>
      </c>
    </row>
    <row r="945" spans="1:34">
      <c r="A945" s="15" t="s">
        <v>1011</v>
      </c>
      <c r="B945" s="8" t="s">
        <v>993</v>
      </c>
      <c r="C945" s="41" t="s">
        <v>37</v>
      </c>
      <c r="D945" s="1" t="s">
        <v>38</v>
      </c>
      <c r="E945" s="26" t="s">
        <v>39</v>
      </c>
      <c r="F945" s="27">
        <v>0.94339622641509424</v>
      </c>
      <c r="G945" s="33">
        <v>0.5</v>
      </c>
      <c r="H945" s="26" t="s">
        <v>40</v>
      </c>
      <c r="I945" s="26" t="s">
        <v>41</v>
      </c>
      <c r="J945" s="26" t="s">
        <v>42</v>
      </c>
      <c r="K945" s="27">
        <v>2.3255813953488373</v>
      </c>
      <c r="L945" s="27">
        <v>0.5</v>
      </c>
      <c r="M945" s="70"/>
      <c r="N945" s="26"/>
      <c r="O945" s="26"/>
      <c r="P945" s="27"/>
      <c r="Q945" s="36"/>
      <c r="R945" s="26" t="s">
        <v>43</v>
      </c>
      <c r="S945" s="26" t="s">
        <v>38</v>
      </c>
      <c r="T945" s="26" t="s">
        <v>39</v>
      </c>
      <c r="U945" s="27">
        <v>0.84745762711864414</v>
      </c>
      <c r="V945" s="33">
        <v>1</v>
      </c>
      <c r="AG945" s="31">
        <v>0</v>
      </c>
      <c r="AH945" s="1" t="s">
        <v>44</v>
      </c>
    </row>
    <row r="946" spans="1:34">
      <c r="A946" s="15" t="s">
        <v>1012</v>
      </c>
      <c r="B946" s="8" t="s">
        <v>993</v>
      </c>
      <c r="C946" s="41" t="s">
        <v>37</v>
      </c>
      <c r="D946" s="1" t="s">
        <v>38</v>
      </c>
      <c r="E946" s="26" t="s">
        <v>39</v>
      </c>
      <c r="F946" s="27">
        <v>0.94339622641509424</v>
      </c>
      <c r="G946" s="33">
        <v>0.5</v>
      </c>
      <c r="H946" s="26" t="s">
        <v>40</v>
      </c>
      <c r="I946" s="26" t="s">
        <v>41</v>
      </c>
      <c r="J946" s="26" t="s">
        <v>42</v>
      </c>
      <c r="K946" s="27">
        <v>2.3255813953488373</v>
      </c>
      <c r="L946" s="27">
        <v>0.5</v>
      </c>
      <c r="M946" s="70"/>
      <c r="N946" s="26"/>
      <c r="O946" s="26"/>
      <c r="P946" s="27"/>
      <c r="Q946" s="36"/>
      <c r="R946" s="26" t="s">
        <v>43</v>
      </c>
      <c r="S946" s="26" t="s">
        <v>38</v>
      </c>
      <c r="T946" s="26" t="s">
        <v>39</v>
      </c>
      <c r="U946" s="27">
        <v>0.84745762711864414</v>
      </c>
      <c r="V946" s="33">
        <v>1</v>
      </c>
      <c r="AG946" s="31">
        <v>0</v>
      </c>
      <c r="AH946" s="1" t="s">
        <v>44</v>
      </c>
    </row>
    <row r="947" spans="1:34">
      <c r="A947" s="15" t="s">
        <v>1013</v>
      </c>
      <c r="B947" s="8" t="s">
        <v>993</v>
      </c>
      <c r="C947" s="41" t="s">
        <v>37</v>
      </c>
      <c r="D947" s="1" t="s">
        <v>38</v>
      </c>
      <c r="E947" s="26" t="s">
        <v>39</v>
      </c>
      <c r="F947" s="27">
        <v>0.94339622641509424</v>
      </c>
      <c r="G947" s="33">
        <v>0.5</v>
      </c>
      <c r="H947" s="26" t="s">
        <v>40</v>
      </c>
      <c r="I947" s="26" t="s">
        <v>41</v>
      </c>
      <c r="J947" s="26" t="s">
        <v>42</v>
      </c>
      <c r="K947" s="27">
        <v>2.3255813953488373</v>
      </c>
      <c r="L947" s="27">
        <v>0.5</v>
      </c>
      <c r="M947" s="70"/>
      <c r="N947" s="26"/>
      <c r="O947" s="26"/>
      <c r="P947" s="27"/>
      <c r="Q947" s="36"/>
      <c r="R947" s="26" t="s">
        <v>43</v>
      </c>
      <c r="S947" s="26" t="s">
        <v>38</v>
      </c>
      <c r="T947" s="26" t="s">
        <v>39</v>
      </c>
      <c r="U947" s="27">
        <v>0.84745762711864414</v>
      </c>
      <c r="V947" s="33">
        <v>1</v>
      </c>
      <c r="AG947" s="31">
        <v>0</v>
      </c>
      <c r="AH947" s="1" t="s">
        <v>44</v>
      </c>
    </row>
    <row r="948" spans="1:34">
      <c r="A948" s="15" t="s">
        <v>1014</v>
      </c>
      <c r="B948" s="8" t="s">
        <v>993</v>
      </c>
      <c r="C948" s="41" t="s">
        <v>37</v>
      </c>
      <c r="D948" s="1" t="s">
        <v>38</v>
      </c>
      <c r="E948" s="26" t="s">
        <v>39</v>
      </c>
      <c r="F948" s="27">
        <v>0.94339622641509424</v>
      </c>
      <c r="G948" s="33">
        <v>0.5</v>
      </c>
      <c r="H948" s="26" t="s">
        <v>40</v>
      </c>
      <c r="I948" s="26" t="s">
        <v>41</v>
      </c>
      <c r="J948" s="26" t="s">
        <v>42</v>
      </c>
      <c r="K948" s="27">
        <v>2.3255813953488373</v>
      </c>
      <c r="L948" s="27">
        <v>0.5</v>
      </c>
      <c r="M948" s="70"/>
      <c r="N948" s="26"/>
      <c r="O948" s="26"/>
      <c r="P948" s="27"/>
      <c r="Q948" s="36"/>
      <c r="R948" s="26" t="s">
        <v>43</v>
      </c>
      <c r="S948" s="26" t="s">
        <v>38</v>
      </c>
      <c r="T948" s="26" t="s">
        <v>39</v>
      </c>
      <c r="U948" s="27">
        <v>0.84745762711864414</v>
      </c>
      <c r="V948" s="33">
        <v>1</v>
      </c>
      <c r="AG948" s="31">
        <v>0</v>
      </c>
      <c r="AH948" s="1" t="s">
        <v>44</v>
      </c>
    </row>
    <row r="949" spans="1:34">
      <c r="A949" s="15" t="s">
        <v>1015</v>
      </c>
      <c r="B949" s="8" t="s">
        <v>993</v>
      </c>
      <c r="C949" s="41" t="s">
        <v>37</v>
      </c>
      <c r="D949" s="1" t="s">
        <v>38</v>
      </c>
      <c r="E949" s="26" t="s">
        <v>39</v>
      </c>
      <c r="F949" s="27">
        <v>0.94339622641509424</v>
      </c>
      <c r="G949" s="33">
        <v>0.5</v>
      </c>
      <c r="H949" s="26" t="s">
        <v>40</v>
      </c>
      <c r="I949" s="26" t="s">
        <v>41</v>
      </c>
      <c r="J949" s="26" t="s">
        <v>42</v>
      </c>
      <c r="K949" s="27">
        <v>2.3255813953488373</v>
      </c>
      <c r="L949" s="27">
        <v>0.5</v>
      </c>
      <c r="M949" s="70"/>
      <c r="N949" s="26"/>
      <c r="O949" s="26"/>
      <c r="P949" s="27"/>
      <c r="Q949" s="36"/>
      <c r="R949" s="26" t="s">
        <v>43</v>
      </c>
      <c r="S949" s="26" t="s">
        <v>38</v>
      </c>
      <c r="T949" s="26" t="s">
        <v>39</v>
      </c>
      <c r="U949" s="27">
        <v>0.84745762711864414</v>
      </c>
      <c r="V949" s="33">
        <v>1</v>
      </c>
      <c r="AG949" s="31">
        <v>0</v>
      </c>
      <c r="AH949" s="1" t="s">
        <v>44</v>
      </c>
    </row>
    <row r="950" spans="1:34">
      <c r="A950" s="15" t="s">
        <v>1016</v>
      </c>
      <c r="B950" s="8" t="s">
        <v>993</v>
      </c>
      <c r="C950" s="41" t="s">
        <v>37</v>
      </c>
      <c r="D950" s="1" t="s">
        <v>38</v>
      </c>
      <c r="E950" s="26" t="s">
        <v>39</v>
      </c>
      <c r="F950" s="27">
        <v>0.94339622641509424</v>
      </c>
      <c r="G950" s="33">
        <v>0.5</v>
      </c>
      <c r="H950" s="26" t="s">
        <v>40</v>
      </c>
      <c r="I950" s="26" t="s">
        <v>41</v>
      </c>
      <c r="J950" s="26" t="s">
        <v>42</v>
      </c>
      <c r="K950" s="27">
        <v>2.3255813953488373</v>
      </c>
      <c r="L950" s="27">
        <v>0.5</v>
      </c>
      <c r="M950" s="70"/>
      <c r="N950" s="26"/>
      <c r="O950" s="26"/>
      <c r="P950" s="27"/>
      <c r="Q950" s="36"/>
      <c r="R950" s="26" t="s">
        <v>43</v>
      </c>
      <c r="S950" s="26" t="s">
        <v>38</v>
      </c>
      <c r="T950" s="26" t="s">
        <v>39</v>
      </c>
      <c r="U950" s="27">
        <v>0.84745762711864414</v>
      </c>
      <c r="V950" s="33">
        <v>1</v>
      </c>
      <c r="AG950" s="31">
        <v>0</v>
      </c>
      <c r="AH950" s="1" t="s">
        <v>44</v>
      </c>
    </row>
    <row r="951" spans="1:34">
      <c r="A951" s="15" t="s">
        <v>1017</v>
      </c>
      <c r="B951" s="8" t="s">
        <v>993</v>
      </c>
      <c r="C951" s="41" t="s">
        <v>37</v>
      </c>
      <c r="D951" s="1" t="s">
        <v>38</v>
      </c>
      <c r="E951" s="26" t="s">
        <v>39</v>
      </c>
      <c r="F951" s="27">
        <v>0.94339622641509424</v>
      </c>
      <c r="G951" s="33">
        <v>0.5</v>
      </c>
      <c r="H951" s="26" t="s">
        <v>40</v>
      </c>
      <c r="I951" s="26" t="s">
        <v>41</v>
      </c>
      <c r="J951" s="26" t="s">
        <v>42</v>
      </c>
      <c r="K951" s="27">
        <v>2.3255813953488373</v>
      </c>
      <c r="L951" s="27">
        <v>0.5</v>
      </c>
      <c r="M951" s="70"/>
      <c r="N951" s="26"/>
      <c r="O951" s="26"/>
      <c r="P951" s="27"/>
      <c r="Q951" s="36"/>
      <c r="R951" s="26" t="s">
        <v>43</v>
      </c>
      <c r="S951" s="26" t="s">
        <v>38</v>
      </c>
      <c r="T951" s="26" t="s">
        <v>39</v>
      </c>
      <c r="U951" s="27">
        <v>0.84745762711864414</v>
      </c>
      <c r="V951" s="33">
        <v>1</v>
      </c>
      <c r="AG951" s="31">
        <v>0</v>
      </c>
      <c r="AH951" s="1" t="s">
        <v>44</v>
      </c>
    </row>
    <row r="952" spans="1:34">
      <c r="A952" s="15" t="s">
        <v>1018</v>
      </c>
      <c r="B952" s="8" t="s">
        <v>993</v>
      </c>
      <c r="C952" s="41" t="s">
        <v>37</v>
      </c>
      <c r="D952" s="1" t="s">
        <v>38</v>
      </c>
      <c r="E952" s="26" t="s">
        <v>39</v>
      </c>
      <c r="F952" s="27">
        <v>0.94339622641509424</v>
      </c>
      <c r="G952" s="33">
        <v>0.5</v>
      </c>
      <c r="H952" s="26" t="s">
        <v>40</v>
      </c>
      <c r="I952" s="26" t="s">
        <v>41</v>
      </c>
      <c r="J952" s="26" t="s">
        <v>42</v>
      </c>
      <c r="K952" s="27">
        <v>2.3255813953488373</v>
      </c>
      <c r="L952" s="27">
        <v>0.5</v>
      </c>
      <c r="M952" s="70"/>
      <c r="N952" s="26"/>
      <c r="O952" s="26"/>
      <c r="P952" s="27"/>
      <c r="Q952" s="36"/>
      <c r="R952" s="26" t="s">
        <v>43</v>
      </c>
      <c r="S952" s="26" t="s">
        <v>38</v>
      </c>
      <c r="T952" s="26" t="s">
        <v>39</v>
      </c>
      <c r="U952" s="27">
        <v>0.84745762711864414</v>
      </c>
      <c r="V952" s="33">
        <v>1</v>
      </c>
      <c r="AG952" s="31">
        <v>0</v>
      </c>
      <c r="AH952" s="1" t="s">
        <v>44</v>
      </c>
    </row>
    <row r="953" spans="1:34">
      <c r="A953" s="15" t="s">
        <v>1019</v>
      </c>
      <c r="B953" s="8" t="s">
        <v>993</v>
      </c>
      <c r="C953" s="41" t="s">
        <v>37</v>
      </c>
      <c r="D953" s="1" t="s">
        <v>38</v>
      </c>
      <c r="E953" s="26" t="s">
        <v>39</v>
      </c>
      <c r="F953" s="27">
        <v>0.94339622641509424</v>
      </c>
      <c r="G953" s="33">
        <v>0.5</v>
      </c>
      <c r="H953" s="26" t="s">
        <v>40</v>
      </c>
      <c r="I953" s="26" t="s">
        <v>41</v>
      </c>
      <c r="J953" s="26" t="s">
        <v>42</v>
      </c>
      <c r="K953" s="27">
        <v>2.3255813953488373</v>
      </c>
      <c r="L953" s="27">
        <v>0.5</v>
      </c>
      <c r="M953" s="70"/>
      <c r="N953" s="26"/>
      <c r="O953" s="26"/>
      <c r="P953" s="27"/>
      <c r="Q953" s="36"/>
      <c r="R953" s="26" t="s">
        <v>43</v>
      </c>
      <c r="S953" s="26" t="s">
        <v>38</v>
      </c>
      <c r="T953" s="26" t="s">
        <v>39</v>
      </c>
      <c r="U953" s="27">
        <v>0.84745762711864414</v>
      </c>
      <c r="V953" s="33">
        <v>1</v>
      </c>
      <c r="AG953" s="31">
        <v>0</v>
      </c>
      <c r="AH953" s="1" t="s">
        <v>44</v>
      </c>
    </row>
    <row r="954" spans="1:34">
      <c r="A954" s="15" t="s">
        <v>1020</v>
      </c>
      <c r="B954" s="8" t="s">
        <v>993</v>
      </c>
      <c r="C954" s="41" t="s">
        <v>37</v>
      </c>
      <c r="D954" s="1" t="s">
        <v>38</v>
      </c>
      <c r="E954" s="26" t="s">
        <v>39</v>
      </c>
      <c r="F954" s="27">
        <v>0.94339622641509424</v>
      </c>
      <c r="G954" s="33">
        <v>0.5</v>
      </c>
      <c r="H954" s="26" t="s">
        <v>40</v>
      </c>
      <c r="I954" s="26" t="s">
        <v>41</v>
      </c>
      <c r="J954" s="26" t="s">
        <v>42</v>
      </c>
      <c r="K954" s="27">
        <v>2.3255813953488373</v>
      </c>
      <c r="L954" s="27">
        <v>0.5</v>
      </c>
      <c r="M954" s="70"/>
      <c r="N954" s="26"/>
      <c r="O954" s="26"/>
      <c r="P954" s="27"/>
      <c r="Q954" s="36"/>
      <c r="R954" s="26" t="s">
        <v>43</v>
      </c>
      <c r="S954" s="26" t="s">
        <v>38</v>
      </c>
      <c r="T954" s="26" t="s">
        <v>39</v>
      </c>
      <c r="U954" s="27">
        <v>0.84745762711864414</v>
      </c>
      <c r="V954" s="33">
        <v>1</v>
      </c>
      <c r="AG954" s="31">
        <v>0</v>
      </c>
      <c r="AH954" s="1" t="s">
        <v>44</v>
      </c>
    </row>
    <row r="955" spans="1:34">
      <c r="A955" s="15" t="s">
        <v>1021</v>
      </c>
      <c r="B955" s="8" t="s">
        <v>993</v>
      </c>
      <c r="C955" s="41" t="s">
        <v>37</v>
      </c>
      <c r="D955" s="1" t="s">
        <v>38</v>
      </c>
      <c r="E955" s="26" t="s">
        <v>39</v>
      </c>
      <c r="F955" s="27">
        <v>0.94339622641509424</v>
      </c>
      <c r="G955" s="33">
        <v>0.5</v>
      </c>
      <c r="H955" s="26" t="s">
        <v>40</v>
      </c>
      <c r="I955" s="26" t="s">
        <v>41</v>
      </c>
      <c r="J955" s="26" t="s">
        <v>42</v>
      </c>
      <c r="K955" s="27">
        <v>2.3255813953488373</v>
      </c>
      <c r="L955" s="27">
        <v>0.5</v>
      </c>
      <c r="M955" s="70"/>
      <c r="N955" s="26"/>
      <c r="O955" s="26"/>
      <c r="P955" s="27"/>
      <c r="Q955" s="36"/>
      <c r="R955" s="26" t="s">
        <v>43</v>
      </c>
      <c r="S955" s="26" t="s">
        <v>38</v>
      </c>
      <c r="T955" s="26" t="s">
        <v>39</v>
      </c>
      <c r="U955" s="27">
        <v>0.84745762711864414</v>
      </c>
      <c r="V955" s="33">
        <v>1</v>
      </c>
      <c r="AG955" s="31">
        <v>1</v>
      </c>
      <c r="AH955" s="1" t="s">
        <v>73</v>
      </c>
    </row>
    <row r="956" spans="1:34">
      <c r="A956" s="15" t="s">
        <v>1022</v>
      </c>
      <c r="B956" s="8" t="s">
        <v>993</v>
      </c>
      <c r="C956" s="41" t="s">
        <v>37</v>
      </c>
      <c r="D956" s="1" t="s">
        <v>38</v>
      </c>
      <c r="E956" s="26" t="s">
        <v>39</v>
      </c>
      <c r="F956" s="27">
        <v>0.94339622641509424</v>
      </c>
      <c r="G956" s="33">
        <v>0.5</v>
      </c>
      <c r="H956" s="26" t="s">
        <v>40</v>
      </c>
      <c r="I956" s="26" t="s">
        <v>41</v>
      </c>
      <c r="J956" s="26" t="s">
        <v>42</v>
      </c>
      <c r="K956" s="27">
        <v>2.3255813953488373</v>
      </c>
      <c r="L956" s="27">
        <v>0.5</v>
      </c>
      <c r="M956" s="70"/>
      <c r="N956" s="26"/>
      <c r="O956" s="26"/>
      <c r="P956" s="27"/>
      <c r="Q956" s="36"/>
      <c r="R956" s="26" t="s">
        <v>43</v>
      </c>
      <c r="S956" s="26" t="s">
        <v>38</v>
      </c>
      <c r="T956" s="26" t="s">
        <v>39</v>
      </c>
      <c r="U956" s="27">
        <v>0.84745762711864414</v>
      </c>
      <c r="V956" s="33">
        <v>1</v>
      </c>
      <c r="AG956" s="31">
        <v>1</v>
      </c>
      <c r="AH956" s="1" t="s">
        <v>73</v>
      </c>
    </row>
    <row r="957" spans="1:34">
      <c r="A957" s="15" t="s">
        <v>1023</v>
      </c>
      <c r="B957" s="8" t="s">
        <v>993</v>
      </c>
      <c r="C957" s="41" t="s">
        <v>37</v>
      </c>
      <c r="D957" s="1" t="s">
        <v>38</v>
      </c>
      <c r="E957" s="26" t="s">
        <v>39</v>
      </c>
      <c r="F957" s="27">
        <v>0.94339622641509424</v>
      </c>
      <c r="G957" s="33">
        <v>0.5</v>
      </c>
      <c r="H957" s="26" t="s">
        <v>40</v>
      </c>
      <c r="I957" s="26" t="s">
        <v>41</v>
      </c>
      <c r="J957" s="26" t="s">
        <v>42</v>
      </c>
      <c r="K957" s="27">
        <v>2.3255813953488373</v>
      </c>
      <c r="L957" s="27">
        <v>0.5</v>
      </c>
      <c r="M957" s="70"/>
      <c r="N957" s="26"/>
      <c r="O957" s="26"/>
      <c r="P957" s="27"/>
      <c r="Q957" s="36"/>
      <c r="R957" s="26" t="s">
        <v>43</v>
      </c>
      <c r="S957" s="26" t="s">
        <v>38</v>
      </c>
      <c r="T957" s="26" t="s">
        <v>39</v>
      </c>
      <c r="U957" s="27">
        <v>0.84745762711864414</v>
      </c>
      <c r="V957" s="33">
        <v>1</v>
      </c>
      <c r="AG957" s="31">
        <v>1</v>
      </c>
      <c r="AH957" s="1" t="s">
        <v>73</v>
      </c>
    </row>
    <row r="958" spans="1:34">
      <c r="A958" s="15" t="s">
        <v>1024</v>
      </c>
      <c r="B958" s="8" t="s">
        <v>993</v>
      </c>
      <c r="C958" s="41" t="s">
        <v>37</v>
      </c>
      <c r="D958" s="1" t="s">
        <v>38</v>
      </c>
      <c r="E958" s="26" t="s">
        <v>39</v>
      </c>
      <c r="F958" s="27">
        <v>0.94339622641509424</v>
      </c>
      <c r="G958" s="33">
        <v>0.5</v>
      </c>
      <c r="H958" s="26" t="s">
        <v>40</v>
      </c>
      <c r="I958" s="26" t="s">
        <v>41</v>
      </c>
      <c r="J958" s="26" t="s">
        <v>42</v>
      </c>
      <c r="K958" s="27">
        <v>2.3255813953488373</v>
      </c>
      <c r="L958" s="27">
        <v>0.5</v>
      </c>
      <c r="M958" s="70"/>
      <c r="N958" s="26"/>
      <c r="O958" s="26"/>
      <c r="P958" s="27"/>
      <c r="Q958" s="36"/>
      <c r="R958" s="26" t="s">
        <v>43</v>
      </c>
      <c r="S958" s="26" t="s">
        <v>38</v>
      </c>
      <c r="T958" s="26" t="s">
        <v>39</v>
      </c>
      <c r="U958" s="27">
        <v>0.84745762711864414</v>
      </c>
      <c r="V958" s="33">
        <v>1</v>
      </c>
      <c r="AG958" s="31">
        <v>1</v>
      </c>
      <c r="AH958" s="1" t="s">
        <v>73</v>
      </c>
    </row>
    <row r="959" spans="1:34">
      <c r="A959" s="15" t="s">
        <v>1025</v>
      </c>
      <c r="B959" s="8" t="s">
        <v>993</v>
      </c>
      <c r="C959" s="41" t="s">
        <v>37</v>
      </c>
      <c r="D959" s="1" t="s">
        <v>38</v>
      </c>
      <c r="E959" s="26" t="s">
        <v>39</v>
      </c>
      <c r="F959" s="27">
        <v>0.94339622641509424</v>
      </c>
      <c r="G959" s="33">
        <v>0.5</v>
      </c>
      <c r="H959" s="26" t="s">
        <v>40</v>
      </c>
      <c r="I959" s="26" t="s">
        <v>41</v>
      </c>
      <c r="J959" s="26" t="s">
        <v>42</v>
      </c>
      <c r="K959" s="27">
        <v>2.3255813953488373</v>
      </c>
      <c r="L959" s="27">
        <v>0.5</v>
      </c>
      <c r="M959" s="70"/>
      <c r="N959" s="26"/>
      <c r="O959" s="26"/>
      <c r="P959" s="27"/>
      <c r="Q959" s="36"/>
      <c r="R959" s="26" t="s">
        <v>43</v>
      </c>
      <c r="S959" s="26" t="s">
        <v>38</v>
      </c>
      <c r="T959" s="26" t="s">
        <v>39</v>
      </c>
      <c r="U959" s="27">
        <v>0.84745762711864414</v>
      </c>
      <c r="V959" s="33">
        <v>1</v>
      </c>
      <c r="AG959" s="31">
        <v>1</v>
      </c>
      <c r="AH959" s="1" t="s">
        <v>73</v>
      </c>
    </row>
    <row r="960" spans="1:34">
      <c r="A960" s="15" t="s">
        <v>1026</v>
      </c>
      <c r="B960" s="8" t="s">
        <v>993</v>
      </c>
      <c r="C960" s="41" t="s">
        <v>37</v>
      </c>
      <c r="D960" s="1" t="s">
        <v>38</v>
      </c>
      <c r="E960" s="26" t="s">
        <v>39</v>
      </c>
      <c r="F960" s="27">
        <v>0.94339622641509424</v>
      </c>
      <c r="G960" s="33">
        <v>0.5</v>
      </c>
      <c r="H960" s="26" t="s">
        <v>40</v>
      </c>
      <c r="I960" s="26" t="s">
        <v>41</v>
      </c>
      <c r="J960" s="26" t="s">
        <v>42</v>
      </c>
      <c r="K960" s="27">
        <v>2.3255813953488373</v>
      </c>
      <c r="L960" s="27">
        <v>0.5</v>
      </c>
      <c r="M960" s="70"/>
      <c r="N960" s="26"/>
      <c r="O960" s="26"/>
      <c r="P960" s="27"/>
      <c r="Q960" s="36"/>
      <c r="R960" s="26" t="s">
        <v>43</v>
      </c>
      <c r="S960" s="26" t="s">
        <v>38</v>
      </c>
      <c r="T960" s="26" t="s">
        <v>39</v>
      </c>
      <c r="U960" s="27">
        <v>0.84745762711864414</v>
      </c>
      <c r="V960" s="33">
        <v>1</v>
      </c>
      <c r="AG960" s="31">
        <v>1</v>
      </c>
      <c r="AH960" s="1" t="s">
        <v>73</v>
      </c>
    </row>
    <row r="961" spans="1:34">
      <c r="A961" s="15" t="s">
        <v>1027</v>
      </c>
      <c r="B961" s="8" t="s">
        <v>993</v>
      </c>
      <c r="C961" s="41" t="s">
        <v>37</v>
      </c>
      <c r="D961" s="1" t="s">
        <v>38</v>
      </c>
      <c r="E961" s="26" t="s">
        <v>39</v>
      </c>
      <c r="F961" s="27">
        <v>0.94339622641509424</v>
      </c>
      <c r="G961" s="33">
        <v>0.5</v>
      </c>
      <c r="H961" s="26" t="s">
        <v>40</v>
      </c>
      <c r="I961" s="26" t="s">
        <v>41</v>
      </c>
      <c r="J961" s="26" t="s">
        <v>42</v>
      </c>
      <c r="K961" s="27">
        <v>2.3255813953488373</v>
      </c>
      <c r="L961" s="27">
        <v>0.5</v>
      </c>
      <c r="M961" s="70"/>
      <c r="N961" s="26"/>
      <c r="O961" s="26"/>
      <c r="P961" s="27"/>
      <c r="Q961" s="36"/>
      <c r="R961" s="26" t="s">
        <v>43</v>
      </c>
      <c r="S961" s="26" t="s">
        <v>38</v>
      </c>
      <c r="T961" s="26" t="s">
        <v>39</v>
      </c>
      <c r="U961" s="27">
        <v>0.84745762711864414</v>
      </c>
      <c r="V961" s="33">
        <v>1</v>
      </c>
      <c r="AG961" s="31">
        <v>1</v>
      </c>
      <c r="AH961" s="1" t="s">
        <v>73</v>
      </c>
    </row>
    <row r="962" spans="1:34">
      <c r="A962" s="15" t="s">
        <v>1028</v>
      </c>
      <c r="B962" s="8" t="s">
        <v>993</v>
      </c>
      <c r="C962" s="41" t="s">
        <v>37</v>
      </c>
      <c r="D962" s="1" t="s">
        <v>38</v>
      </c>
      <c r="E962" s="26" t="s">
        <v>39</v>
      </c>
      <c r="F962" s="27">
        <v>0.94339622641509424</v>
      </c>
      <c r="G962" s="33">
        <v>0.5</v>
      </c>
      <c r="H962" s="26" t="s">
        <v>40</v>
      </c>
      <c r="I962" s="26" t="s">
        <v>41</v>
      </c>
      <c r="J962" s="26" t="s">
        <v>42</v>
      </c>
      <c r="K962" s="27">
        <v>2.3255813953488373</v>
      </c>
      <c r="L962" s="27">
        <v>0.5</v>
      </c>
      <c r="M962" s="70"/>
      <c r="N962" s="26"/>
      <c r="O962" s="26"/>
      <c r="P962" s="27"/>
      <c r="Q962" s="36"/>
      <c r="R962" s="26" t="s">
        <v>43</v>
      </c>
      <c r="S962" s="26" t="s">
        <v>38</v>
      </c>
      <c r="T962" s="26" t="s">
        <v>39</v>
      </c>
      <c r="U962" s="27">
        <v>0.84745762711864414</v>
      </c>
      <c r="V962" s="33">
        <v>1</v>
      </c>
      <c r="AG962" s="31">
        <v>0</v>
      </c>
      <c r="AH962" s="1" t="s">
        <v>44</v>
      </c>
    </row>
    <row r="963" spans="1:34">
      <c r="A963" s="15" t="s">
        <v>1029</v>
      </c>
      <c r="B963" s="8" t="s">
        <v>993</v>
      </c>
      <c r="C963" s="41" t="s">
        <v>37</v>
      </c>
      <c r="D963" s="1" t="s">
        <v>38</v>
      </c>
      <c r="E963" s="26" t="s">
        <v>39</v>
      </c>
      <c r="F963" s="27">
        <v>0.94339622641509424</v>
      </c>
      <c r="G963" s="33">
        <v>0.5</v>
      </c>
      <c r="H963" s="26" t="s">
        <v>40</v>
      </c>
      <c r="I963" s="26" t="s">
        <v>41</v>
      </c>
      <c r="J963" s="26" t="s">
        <v>42</v>
      </c>
      <c r="K963" s="27">
        <v>2.3255813953488373</v>
      </c>
      <c r="L963" s="27">
        <v>0.5</v>
      </c>
      <c r="M963" s="70"/>
      <c r="N963" s="26"/>
      <c r="O963" s="26"/>
      <c r="P963" s="27"/>
      <c r="Q963" s="36"/>
      <c r="R963" s="26" t="s">
        <v>43</v>
      </c>
      <c r="S963" s="26" t="s">
        <v>38</v>
      </c>
      <c r="T963" s="26" t="s">
        <v>39</v>
      </c>
      <c r="U963" s="27">
        <v>0.84745762711864414</v>
      </c>
      <c r="V963" s="33">
        <v>1</v>
      </c>
      <c r="AG963" s="31">
        <v>0</v>
      </c>
      <c r="AH963" s="1" t="s">
        <v>44</v>
      </c>
    </row>
    <row r="964" spans="1:34">
      <c r="A964" s="15" t="s">
        <v>1030</v>
      </c>
      <c r="B964" s="8" t="s">
        <v>993</v>
      </c>
      <c r="C964" s="41" t="s">
        <v>37</v>
      </c>
      <c r="D964" s="1" t="s">
        <v>38</v>
      </c>
      <c r="E964" s="26" t="s">
        <v>39</v>
      </c>
      <c r="F964" s="27">
        <v>0.94339622641509424</v>
      </c>
      <c r="G964" s="33">
        <v>0.5</v>
      </c>
      <c r="H964" s="26" t="s">
        <v>40</v>
      </c>
      <c r="I964" s="26" t="s">
        <v>41</v>
      </c>
      <c r="J964" s="26" t="s">
        <v>42</v>
      </c>
      <c r="K964" s="27">
        <v>2.3255813953488373</v>
      </c>
      <c r="L964" s="27">
        <v>0.5</v>
      </c>
      <c r="M964" s="70"/>
      <c r="N964" s="26"/>
      <c r="O964" s="26"/>
      <c r="P964" s="27"/>
      <c r="Q964" s="36"/>
      <c r="R964" s="26" t="s">
        <v>43</v>
      </c>
      <c r="S964" s="26" t="s">
        <v>38</v>
      </c>
      <c r="T964" s="26" t="s">
        <v>39</v>
      </c>
      <c r="U964" s="27">
        <v>0.84745762711864414</v>
      </c>
      <c r="V964" s="33">
        <v>1</v>
      </c>
      <c r="AG964" s="31">
        <v>0</v>
      </c>
      <c r="AH964" s="1" t="s">
        <v>44</v>
      </c>
    </row>
    <row r="965" spans="1:34">
      <c r="A965" s="15" t="s">
        <v>1031</v>
      </c>
      <c r="B965" s="8" t="s">
        <v>993</v>
      </c>
      <c r="C965" s="41" t="s">
        <v>37</v>
      </c>
      <c r="D965" s="1" t="s">
        <v>38</v>
      </c>
      <c r="E965" s="26" t="s">
        <v>39</v>
      </c>
      <c r="F965" s="27">
        <v>0.94339622641509424</v>
      </c>
      <c r="G965" s="33">
        <v>0.5</v>
      </c>
      <c r="H965" s="26" t="s">
        <v>40</v>
      </c>
      <c r="I965" s="26" t="s">
        <v>41</v>
      </c>
      <c r="J965" s="26" t="s">
        <v>42</v>
      </c>
      <c r="K965" s="27">
        <v>2.3255813953488373</v>
      </c>
      <c r="L965" s="27">
        <v>0.5</v>
      </c>
      <c r="M965" s="70"/>
      <c r="N965" s="26"/>
      <c r="O965" s="26"/>
      <c r="P965" s="27"/>
      <c r="Q965" s="36"/>
      <c r="R965" s="26" t="s">
        <v>43</v>
      </c>
      <c r="S965" s="26" t="s">
        <v>38</v>
      </c>
      <c r="T965" s="26" t="s">
        <v>39</v>
      </c>
      <c r="U965" s="27">
        <v>0.84745762711864414</v>
      </c>
      <c r="V965" s="33">
        <v>1</v>
      </c>
      <c r="AG965" s="31">
        <v>0</v>
      </c>
      <c r="AH965" s="1" t="s">
        <v>44</v>
      </c>
    </row>
    <row r="966" spans="1:34">
      <c r="A966" s="15" t="s">
        <v>1032</v>
      </c>
      <c r="B966" s="8" t="s">
        <v>993</v>
      </c>
      <c r="C966" s="41" t="s">
        <v>37</v>
      </c>
      <c r="D966" s="1" t="s">
        <v>38</v>
      </c>
      <c r="E966" s="26" t="s">
        <v>39</v>
      </c>
      <c r="F966" s="27">
        <v>0.94339622641509424</v>
      </c>
      <c r="G966" s="33">
        <v>0.5</v>
      </c>
      <c r="H966" s="26" t="s">
        <v>40</v>
      </c>
      <c r="I966" s="26" t="s">
        <v>41</v>
      </c>
      <c r="J966" s="26" t="s">
        <v>42</v>
      </c>
      <c r="K966" s="27">
        <v>2.3255813953488373</v>
      </c>
      <c r="L966" s="27">
        <v>0.5</v>
      </c>
      <c r="M966" s="70"/>
      <c r="N966" s="26"/>
      <c r="O966" s="26"/>
      <c r="P966" s="27"/>
      <c r="Q966" s="36"/>
      <c r="R966" s="26" t="s">
        <v>43</v>
      </c>
      <c r="S966" s="26" t="s">
        <v>38</v>
      </c>
      <c r="T966" s="26" t="s">
        <v>39</v>
      </c>
      <c r="U966" s="27">
        <v>0.84745762711864414</v>
      </c>
      <c r="V966" s="33">
        <v>1</v>
      </c>
      <c r="AG966" s="31">
        <v>0</v>
      </c>
      <c r="AH966" s="1" t="s">
        <v>44</v>
      </c>
    </row>
    <row r="967" spans="1:34">
      <c r="A967" s="15" t="s">
        <v>1033</v>
      </c>
      <c r="B967" s="8" t="s">
        <v>993</v>
      </c>
      <c r="C967" s="41" t="s">
        <v>37</v>
      </c>
      <c r="D967" s="1" t="s">
        <v>38</v>
      </c>
      <c r="E967" s="26" t="s">
        <v>39</v>
      </c>
      <c r="F967" s="27">
        <v>0.94339622641509424</v>
      </c>
      <c r="G967" s="33">
        <v>0.5</v>
      </c>
      <c r="H967" s="26" t="s">
        <v>40</v>
      </c>
      <c r="I967" s="26" t="s">
        <v>41</v>
      </c>
      <c r="J967" s="26" t="s">
        <v>42</v>
      </c>
      <c r="K967" s="27">
        <v>2.3255813953488373</v>
      </c>
      <c r="L967" s="27">
        <v>0.5</v>
      </c>
      <c r="M967" s="70"/>
      <c r="N967" s="26"/>
      <c r="O967" s="26"/>
      <c r="P967" s="27"/>
      <c r="Q967" s="36"/>
      <c r="R967" s="26" t="s">
        <v>43</v>
      </c>
      <c r="S967" s="26" t="s">
        <v>38</v>
      </c>
      <c r="T967" s="26" t="s">
        <v>39</v>
      </c>
      <c r="U967" s="27">
        <v>0.84745762711864414</v>
      </c>
      <c r="V967" s="33">
        <v>1</v>
      </c>
      <c r="AG967" s="31">
        <v>0</v>
      </c>
      <c r="AH967" s="1" t="s">
        <v>44</v>
      </c>
    </row>
    <row r="968" spans="1:34">
      <c r="A968" s="15" t="s">
        <v>1034</v>
      </c>
      <c r="B968" s="8" t="s">
        <v>993</v>
      </c>
      <c r="C968" s="41" t="s">
        <v>37</v>
      </c>
      <c r="D968" s="1" t="s">
        <v>38</v>
      </c>
      <c r="E968" s="26" t="s">
        <v>39</v>
      </c>
      <c r="F968" s="27">
        <v>0.94339622641509424</v>
      </c>
      <c r="G968" s="33">
        <v>0.5</v>
      </c>
      <c r="H968" s="26" t="s">
        <v>40</v>
      </c>
      <c r="I968" s="26" t="s">
        <v>41</v>
      </c>
      <c r="J968" s="26" t="s">
        <v>42</v>
      </c>
      <c r="K968" s="27">
        <v>2.3255813953488373</v>
      </c>
      <c r="L968" s="27">
        <v>0.5</v>
      </c>
      <c r="M968" s="70"/>
      <c r="N968" s="26"/>
      <c r="O968" s="26"/>
      <c r="P968" s="27"/>
      <c r="Q968" s="36"/>
      <c r="R968" s="26" t="s">
        <v>43</v>
      </c>
      <c r="S968" s="26" t="s">
        <v>38</v>
      </c>
      <c r="T968" s="26" t="s">
        <v>39</v>
      </c>
      <c r="U968" s="27">
        <v>0.84745762711864414</v>
      </c>
      <c r="V968" s="33">
        <v>1</v>
      </c>
      <c r="AG968" s="31">
        <v>0</v>
      </c>
      <c r="AH968" s="1" t="s">
        <v>44</v>
      </c>
    </row>
    <row r="969" spans="1:34">
      <c r="A969" s="15" t="s">
        <v>1035</v>
      </c>
      <c r="B969" s="8" t="s">
        <v>993</v>
      </c>
      <c r="C969" s="41" t="s">
        <v>37</v>
      </c>
      <c r="D969" s="1" t="s">
        <v>38</v>
      </c>
      <c r="E969" s="26" t="s">
        <v>39</v>
      </c>
      <c r="F969" s="27">
        <v>0.94339622641509424</v>
      </c>
      <c r="G969" s="33">
        <v>0.5</v>
      </c>
      <c r="H969" s="26" t="s">
        <v>40</v>
      </c>
      <c r="I969" s="26" t="s">
        <v>41</v>
      </c>
      <c r="J969" s="26" t="s">
        <v>42</v>
      </c>
      <c r="K969" s="27">
        <v>2.3255813953488373</v>
      </c>
      <c r="L969" s="27">
        <v>0.5</v>
      </c>
      <c r="M969" s="70"/>
      <c r="N969" s="26"/>
      <c r="O969" s="26"/>
      <c r="P969" s="27"/>
      <c r="Q969" s="36"/>
      <c r="R969" s="26" t="s">
        <v>43</v>
      </c>
      <c r="S969" s="26" t="s">
        <v>38</v>
      </c>
      <c r="T969" s="26" t="s">
        <v>39</v>
      </c>
      <c r="U969" s="27">
        <v>0.84745762711864414</v>
      </c>
      <c r="V969" s="33">
        <v>1</v>
      </c>
      <c r="AG969" s="31">
        <v>0</v>
      </c>
      <c r="AH969" s="1" t="s">
        <v>44</v>
      </c>
    </row>
    <row r="970" spans="1:34">
      <c r="A970" s="15" t="s">
        <v>1036</v>
      </c>
      <c r="B970" s="8" t="s">
        <v>993</v>
      </c>
      <c r="C970" s="41" t="s">
        <v>37</v>
      </c>
      <c r="D970" s="1" t="s">
        <v>38</v>
      </c>
      <c r="E970" s="26" t="s">
        <v>39</v>
      </c>
      <c r="F970" s="27">
        <v>0.94339622641509424</v>
      </c>
      <c r="G970" s="33">
        <v>0.5</v>
      </c>
      <c r="H970" s="26" t="s">
        <v>40</v>
      </c>
      <c r="I970" s="26" t="s">
        <v>41</v>
      </c>
      <c r="J970" s="26" t="s">
        <v>42</v>
      </c>
      <c r="K970" s="27">
        <v>2.3255813953488373</v>
      </c>
      <c r="L970" s="27">
        <v>0.5</v>
      </c>
      <c r="M970" s="70"/>
      <c r="N970" s="26"/>
      <c r="O970" s="26"/>
      <c r="P970" s="27"/>
      <c r="Q970" s="36"/>
      <c r="R970" s="26" t="s">
        <v>43</v>
      </c>
      <c r="S970" s="26" t="s">
        <v>38</v>
      </c>
      <c r="T970" s="26" t="s">
        <v>39</v>
      </c>
      <c r="U970" s="27">
        <v>0.84745762711864414</v>
      </c>
      <c r="V970" s="33">
        <v>1</v>
      </c>
      <c r="AG970" s="31">
        <v>0</v>
      </c>
      <c r="AH970" s="1" t="s">
        <v>44</v>
      </c>
    </row>
    <row r="971" spans="1:34">
      <c r="A971" s="15" t="s">
        <v>1037</v>
      </c>
      <c r="B971" s="8" t="s">
        <v>993</v>
      </c>
      <c r="C971" s="41" t="s">
        <v>37</v>
      </c>
      <c r="D971" s="1" t="s">
        <v>38</v>
      </c>
      <c r="E971" s="26" t="s">
        <v>39</v>
      </c>
      <c r="F971" s="27">
        <v>0.94339622641509424</v>
      </c>
      <c r="G971" s="33">
        <v>0.5</v>
      </c>
      <c r="H971" s="26" t="s">
        <v>40</v>
      </c>
      <c r="I971" s="26" t="s">
        <v>41</v>
      </c>
      <c r="J971" s="26" t="s">
        <v>42</v>
      </c>
      <c r="K971" s="27">
        <v>2.3255813953488373</v>
      </c>
      <c r="L971" s="27">
        <v>0.5</v>
      </c>
      <c r="M971" s="70"/>
      <c r="N971" s="26"/>
      <c r="O971" s="26"/>
      <c r="P971" s="27"/>
      <c r="Q971" s="36"/>
      <c r="R971" s="26" t="s">
        <v>43</v>
      </c>
      <c r="S971" s="26" t="s">
        <v>38</v>
      </c>
      <c r="T971" s="26" t="s">
        <v>39</v>
      </c>
      <c r="U971" s="27">
        <v>0.84745762711864414</v>
      </c>
      <c r="V971" s="33">
        <v>1</v>
      </c>
      <c r="AG971" s="31">
        <v>0</v>
      </c>
      <c r="AH971" s="1" t="s">
        <v>44</v>
      </c>
    </row>
    <row r="972" spans="1:34">
      <c r="A972" s="15" t="s">
        <v>1038</v>
      </c>
      <c r="B972" s="8" t="s">
        <v>993</v>
      </c>
      <c r="C972" s="41" t="s">
        <v>37</v>
      </c>
      <c r="D972" s="1" t="s">
        <v>38</v>
      </c>
      <c r="E972" s="26" t="s">
        <v>39</v>
      </c>
      <c r="F972" s="27">
        <v>0.94339622641509424</v>
      </c>
      <c r="G972" s="33">
        <v>0.5</v>
      </c>
      <c r="H972" s="26" t="s">
        <v>40</v>
      </c>
      <c r="I972" s="26" t="s">
        <v>41</v>
      </c>
      <c r="J972" s="26" t="s">
        <v>42</v>
      </c>
      <c r="K972" s="27">
        <v>2.3255813953488373</v>
      </c>
      <c r="L972" s="27">
        <v>0.5</v>
      </c>
      <c r="M972" s="70"/>
      <c r="N972" s="26"/>
      <c r="O972" s="26"/>
      <c r="P972" s="27"/>
      <c r="Q972" s="36"/>
      <c r="R972" s="26" t="s">
        <v>43</v>
      </c>
      <c r="S972" s="26" t="s">
        <v>38</v>
      </c>
      <c r="T972" s="26" t="s">
        <v>39</v>
      </c>
      <c r="U972" s="27">
        <v>0.84745762711864414</v>
      </c>
      <c r="V972" s="33">
        <v>1</v>
      </c>
      <c r="AG972" s="31">
        <v>0</v>
      </c>
      <c r="AH972" s="1" t="s">
        <v>44</v>
      </c>
    </row>
    <row r="973" spans="1:34">
      <c r="A973" s="15" t="s">
        <v>1039</v>
      </c>
      <c r="B973" s="8" t="s">
        <v>993</v>
      </c>
      <c r="C973" s="41" t="s">
        <v>37</v>
      </c>
      <c r="D973" s="1" t="s">
        <v>38</v>
      </c>
      <c r="E973" s="26" t="s">
        <v>39</v>
      </c>
      <c r="F973" s="27">
        <v>0.94339622641509424</v>
      </c>
      <c r="G973" s="33">
        <v>0.5</v>
      </c>
      <c r="H973" s="26" t="s">
        <v>40</v>
      </c>
      <c r="I973" s="26" t="s">
        <v>41</v>
      </c>
      <c r="J973" s="26" t="s">
        <v>42</v>
      </c>
      <c r="K973" s="27">
        <v>2.3255813953488373</v>
      </c>
      <c r="L973" s="27">
        <v>0.5</v>
      </c>
      <c r="M973" s="70"/>
      <c r="N973" s="26"/>
      <c r="O973" s="26"/>
      <c r="P973" s="27"/>
      <c r="Q973" s="36"/>
      <c r="R973" s="26" t="s">
        <v>43</v>
      </c>
      <c r="S973" s="26" t="s">
        <v>38</v>
      </c>
      <c r="T973" s="26" t="s">
        <v>39</v>
      </c>
      <c r="U973" s="27">
        <v>0.84745762711864414</v>
      </c>
      <c r="V973" s="33">
        <v>1</v>
      </c>
      <c r="AG973" s="31">
        <v>0</v>
      </c>
      <c r="AH973" s="1" t="s">
        <v>44</v>
      </c>
    </row>
    <row r="974" spans="1:34">
      <c r="A974" s="15" t="s">
        <v>1040</v>
      </c>
      <c r="B974" s="8" t="s">
        <v>993</v>
      </c>
      <c r="C974" s="41" t="s">
        <v>37</v>
      </c>
      <c r="D974" s="1" t="s">
        <v>38</v>
      </c>
      <c r="E974" s="26" t="s">
        <v>39</v>
      </c>
      <c r="F974" s="27">
        <v>0.94339622641509424</v>
      </c>
      <c r="G974" s="33">
        <v>0.5</v>
      </c>
      <c r="H974" s="26" t="s">
        <v>40</v>
      </c>
      <c r="I974" s="26" t="s">
        <v>41</v>
      </c>
      <c r="J974" s="26" t="s">
        <v>42</v>
      </c>
      <c r="K974" s="27">
        <v>2.3255813953488373</v>
      </c>
      <c r="L974" s="27">
        <v>0.5</v>
      </c>
      <c r="M974" s="70"/>
      <c r="N974" s="26"/>
      <c r="O974" s="26"/>
      <c r="P974" s="27"/>
      <c r="Q974" s="36"/>
      <c r="R974" s="26" t="s">
        <v>43</v>
      </c>
      <c r="S974" s="26" t="s">
        <v>38</v>
      </c>
      <c r="T974" s="26" t="s">
        <v>39</v>
      </c>
      <c r="U974" s="27">
        <v>0.84745762711864414</v>
      </c>
      <c r="V974" s="33">
        <v>1</v>
      </c>
      <c r="AG974" s="31">
        <v>0</v>
      </c>
      <c r="AH974" s="1" t="s">
        <v>44</v>
      </c>
    </row>
    <row r="975" spans="1:34">
      <c r="A975" s="15" t="s">
        <v>1041</v>
      </c>
      <c r="B975" s="8" t="s">
        <v>993</v>
      </c>
      <c r="C975" s="41" t="s">
        <v>37</v>
      </c>
      <c r="D975" s="1" t="s">
        <v>38</v>
      </c>
      <c r="E975" s="26" t="s">
        <v>39</v>
      </c>
      <c r="F975" s="27">
        <v>0.94339622641509424</v>
      </c>
      <c r="G975" s="33">
        <v>0.5</v>
      </c>
      <c r="H975" s="26" t="s">
        <v>40</v>
      </c>
      <c r="I975" s="26" t="s">
        <v>41</v>
      </c>
      <c r="J975" s="26" t="s">
        <v>42</v>
      </c>
      <c r="K975" s="27">
        <v>2.3255813953488373</v>
      </c>
      <c r="L975" s="27">
        <v>0.5</v>
      </c>
      <c r="M975" s="70"/>
      <c r="N975" s="26"/>
      <c r="O975" s="26"/>
      <c r="P975" s="27"/>
      <c r="Q975" s="36"/>
      <c r="R975" s="26" t="s">
        <v>43</v>
      </c>
      <c r="S975" s="26" t="s">
        <v>38</v>
      </c>
      <c r="T975" s="26" t="s">
        <v>39</v>
      </c>
      <c r="U975" s="27">
        <v>0.84745762711864414</v>
      </c>
      <c r="V975" s="33">
        <v>1</v>
      </c>
      <c r="AG975" s="31">
        <v>0</v>
      </c>
      <c r="AH975" s="1" t="s">
        <v>44</v>
      </c>
    </row>
    <row r="976" spans="1:34">
      <c r="A976" s="15" t="s">
        <v>1042</v>
      </c>
      <c r="B976" s="8" t="s">
        <v>993</v>
      </c>
      <c r="C976" s="41" t="s">
        <v>37</v>
      </c>
      <c r="D976" s="1" t="s">
        <v>38</v>
      </c>
      <c r="E976" s="26" t="s">
        <v>39</v>
      </c>
      <c r="F976" s="27">
        <v>0.94339622641509424</v>
      </c>
      <c r="G976" s="33">
        <v>0.5</v>
      </c>
      <c r="H976" s="26" t="s">
        <v>40</v>
      </c>
      <c r="I976" s="26" t="s">
        <v>41</v>
      </c>
      <c r="J976" s="26" t="s">
        <v>42</v>
      </c>
      <c r="K976" s="27">
        <v>2.3255813953488373</v>
      </c>
      <c r="L976" s="27">
        <v>0.5</v>
      </c>
      <c r="M976" s="70"/>
      <c r="N976" s="26"/>
      <c r="O976" s="26"/>
      <c r="P976" s="27"/>
      <c r="Q976" s="36"/>
      <c r="R976" s="26" t="s">
        <v>43</v>
      </c>
      <c r="S976" s="26" t="s">
        <v>38</v>
      </c>
      <c r="T976" s="26" t="s">
        <v>39</v>
      </c>
      <c r="U976" s="27">
        <v>0.84745762711864414</v>
      </c>
      <c r="V976" s="33">
        <v>1</v>
      </c>
      <c r="AG976" s="31">
        <v>0</v>
      </c>
      <c r="AH976" s="1" t="s">
        <v>44</v>
      </c>
    </row>
    <row r="977" spans="1:35">
      <c r="A977" s="15" t="s">
        <v>1043</v>
      </c>
      <c r="B977" s="8" t="s">
        <v>993</v>
      </c>
      <c r="C977" s="41" t="s">
        <v>37</v>
      </c>
      <c r="D977" s="1" t="s">
        <v>38</v>
      </c>
      <c r="E977" s="26" t="s">
        <v>39</v>
      </c>
      <c r="F977" s="27">
        <v>0.94339622641509424</v>
      </c>
      <c r="G977" s="33">
        <v>0.5</v>
      </c>
      <c r="H977" s="26" t="s">
        <v>40</v>
      </c>
      <c r="I977" s="26" t="s">
        <v>41</v>
      </c>
      <c r="J977" s="26" t="s">
        <v>42</v>
      </c>
      <c r="K977" s="27">
        <v>2.3255813953488373</v>
      </c>
      <c r="L977" s="27">
        <v>0.5</v>
      </c>
      <c r="M977" s="70"/>
      <c r="N977" s="26"/>
      <c r="O977" s="26"/>
      <c r="P977" s="27"/>
      <c r="Q977" s="36"/>
      <c r="R977" s="26" t="s">
        <v>43</v>
      </c>
      <c r="S977" s="26" t="s">
        <v>38</v>
      </c>
      <c r="T977" s="26" t="s">
        <v>39</v>
      </c>
      <c r="U977" s="27">
        <v>0.84745762711864414</v>
      </c>
      <c r="V977" s="33">
        <v>1</v>
      </c>
      <c r="AG977" s="31">
        <v>0</v>
      </c>
      <c r="AH977" s="1" t="s">
        <v>44</v>
      </c>
    </row>
    <row r="978" spans="1:35">
      <c r="A978" s="15" t="s">
        <v>1044</v>
      </c>
      <c r="B978" s="8" t="s">
        <v>993</v>
      </c>
      <c r="C978" s="41" t="s">
        <v>37</v>
      </c>
      <c r="D978" s="1" t="s">
        <v>38</v>
      </c>
      <c r="E978" s="26" t="s">
        <v>39</v>
      </c>
      <c r="F978" s="27">
        <v>0.94339622641509424</v>
      </c>
      <c r="G978" s="33">
        <v>0.5</v>
      </c>
      <c r="H978" s="26" t="s">
        <v>40</v>
      </c>
      <c r="I978" s="26" t="s">
        <v>41</v>
      </c>
      <c r="J978" s="26" t="s">
        <v>42</v>
      </c>
      <c r="K978" s="27">
        <v>2.3255813953488373</v>
      </c>
      <c r="L978" s="27">
        <v>0.5</v>
      </c>
      <c r="M978" s="70"/>
      <c r="N978" s="26"/>
      <c r="O978" s="26"/>
      <c r="P978" s="27"/>
      <c r="Q978" s="36"/>
      <c r="R978" s="26" t="s">
        <v>43</v>
      </c>
      <c r="S978" s="26" t="s">
        <v>38</v>
      </c>
      <c r="T978" s="26" t="s">
        <v>39</v>
      </c>
      <c r="U978" s="27">
        <v>0.84745762711864414</v>
      </c>
      <c r="V978" s="33">
        <v>1</v>
      </c>
      <c r="AG978" s="31">
        <v>0</v>
      </c>
      <c r="AH978" s="1" t="s">
        <v>44</v>
      </c>
    </row>
    <row r="979" spans="1:35">
      <c r="A979" s="15" t="s">
        <v>1045</v>
      </c>
      <c r="B979" s="8" t="s">
        <v>993</v>
      </c>
      <c r="C979" s="41" t="s">
        <v>37</v>
      </c>
      <c r="D979" s="1" t="s">
        <v>38</v>
      </c>
      <c r="E979" s="26" t="s">
        <v>39</v>
      </c>
      <c r="F979" s="27">
        <v>0.94339622641509424</v>
      </c>
      <c r="G979" s="33">
        <v>0.5</v>
      </c>
      <c r="H979" s="26" t="s">
        <v>40</v>
      </c>
      <c r="I979" s="26" t="s">
        <v>41</v>
      </c>
      <c r="J979" s="26" t="s">
        <v>42</v>
      </c>
      <c r="K979" s="27">
        <v>2.3255813953488373</v>
      </c>
      <c r="L979" s="27">
        <v>0.5</v>
      </c>
      <c r="M979" s="70"/>
      <c r="N979" s="26"/>
      <c r="O979" s="26"/>
      <c r="P979" s="27"/>
      <c r="Q979" s="36"/>
      <c r="R979" s="26" t="s">
        <v>43</v>
      </c>
      <c r="S979" s="26" t="s">
        <v>38</v>
      </c>
      <c r="T979" s="26" t="s">
        <v>39</v>
      </c>
      <c r="U979" s="27">
        <v>0.84745762711864414</v>
      </c>
      <c r="V979" s="33">
        <v>1</v>
      </c>
      <c r="AG979" s="31">
        <v>0</v>
      </c>
      <c r="AH979" s="1" t="s">
        <v>44</v>
      </c>
    </row>
    <row r="980" spans="1:35">
      <c r="A980" s="15" t="s">
        <v>1046</v>
      </c>
      <c r="B980" s="8" t="s">
        <v>993</v>
      </c>
      <c r="C980" s="41" t="s">
        <v>37</v>
      </c>
      <c r="D980" s="1" t="s">
        <v>38</v>
      </c>
      <c r="E980" s="26" t="s">
        <v>39</v>
      </c>
      <c r="F980" s="27">
        <v>0.94339622641509424</v>
      </c>
      <c r="G980" s="33">
        <v>0.5</v>
      </c>
      <c r="H980" s="26" t="s">
        <v>40</v>
      </c>
      <c r="I980" s="26" t="s">
        <v>41</v>
      </c>
      <c r="J980" s="26" t="s">
        <v>42</v>
      </c>
      <c r="K980" s="27">
        <v>2.3255813953488373</v>
      </c>
      <c r="L980" s="27">
        <v>0.5</v>
      </c>
      <c r="M980" s="70"/>
      <c r="N980" s="26"/>
      <c r="O980" s="26"/>
      <c r="P980" s="27"/>
      <c r="Q980" s="36"/>
      <c r="R980" s="26" t="s">
        <v>43</v>
      </c>
      <c r="S980" s="26" t="s">
        <v>38</v>
      </c>
      <c r="T980" s="26" t="s">
        <v>39</v>
      </c>
      <c r="U980" s="27">
        <v>0.84745762711864414</v>
      </c>
      <c r="V980" s="33">
        <v>1</v>
      </c>
      <c r="AG980" s="31">
        <v>0</v>
      </c>
      <c r="AH980" s="1" t="s">
        <v>44</v>
      </c>
    </row>
    <row r="981" spans="1:35">
      <c r="A981" s="15" t="s">
        <v>1047</v>
      </c>
      <c r="B981" s="8" t="s">
        <v>993</v>
      </c>
      <c r="C981" s="41" t="s">
        <v>37</v>
      </c>
      <c r="D981" s="1" t="s">
        <v>38</v>
      </c>
      <c r="E981" s="26" t="s">
        <v>39</v>
      </c>
      <c r="F981" s="27">
        <v>0.94339622641509424</v>
      </c>
      <c r="G981" s="33">
        <v>0.5</v>
      </c>
      <c r="H981" s="26" t="s">
        <v>40</v>
      </c>
      <c r="I981" s="26" t="s">
        <v>41</v>
      </c>
      <c r="J981" s="26" t="s">
        <v>42</v>
      </c>
      <c r="K981" s="27">
        <v>2.3255813953488373</v>
      </c>
      <c r="L981" s="27">
        <v>0.5</v>
      </c>
      <c r="M981" s="70"/>
      <c r="N981" s="26"/>
      <c r="O981" s="26"/>
      <c r="P981" s="27"/>
      <c r="Q981" s="36"/>
      <c r="R981" s="26" t="s">
        <v>43</v>
      </c>
      <c r="S981" s="26" t="s">
        <v>38</v>
      </c>
      <c r="T981" s="26" t="s">
        <v>39</v>
      </c>
      <c r="U981" s="27">
        <v>0.84745762711864414</v>
      </c>
      <c r="V981" s="33">
        <v>1</v>
      </c>
      <c r="AG981" s="31">
        <v>0</v>
      </c>
      <c r="AH981" s="1" t="s">
        <v>44</v>
      </c>
    </row>
    <row r="982" spans="1:35">
      <c r="A982" s="16" t="s">
        <v>1048</v>
      </c>
      <c r="B982" s="8" t="s">
        <v>993</v>
      </c>
      <c r="C982" s="58" t="s">
        <v>37</v>
      </c>
      <c r="D982" s="59" t="s">
        <v>38</v>
      </c>
      <c r="E982" s="60" t="s">
        <v>39</v>
      </c>
      <c r="F982" s="61">
        <v>0.94339622641509424</v>
      </c>
      <c r="G982" s="62">
        <v>0.5</v>
      </c>
      <c r="H982" s="60" t="s">
        <v>40</v>
      </c>
      <c r="I982" s="60" t="s">
        <v>41</v>
      </c>
      <c r="J982" s="60" t="s">
        <v>42</v>
      </c>
      <c r="K982" s="61">
        <v>2.3255813953488373</v>
      </c>
      <c r="L982" s="61">
        <v>0.5</v>
      </c>
      <c r="M982" s="71"/>
      <c r="N982" s="60"/>
      <c r="O982" s="60"/>
      <c r="P982" s="61"/>
      <c r="Q982" s="66"/>
      <c r="R982" s="60" t="s">
        <v>43</v>
      </c>
      <c r="S982" s="60" t="s">
        <v>38</v>
      </c>
      <c r="T982" s="60" t="s">
        <v>39</v>
      </c>
      <c r="U982" s="61">
        <v>0.84745762711864414</v>
      </c>
      <c r="V982" s="62">
        <v>1</v>
      </c>
      <c r="W982" s="63"/>
      <c r="X982" s="63"/>
      <c r="Y982" s="63"/>
      <c r="Z982" s="93"/>
      <c r="AA982" s="63"/>
      <c r="AB982" s="75"/>
      <c r="AC982" s="63"/>
      <c r="AD982" s="63"/>
      <c r="AE982" s="63"/>
      <c r="AF982" s="64"/>
      <c r="AG982" s="93">
        <v>0</v>
      </c>
      <c r="AH982" s="59" t="s">
        <v>44</v>
      </c>
      <c r="AI982" s="65"/>
    </row>
    <row r="983" spans="1:35" s="6" customFormat="1">
      <c r="A983" s="15" t="s">
        <v>1049</v>
      </c>
      <c r="B983" s="9" t="s">
        <v>1050</v>
      </c>
      <c r="C983" s="45" t="s">
        <v>212</v>
      </c>
      <c r="D983" s="46" t="s">
        <v>41</v>
      </c>
      <c r="E983" s="47" t="s">
        <v>39</v>
      </c>
      <c r="F983" s="48">
        <v>1</v>
      </c>
      <c r="G983" s="49">
        <v>1</v>
      </c>
      <c r="H983" s="45"/>
      <c r="I983" s="46"/>
      <c r="J983" s="47"/>
      <c r="K983" s="48"/>
      <c r="L983" s="48"/>
      <c r="M983" s="72"/>
      <c r="N983" s="46"/>
      <c r="O983" s="47"/>
      <c r="P983" s="48"/>
      <c r="Q983" s="49"/>
      <c r="R983" s="54" t="s">
        <v>212</v>
      </c>
      <c r="S983" s="47" t="s">
        <v>41</v>
      </c>
      <c r="T983" s="47" t="s">
        <v>39</v>
      </c>
      <c r="U983" s="48">
        <v>0.80645161290322587</v>
      </c>
      <c r="V983" s="49">
        <v>1</v>
      </c>
      <c r="W983" s="28"/>
      <c r="X983" s="28"/>
      <c r="Y983" s="28"/>
      <c r="Z983" s="29"/>
      <c r="AA983" s="28"/>
      <c r="AB983" s="74"/>
      <c r="AC983" s="28"/>
      <c r="AD983" s="28"/>
      <c r="AE983" s="28"/>
      <c r="AF983" s="39"/>
      <c r="AG983" s="29">
        <v>1</v>
      </c>
      <c r="AH983" s="6" t="s">
        <v>73</v>
      </c>
    </row>
    <row r="984" spans="1:35">
      <c r="A984" s="15" t="s">
        <v>1051</v>
      </c>
      <c r="B984" s="8" t="s">
        <v>1050</v>
      </c>
      <c r="C984" s="41" t="s">
        <v>212</v>
      </c>
      <c r="D984" s="1" t="s">
        <v>41</v>
      </c>
      <c r="E984" s="26" t="s">
        <v>39</v>
      </c>
      <c r="F984" s="27">
        <v>1</v>
      </c>
      <c r="G984" s="33">
        <v>1</v>
      </c>
      <c r="H984" s="41"/>
      <c r="I984" s="1"/>
      <c r="J984" s="26"/>
      <c r="K984" s="27"/>
      <c r="L984" s="27"/>
      <c r="M984" s="70"/>
      <c r="N984" s="1"/>
      <c r="O984" s="26"/>
      <c r="P984" s="27"/>
      <c r="Q984" s="33"/>
      <c r="R984" s="55" t="s">
        <v>212</v>
      </c>
      <c r="S984" s="26" t="s">
        <v>41</v>
      </c>
      <c r="T984" s="26" t="s">
        <v>39</v>
      </c>
      <c r="U984" s="27">
        <v>0.80645161290322587</v>
      </c>
      <c r="V984" s="33">
        <v>1</v>
      </c>
      <c r="AG984" s="31">
        <v>1</v>
      </c>
      <c r="AH984" t="s">
        <v>73</v>
      </c>
    </row>
    <row r="985" spans="1:35">
      <c r="A985" s="15" t="s">
        <v>1052</v>
      </c>
      <c r="B985" s="8" t="s">
        <v>1050</v>
      </c>
      <c r="C985" s="41" t="s">
        <v>212</v>
      </c>
      <c r="D985" s="1" t="s">
        <v>41</v>
      </c>
      <c r="E985" s="26" t="s">
        <v>39</v>
      </c>
      <c r="F985" s="27">
        <v>1</v>
      </c>
      <c r="G985" s="33">
        <v>1</v>
      </c>
      <c r="H985" s="41"/>
      <c r="I985" s="1"/>
      <c r="J985" s="26"/>
      <c r="K985" s="27"/>
      <c r="L985" s="27"/>
      <c r="M985" s="70"/>
      <c r="N985" s="1"/>
      <c r="O985" s="26"/>
      <c r="P985" s="27"/>
      <c r="Q985" s="33"/>
      <c r="R985" s="55" t="s">
        <v>212</v>
      </c>
      <c r="S985" s="26" t="s">
        <v>41</v>
      </c>
      <c r="T985" s="26" t="s">
        <v>39</v>
      </c>
      <c r="U985" s="27">
        <v>0.80645161290322587</v>
      </c>
      <c r="V985" s="33">
        <v>1</v>
      </c>
      <c r="AG985" s="31">
        <v>1</v>
      </c>
      <c r="AH985" t="s">
        <v>73</v>
      </c>
    </row>
    <row r="986" spans="1:35">
      <c r="A986" s="15" t="s">
        <v>1053</v>
      </c>
      <c r="B986" s="8" t="s">
        <v>1050</v>
      </c>
      <c r="C986" s="41" t="s">
        <v>212</v>
      </c>
      <c r="D986" s="1" t="s">
        <v>41</v>
      </c>
      <c r="E986" s="26" t="s">
        <v>39</v>
      </c>
      <c r="F986" s="27">
        <v>1</v>
      </c>
      <c r="G986" s="33">
        <v>1</v>
      </c>
      <c r="H986" s="41"/>
      <c r="I986" s="1"/>
      <c r="J986" s="26"/>
      <c r="K986" s="27"/>
      <c r="L986" s="27"/>
      <c r="M986" s="70"/>
      <c r="N986" s="1"/>
      <c r="O986" s="26"/>
      <c r="P986" s="27"/>
      <c r="Q986" s="33"/>
      <c r="R986" s="55" t="s">
        <v>212</v>
      </c>
      <c r="S986" s="26" t="s">
        <v>41</v>
      </c>
      <c r="T986" s="26" t="s">
        <v>39</v>
      </c>
      <c r="U986" s="27">
        <v>0.80645161290322587</v>
      </c>
      <c r="V986" s="33">
        <v>1</v>
      </c>
      <c r="AG986" s="31">
        <v>1</v>
      </c>
      <c r="AH986" t="s">
        <v>73</v>
      </c>
    </row>
    <row r="987" spans="1:35">
      <c r="A987" s="15" t="s">
        <v>1054</v>
      </c>
      <c r="B987" s="8" t="s">
        <v>1050</v>
      </c>
      <c r="C987" s="41" t="s">
        <v>212</v>
      </c>
      <c r="D987" s="1" t="s">
        <v>41</v>
      </c>
      <c r="E987" s="26" t="s">
        <v>39</v>
      </c>
      <c r="F987" s="27">
        <v>1</v>
      </c>
      <c r="G987" s="33">
        <v>1</v>
      </c>
      <c r="H987" s="41"/>
      <c r="I987" s="1"/>
      <c r="J987" s="26"/>
      <c r="K987" s="27"/>
      <c r="L987" s="27"/>
      <c r="M987" s="70"/>
      <c r="N987" s="1"/>
      <c r="O987" s="26"/>
      <c r="P987" s="27"/>
      <c r="Q987" s="33"/>
      <c r="R987" s="55" t="s">
        <v>212</v>
      </c>
      <c r="S987" s="26" t="s">
        <v>41</v>
      </c>
      <c r="T987" s="26" t="s">
        <v>39</v>
      </c>
      <c r="U987" s="27">
        <v>0.80645161290322587</v>
      </c>
      <c r="V987" s="33">
        <v>1</v>
      </c>
      <c r="AG987" s="31">
        <v>1</v>
      </c>
      <c r="AH987" t="s">
        <v>73</v>
      </c>
    </row>
    <row r="988" spans="1:35">
      <c r="A988" s="15" t="s">
        <v>1055</v>
      </c>
      <c r="B988" s="8" t="s">
        <v>1050</v>
      </c>
      <c r="C988" s="41" t="s">
        <v>212</v>
      </c>
      <c r="D988" s="1" t="s">
        <v>41</v>
      </c>
      <c r="E988" s="26" t="s">
        <v>39</v>
      </c>
      <c r="F988" s="27">
        <v>1</v>
      </c>
      <c r="G988" s="33">
        <v>1</v>
      </c>
      <c r="H988" s="41"/>
      <c r="I988" s="1"/>
      <c r="J988" s="26"/>
      <c r="K988" s="27"/>
      <c r="L988" s="27"/>
      <c r="M988" s="70"/>
      <c r="N988" s="1"/>
      <c r="O988" s="26"/>
      <c r="P988" s="27"/>
      <c r="Q988" s="33"/>
      <c r="R988" s="55" t="s">
        <v>212</v>
      </c>
      <c r="S988" s="26" t="s">
        <v>41</v>
      </c>
      <c r="T988" s="26" t="s">
        <v>39</v>
      </c>
      <c r="U988" s="27">
        <v>0.80645161290322587</v>
      </c>
      <c r="V988" s="33">
        <v>1</v>
      </c>
      <c r="AG988" s="31">
        <v>1</v>
      </c>
      <c r="AH988" t="s">
        <v>73</v>
      </c>
    </row>
    <row r="989" spans="1:35">
      <c r="A989" s="15" t="s">
        <v>1056</v>
      </c>
      <c r="B989" s="8" t="s">
        <v>1050</v>
      </c>
      <c r="C989" s="41" t="s">
        <v>212</v>
      </c>
      <c r="D989" s="1" t="s">
        <v>41</v>
      </c>
      <c r="E989" s="26" t="s">
        <v>39</v>
      </c>
      <c r="F989" s="27">
        <v>1</v>
      </c>
      <c r="G989" s="33">
        <v>1</v>
      </c>
      <c r="H989" s="41"/>
      <c r="I989" s="1"/>
      <c r="J989" s="26"/>
      <c r="K989" s="27"/>
      <c r="L989" s="27"/>
      <c r="M989" s="70"/>
      <c r="N989" s="1"/>
      <c r="O989" s="26"/>
      <c r="P989" s="27"/>
      <c r="Q989" s="33"/>
      <c r="R989" s="55" t="s">
        <v>212</v>
      </c>
      <c r="S989" s="26" t="s">
        <v>41</v>
      </c>
      <c r="T989" s="26" t="s">
        <v>39</v>
      </c>
      <c r="U989" s="27">
        <v>0.80645161290322587</v>
      </c>
      <c r="V989" s="33">
        <v>1</v>
      </c>
      <c r="AG989" s="31">
        <v>1</v>
      </c>
      <c r="AH989" t="s">
        <v>73</v>
      </c>
    </row>
    <row r="990" spans="1:35">
      <c r="A990" s="15" t="s">
        <v>1057</v>
      </c>
      <c r="B990" s="8" t="s">
        <v>1050</v>
      </c>
      <c r="C990" s="41" t="s">
        <v>212</v>
      </c>
      <c r="D990" s="1" t="s">
        <v>41</v>
      </c>
      <c r="E990" s="26" t="s">
        <v>39</v>
      </c>
      <c r="F990" s="27">
        <v>1</v>
      </c>
      <c r="G990" s="33">
        <v>1</v>
      </c>
      <c r="H990" s="41"/>
      <c r="I990" s="1"/>
      <c r="J990" s="26"/>
      <c r="K990" s="27"/>
      <c r="L990" s="27"/>
      <c r="M990" s="70"/>
      <c r="N990" s="1"/>
      <c r="O990" s="26"/>
      <c r="P990" s="27"/>
      <c r="Q990" s="33"/>
      <c r="R990" s="55" t="s">
        <v>212</v>
      </c>
      <c r="S990" s="26" t="s">
        <v>41</v>
      </c>
      <c r="T990" s="26" t="s">
        <v>39</v>
      </c>
      <c r="U990" s="27">
        <v>0.80645161290322587</v>
      </c>
      <c r="V990" s="33">
        <v>1</v>
      </c>
      <c r="AG990" s="31">
        <v>1</v>
      </c>
      <c r="AH990" t="s">
        <v>73</v>
      </c>
    </row>
    <row r="991" spans="1:35">
      <c r="A991" s="15" t="s">
        <v>1058</v>
      </c>
      <c r="B991" s="8" t="s">
        <v>1050</v>
      </c>
      <c r="C991" s="41" t="s">
        <v>212</v>
      </c>
      <c r="D991" s="1" t="s">
        <v>41</v>
      </c>
      <c r="E991" s="26" t="s">
        <v>39</v>
      </c>
      <c r="F991" s="27">
        <v>1</v>
      </c>
      <c r="G991" s="33">
        <v>1</v>
      </c>
      <c r="H991" s="41"/>
      <c r="I991" s="1"/>
      <c r="J991" s="26"/>
      <c r="K991" s="27"/>
      <c r="L991" s="27"/>
      <c r="M991" s="70"/>
      <c r="N991" s="1"/>
      <c r="O991" s="26"/>
      <c r="P991" s="27"/>
      <c r="Q991" s="33"/>
      <c r="R991" s="55" t="s">
        <v>212</v>
      </c>
      <c r="S991" s="26" t="s">
        <v>41</v>
      </c>
      <c r="T991" s="26" t="s">
        <v>39</v>
      </c>
      <c r="U991" s="27">
        <v>0.80645161290322587</v>
      </c>
      <c r="V991" s="33">
        <v>1</v>
      </c>
      <c r="AG991" s="31">
        <v>1</v>
      </c>
      <c r="AH991" t="s">
        <v>73</v>
      </c>
    </row>
    <row r="992" spans="1:35">
      <c r="A992" s="15" t="s">
        <v>1059</v>
      </c>
      <c r="B992" s="8" t="s">
        <v>1050</v>
      </c>
      <c r="C992" s="41" t="s">
        <v>212</v>
      </c>
      <c r="D992" s="1" t="s">
        <v>41</v>
      </c>
      <c r="E992" s="26" t="s">
        <v>39</v>
      </c>
      <c r="F992" s="27">
        <v>1</v>
      </c>
      <c r="G992" s="33">
        <v>1</v>
      </c>
      <c r="H992" s="41"/>
      <c r="I992" s="1"/>
      <c r="J992" s="26"/>
      <c r="K992" s="27"/>
      <c r="L992" s="27"/>
      <c r="M992" s="70"/>
      <c r="N992" s="1"/>
      <c r="O992" s="26"/>
      <c r="P992" s="27"/>
      <c r="Q992" s="33"/>
      <c r="R992" s="55" t="s">
        <v>212</v>
      </c>
      <c r="S992" s="26" t="s">
        <v>41</v>
      </c>
      <c r="T992" s="26" t="s">
        <v>39</v>
      </c>
      <c r="U992" s="27">
        <v>0.80645161290322587</v>
      </c>
      <c r="V992" s="33">
        <v>1</v>
      </c>
      <c r="AG992" s="31">
        <v>1</v>
      </c>
      <c r="AH992" t="s">
        <v>73</v>
      </c>
    </row>
    <row r="993" spans="1:34">
      <c r="A993" s="15" t="s">
        <v>1060</v>
      </c>
      <c r="B993" s="8" t="s">
        <v>1050</v>
      </c>
      <c r="C993" s="41" t="s">
        <v>212</v>
      </c>
      <c r="D993" s="1" t="s">
        <v>41</v>
      </c>
      <c r="E993" s="26" t="s">
        <v>39</v>
      </c>
      <c r="F993" s="27">
        <v>1</v>
      </c>
      <c r="G993" s="33">
        <v>1</v>
      </c>
      <c r="H993" s="41"/>
      <c r="I993" s="1"/>
      <c r="J993" s="26"/>
      <c r="K993" s="27"/>
      <c r="L993" s="27"/>
      <c r="M993" s="70"/>
      <c r="N993" s="1"/>
      <c r="O993" s="26"/>
      <c r="P993" s="27"/>
      <c r="Q993" s="33"/>
      <c r="R993" s="55" t="s">
        <v>212</v>
      </c>
      <c r="S993" s="26" t="s">
        <v>41</v>
      </c>
      <c r="T993" s="26" t="s">
        <v>39</v>
      </c>
      <c r="U993" s="27">
        <v>0.80645161290322587</v>
      </c>
      <c r="V993" s="33">
        <v>1</v>
      </c>
      <c r="AG993" s="31">
        <v>1</v>
      </c>
      <c r="AH993" t="s">
        <v>73</v>
      </c>
    </row>
    <row r="994" spans="1:34">
      <c r="A994" s="15" t="s">
        <v>1061</v>
      </c>
      <c r="B994" s="8" t="s">
        <v>1050</v>
      </c>
      <c r="C994" s="41" t="s">
        <v>212</v>
      </c>
      <c r="D994" s="1" t="s">
        <v>41</v>
      </c>
      <c r="E994" s="26" t="s">
        <v>39</v>
      </c>
      <c r="F994" s="27">
        <v>1</v>
      </c>
      <c r="G994" s="33">
        <v>1</v>
      </c>
      <c r="H994" s="41"/>
      <c r="I994" s="1"/>
      <c r="J994" s="26"/>
      <c r="K994" s="27"/>
      <c r="L994" s="27"/>
      <c r="M994" s="70"/>
      <c r="N994" s="1"/>
      <c r="O994" s="26"/>
      <c r="P994" s="27"/>
      <c r="Q994" s="33"/>
      <c r="R994" s="55" t="s">
        <v>212</v>
      </c>
      <c r="S994" s="26" t="s">
        <v>41</v>
      </c>
      <c r="T994" s="26" t="s">
        <v>39</v>
      </c>
      <c r="U994" s="27">
        <v>0.80645161290322587</v>
      </c>
      <c r="V994" s="33">
        <v>1</v>
      </c>
      <c r="AG994" s="31">
        <v>1</v>
      </c>
      <c r="AH994" t="s">
        <v>73</v>
      </c>
    </row>
    <row r="995" spans="1:34">
      <c r="A995" s="15" t="s">
        <v>1062</v>
      </c>
      <c r="B995" s="8" t="s">
        <v>1050</v>
      </c>
      <c r="C995" s="41" t="s">
        <v>212</v>
      </c>
      <c r="D995" s="1" t="s">
        <v>41</v>
      </c>
      <c r="E995" s="26" t="s">
        <v>39</v>
      </c>
      <c r="F995" s="27">
        <v>1</v>
      </c>
      <c r="G995" s="33">
        <v>1</v>
      </c>
      <c r="H995" s="41"/>
      <c r="I995" s="1"/>
      <c r="J995" s="26"/>
      <c r="K995" s="27"/>
      <c r="L995" s="27"/>
      <c r="M995" s="70"/>
      <c r="N995" s="1"/>
      <c r="O995" s="26"/>
      <c r="P995" s="27"/>
      <c r="Q995" s="33"/>
      <c r="R995" s="55" t="s">
        <v>212</v>
      </c>
      <c r="S995" s="26" t="s">
        <v>41</v>
      </c>
      <c r="T995" s="26" t="s">
        <v>39</v>
      </c>
      <c r="U995" s="27">
        <v>0.80645161290322587</v>
      </c>
      <c r="V995" s="33">
        <v>1</v>
      </c>
      <c r="AG995" s="31">
        <v>1</v>
      </c>
      <c r="AH995" t="s">
        <v>73</v>
      </c>
    </row>
    <row r="996" spans="1:34">
      <c r="A996" s="15" t="s">
        <v>1063</v>
      </c>
      <c r="B996" s="8" t="s">
        <v>1050</v>
      </c>
      <c r="C996" s="41" t="s">
        <v>212</v>
      </c>
      <c r="D996" s="1" t="s">
        <v>41</v>
      </c>
      <c r="E996" s="26" t="s">
        <v>39</v>
      </c>
      <c r="F996" s="27">
        <v>1</v>
      </c>
      <c r="G996" s="33">
        <v>1</v>
      </c>
      <c r="H996" s="41"/>
      <c r="I996" s="1"/>
      <c r="J996" s="26"/>
      <c r="K996" s="27"/>
      <c r="L996" s="27"/>
      <c r="M996" s="70"/>
      <c r="N996" s="1"/>
      <c r="O996" s="26"/>
      <c r="P996" s="27"/>
      <c r="Q996" s="33"/>
      <c r="R996" s="55" t="s">
        <v>212</v>
      </c>
      <c r="S996" s="26" t="s">
        <v>41</v>
      </c>
      <c r="T996" s="26" t="s">
        <v>39</v>
      </c>
      <c r="U996" s="27">
        <v>0.80645161290322587</v>
      </c>
      <c r="V996" s="33">
        <v>1</v>
      </c>
      <c r="AG996" s="31">
        <v>1</v>
      </c>
      <c r="AH996" t="s">
        <v>73</v>
      </c>
    </row>
    <row r="997" spans="1:34">
      <c r="A997" s="15" t="s">
        <v>1064</v>
      </c>
      <c r="B997" s="8" t="s">
        <v>1050</v>
      </c>
      <c r="C997" s="41" t="s">
        <v>37</v>
      </c>
      <c r="D997" s="1" t="s">
        <v>38</v>
      </c>
      <c r="E997" s="26" t="s">
        <v>39</v>
      </c>
      <c r="F997" s="27">
        <v>1</v>
      </c>
      <c r="G997" s="27">
        <v>0.5</v>
      </c>
      <c r="H997" s="41" t="s">
        <v>227</v>
      </c>
      <c r="I997" s="26" t="s">
        <v>41</v>
      </c>
      <c r="J997" s="26" t="s">
        <v>42</v>
      </c>
      <c r="K997" s="27">
        <v>0.94339622641509424</v>
      </c>
      <c r="L997" s="27">
        <v>0.5</v>
      </c>
      <c r="M997" s="70"/>
      <c r="N997" s="26"/>
      <c r="O997" s="26"/>
      <c r="P997" s="27"/>
      <c r="Q997" s="33"/>
      <c r="R997" s="55" t="s">
        <v>212</v>
      </c>
      <c r="S997" s="26" t="s">
        <v>41</v>
      </c>
      <c r="T997" s="26" t="s">
        <v>39</v>
      </c>
      <c r="U997" s="27">
        <v>0.80645161290322587</v>
      </c>
      <c r="V997" s="33">
        <v>1</v>
      </c>
      <c r="AG997" s="31">
        <v>1</v>
      </c>
      <c r="AH997" t="s">
        <v>73</v>
      </c>
    </row>
    <row r="998" spans="1:34">
      <c r="A998" s="15" t="s">
        <v>1065</v>
      </c>
      <c r="B998" s="8" t="s">
        <v>1050</v>
      </c>
      <c r="C998" s="41" t="s">
        <v>37</v>
      </c>
      <c r="D998" s="1" t="s">
        <v>38</v>
      </c>
      <c r="E998" s="26" t="s">
        <v>39</v>
      </c>
      <c r="F998" s="27">
        <v>1</v>
      </c>
      <c r="G998" s="27">
        <v>0.5</v>
      </c>
      <c r="H998" s="41" t="s">
        <v>227</v>
      </c>
      <c r="I998" s="26" t="s">
        <v>41</v>
      </c>
      <c r="J998" s="26" t="s">
        <v>42</v>
      </c>
      <c r="K998" s="27">
        <v>0.94339622641509424</v>
      </c>
      <c r="L998" s="27">
        <v>0.5</v>
      </c>
      <c r="M998" s="70"/>
      <c r="N998" s="26"/>
      <c r="O998" s="26"/>
      <c r="P998" s="27"/>
      <c r="Q998" s="33"/>
      <c r="R998" s="55" t="s">
        <v>212</v>
      </c>
      <c r="S998" s="26" t="s">
        <v>41</v>
      </c>
      <c r="T998" s="26" t="s">
        <v>39</v>
      </c>
      <c r="U998" s="27">
        <v>0.80645161290322587</v>
      </c>
      <c r="V998" s="33">
        <v>1</v>
      </c>
      <c r="AG998" s="31">
        <v>1</v>
      </c>
      <c r="AH998" t="s">
        <v>73</v>
      </c>
    </row>
    <row r="999" spans="1:34">
      <c r="A999" s="15" t="s">
        <v>1066</v>
      </c>
      <c r="B999" s="8" t="s">
        <v>1050</v>
      </c>
      <c r="C999" s="41" t="s">
        <v>37</v>
      </c>
      <c r="D999" s="1" t="s">
        <v>38</v>
      </c>
      <c r="E999" s="26" t="s">
        <v>39</v>
      </c>
      <c r="F999" s="27">
        <v>1</v>
      </c>
      <c r="G999" s="27">
        <v>0.5</v>
      </c>
      <c r="H999" s="41" t="s">
        <v>227</v>
      </c>
      <c r="I999" s="26" t="s">
        <v>41</v>
      </c>
      <c r="J999" s="26" t="s">
        <v>42</v>
      </c>
      <c r="K999" s="27">
        <v>0.94339622641509424</v>
      </c>
      <c r="L999" s="27">
        <v>0.5</v>
      </c>
      <c r="M999" s="70"/>
      <c r="N999" s="26"/>
      <c r="O999" s="26"/>
      <c r="P999" s="27"/>
      <c r="Q999" s="33"/>
      <c r="R999" s="55" t="s">
        <v>212</v>
      </c>
      <c r="S999" s="26" t="s">
        <v>41</v>
      </c>
      <c r="T999" s="26" t="s">
        <v>39</v>
      </c>
      <c r="U999" s="27">
        <v>0.80645161290322587</v>
      </c>
      <c r="V999" s="33">
        <v>1</v>
      </c>
      <c r="AG999" s="31">
        <v>1</v>
      </c>
      <c r="AH999" t="s">
        <v>73</v>
      </c>
    </row>
    <row r="1000" spans="1:34">
      <c r="A1000" s="15" t="s">
        <v>1067</v>
      </c>
      <c r="B1000" s="8" t="s">
        <v>1050</v>
      </c>
      <c r="C1000" s="41" t="s">
        <v>37</v>
      </c>
      <c r="D1000" s="1" t="s">
        <v>38</v>
      </c>
      <c r="E1000" s="26" t="s">
        <v>39</v>
      </c>
      <c r="F1000" s="27">
        <v>1</v>
      </c>
      <c r="G1000" s="27">
        <v>0.5</v>
      </c>
      <c r="H1000" s="41" t="s">
        <v>227</v>
      </c>
      <c r="I1000" s="26" t="s">
        <v>41</v>
      </c>
      <c r="J1000" s="26" t="s">
        <v>42</v>
      </c>
      <c r="K1000" s="27">
        <v>0.94339622641509424</v>
      </c>
      <c r="L1000" s="27">
        <v>0.5</v>
      </c>
      <c r="M1000" s="70"/>
      <c r="N1000" s="26"/>
      <c r="O1000" s="26"/>
      <c r="P1000" s="27"/>
      <c r="Q1000" s="33"/>
      <c r="R1000" s="55" t="s">
        <v>212</v>
      </c>
      <c r="S1000" s="26" t="s">
        <v>41</v>
      </c>
      <c r="T1000" s="26" t="s">
        <v>39</v>
      </c>
      <c r="U1000" s="27">
        <v>0.80645161290322587</v>
      </c>
      <c r="V1000" s="33">
        <v>1</v>
      </c>
      <c r="AG1000" s="31">
        <v>1</v>
      </c>
      <c r="AH1000" t="s">
        <v>73</v>
      </c>
    </row>
    <row r="1001" spans="1:34">
      <c r="A1001" s="15" t="s">
        <v>1068</v>
      </c>
      <c r="B1001" s="8" t="s">
        <v>1050</v>
      </c>
      <c r="C1001" s="41" t="s">
        <v>37</v>
      </c>
      <c r="D1001" s="1" t="s">
        <v>38</v>
      </c>
      <c r="E1001" s="26" t="s">
        <v>39</v>
      </c>
      <c r="F1001" s="27">
        <v>1</v>
      </c>
      <c r="G1001" s="27">
        <v>0.5</v>
      </c>
      <c r="H1001" s="41" t="s">
        <v>227</v>
      </c>
      <c r="I1001" s="26" t="s">
        <v>41</v>
      </c>
      <c r="J1001" s="26" t="s">
        <v>42</v>
      </c>
      <c r="K1001" s="27">
        <v>0.94339622641509424</v>
      </c>
      <c r="L1001" s="27">
        <v>0.5</v>
      </c>
      <c r="M1001" s="70"/>
      <c r="N1001" s="26"/>
      <c r="O1001" s="26"/>
      <c r="P1001" s="27"/>
      <c r="Q1001" s="33"/>
      <c r="R1001" s="55" t="s">
        <v>212</v>
      </c>
      <c r="S1001" s="26" t="s">
        <v>41</v>
      </c>
      <c r="T1001" s="26" t="s">
        <v>39</v>
      </c>
      <c r="U1001" s="27">
        <v>0.80645161290322587</v>
      </c>
      <c r="V1001" s="33">
        <v>1</v>
      </c>
      <c r="AG1001" s="31">
        <v>1</v>
      </c>
      <c r="AH1001" t="s">
        <v>73</v>
      </c>
    </row>
    <row r="1002" spans="1:34">
      <c r="A1002" s="15" t="s">
        <v>1069</v>
      </c>
      <c r="B1002" s="8" t="s">
        <v>1050</v>
      </c>
      <c r="C1002" s="41" t="s">
        <v>37</v>
      </c>
      <c r="D1002" s="1" t="s">
        <v>38</v>
      </c>
      <c r="E1002" s="26" t="s">
        <v>39</v>
      </c>
      <c r="F1002" s="27">
        <v>1</v>
      </c>
      <c r="G1002" s="27">
        <v>0.5</v>
      </c>
      <c r="H1002" s="41" t="s">
        <v>227</v>
      </c>
      <c r="I1002" s="26" t="s">
        <v>41</v>
      </c>
      <c r="J1002" s="26" t="s">
        <v>42</v>
      </c>
      <c r="K1002" s="27">
        <v>0.94339622641509424</v>
      </c>
      <c r="L1002" s="27">
        <v>0.5</v>
      </c>
      <c r="M1002" s="70"/>
      <c r="N1002" s="26"/>
      <c r="O1002" s="26"/>
      <c r="P1002" s="27"/>
      <c r="Q1002" s="33"/>
      <c r="R1002" s="55" t="s">
        <v>212</v>
      </c>
      <c r="S1002" s="26" t="s">
        <v>41</v>
      </c>
      <c r="T1002" s="26" t="s">
        <v>39</v>
      </c>
      <c r="U1002" s="27">
        <v>0.80645161290322587</v>
      </c>
      <c r="V1002" s="33">
        <v>1</v>
      </c>
      <c r="AG1002" s="31">
        <v>1</v>
      </c>
      <c r="AH1002" t="s">
        <v>73</v>
      </c>
    </row>
    <row r="1003" spans="1:34">
      <c r="A1003" s="15" t="s">
        <v>1070</v>
      </c>
      <c r="B1003" s="8" t="s">
        <v>1050</v>
      </c>
      <c r="C1003" s="41" t="s">
        <v>37</v>
      </c>
      <c r="D1003" s="1" t="s">
        <v>38</v>
      </c>
      <c r="E1003" s="26" t="s">
        <v>39</v>
      </c>
      <c r="F1003" s="27">
        <v>1</v>
      </c>
      <c r="G1003" s="27">
        <v>0.5</v>
      </c>
      <c r="H1003" s="41" t="s">
        <v>227</v>
      </c>
      <c r="I1003" s="26" t="s">
        <v>41</v>
      </c>
      <c r="J1003" s="26" t="s">
        <v>42</v>
      </c>
      <c r="K1003" s="27">
        <v>0.94339622641509424</v>
      </c>
      <c r="L1003" s="27">
        <v>0.5</v>
      </c>
      <c r="M1003" s="70"/>
      <c r="N1003" s="26"/>
      <c r="O1003" s="26"/>
      <c r="P1003" s="27"/>
      <c r="Q1003" s="33"/>
      <c r="R1003" s="55" t="s">
        <v>212</v>
      </c>
      <c r="S1003" s="26" t="s">
        <v>41</v>
      </c>
      <c r="T1003" s="26" t="s">
        <v>39</v>
      </c>
      <c r="U1003" s="27">
        <v>0.80645161290322587</v>
      </c>
      <c r="V1003" s="33">
        <v>1</v>
      </c>
      <c r="AG1003" s="31">
        <v>1</v>
      </c>
      <c r="AH1003" t="s">
        <v>73</v>
      </c>
    </row>
    <row r="1004" spans="1:34">
      <c r="A1004" s="15" t="s">
        <v>1071</v>
      </c>
      <c r="B1004" s="8" t="s">
        <v>1050</v>
      </c>
      <c r="C1004" s="41" t="s">
        <v>37</v>
      </c>
      <c r="D1004" s="1" t="s">
        <v>38</v>
      </c>
      <c r="E1004" s="26" t="s">
        <v>39</v>
      </c>
      <c r="F1004" s="27">
        <v>1</v>
      </c>
      <c r="G1004" s="27">
        <v>0.5</v>
      </c>
      <c r="H1004" s="41" t="s">
        <v>227</v>
      </c>
      <c r="I1004" s="26" t="s">
        <v>41</v>
      </c>
      <c r="J1004" s="26" t="s">
        <v>42</v>
      </c>
      <c r="K1004" s="27">
        <v>0.94339622641509424</v>
      </c>
      <c r="L1004" s="27">
        <v>0.5</v>
      </c>
      <c r="M1004" s="70"/>
      <c r="N1004" s="26"/>
      <c r="O1004" s="26"/>
      <c r="P1004" s="27"/>
      <c r="Q1004" s="33"/>
      <c r="R1004" s="55" t="s">
        <v>212</v>
      </c>
      <c r="S1004" s="26" t="s">
        <v>41</v>
      </c>
      <c r="T1004" s="26" t="s">
        <v>39</v>
      </c>
      <c r="U1004" s="27">
        <v>0.80645161290322587</v>
      </c>
      <c r="V1004" s="33">
        <v>1</v>
      </c>
      <c r="AG1004" s="31">
        <v>1</v>
      </c>
      <c r="AH1004" t="s">
        <v>73</v>
      </c>
    </row>
    <row r="1005" spans="1:34">
      <c r="A1005" s="15" t="s">
        <v>1072</v>
      </c>
      <c r="B1005" s="8" t="s">
        <v>1050</v>
      </c>
      <c r="C1005" s="41" t="s">
        <v>37</v>
      </c>
      <c r="D1005" s="1" t="s">
        <v>38</v>
      </c>
      <c r="E1005" s="26" t="s">
        <v>39</v>
      </c>
      <c r="F1005" s="27">
        <v>1</v>
      </c>
      <c r="G1005" s="27">
        <v>0.5</v>
      </c>
      <c r="H1005" s="41" t="s">
        <v>227</v>
      </c>
      <c r="I1005" s="26" t="s">
        <v>41</v>
      </c>
      <c r="J1005" s="26" t="s">
        <v>42</v>
      </c>
      <c r="K1005" s="27">
        <v>0.94339622641509424</v>
      </c>
      <c r="L1005" s="27">
        <v>0.5</v>
      </c>
      <c r="M1005" s="70"/>
      <c r="N1005" s="26"/>
      <c r="O1005" s="26"/>
      <c r="P1005" s="27"/>
      <c r="Q1005" s="33"/>
      <c r="R1005" s="55" t="s">
        <v>212</v>
      </c>
      <c r="S1005" s="26" t="s">
        <v>41</v>
      </c>
      <c r="T1005" s="26" t="s">
        <v>39</v>
      </c>
      <c r="U1005" s="27">
        <v>0.80645161290322587</v>
      </c>
      <c r="V1005" s="33">
        <v>1</v>
      </c>
      <c r="AG1005" s="31">
        <v>1</v>
      </c>
      <c r="AH1005" t="s">
        <v>73</v>
      </c>
    </row>
    <row r="1006" spans="1:34">
      <c r="A1006" s="15" t="s">
        <v>1073</v>
      </c>
      <c r="B1006" s="8" t="s">
        <v>1050</v>
      </c>
      <c r="C1006" s="41" t="s">
        <v>37</v>
      </c>
      <c r="D1006" s="1" t="s">
        <v>38</v>
      </c>
      <c r="E1006" s="26" t="s">
        <v>39</v>
      </c>
      <c r="F1006" s="27">
        <v>1</v>
      </c>
      <c r="G1006" s="27">
        <v>0.5</v>
      </c>
      <c r="H1006" s="41" t="s">
        <v>227</v>
      </c>
      <c r="I1006" s="26" t="s">
        <v>41</v>
      </c>
      <c r="J1006" s="26" t="s">
        <v>42</v>
      </c>
      <c r="K1006" s="27">
        <v>0.94339622641509424</v>
      </c>
      <c r="L1006" s="27">
        <v>0.5</v>
      </c>
      <c r="M1006" s="70"/>
      <c r="N1006" s="26"/>
      <c r="O1006" s="26"/>
      <c r="P1006" s="27"/>
      <c r="Q1006" s="33"/>
      <c r="R1006" s="55" t="s">
        <v>212</v>
      </c>
      <c r="S1006" s="26" t="s">
        <v>41</v>
      </c>
      <c r="T1006" s="26" t="s">
        <v>39</v>
      </c>
      <c r="U1006" s="27">
        <v>0.80645161290322587</v>
      </c>
      <c r="V1006" s="33">
        <v>1</v>
      </c>
      <c r="AG1006" s="31">
        <v>1</v>
      </c>
      <c r="AH1006" t="s">
        <v>73</v>
      </c>
    </row>
    <row r="1007" spans="1:34">
      <c r="A1007" s="15" t="s">
        <v>1074</v>
      </c>
      <c r="B1007" s="8" t="s">
        <v>1050</v>
      </c>
      <c r="C1007" s="41" t="s">
        <v>37</v>
      </c>
      <c r="D1007" s="1" t="s">
        <v>38</v>
      </c>
      <c r="E1007" s="26" t="s">
        <v>39</v>
      </c>
      <c r="F1007" s="27">
        <v>1</v>
      </c>
      <c r="G1007" s="27">
        <v>0.5</v>
      </c>
      <c r="H1007" s="41" t="s">
        <v>227</v>
      </c>
      <c r="I1007" s="26" t="s">
        <v>41</v>
      </c>
      <c r="J1007" s="26" t="s">
        <v>42</v>
      </c>
      <c r="K1007" s="27">
        <v>0.94339622641509424</v>
      </c>
      <c r="L1007" s="27">
        <v>0.5</v>
      </c>
      <c r="M1007" s="70"/>
      <c r="N1007" s="26"/>
      <c r="O1007" s="26"/>
      <c r="P1007" s="27"/>
      <c r="Q1007" s="33"/>
      <c r="R1007" s="55" t="s">
        <v>212</v>
      </c>
      <c r="S1007" s="26" t="s">
        <v>41</v>
      </c>
      <c r="T1007" s="26" t="s">
        <v>39</v>
      </c>
      <c r="U1007" s="27">
        <v>0.80645161290322587</v>
      </c>
      <c r="V1007" s="33">
        <v>1</v>
      </c>
      <c r="AG1007" s="31">
        <v>1</v>
      </c>
      <c r="AH1007" t="s">
        <v>73</v>
      </c>
    </row>
    <row r="1008" spans="1:34">
      <c r="A1008" s="15" t="s">
        <v>1075</v>
      </c>
      <c r="B1008" s="8" t="s">
        <v>1050</v>
      </c>
      <c r="C1008" s="41" t="s">
        <v>37</v>
      </c>
      <c r="D1008" s="1" t="s">
        <v>38</v>
      </c>
      <c r="E1008" s="26" t="s">
        <v>39</v>
      </c>
      <c r="F1008" s="27">
        <v>1</v>
      </c>
      <c r="G1008" s="27">
        <v>0.5</v>
      </c>
      <c r="H1008" s="41" t="s">
        <v>227</v>
      </c>
      <c r="I1008" s="26" t="s">
        <v>41</v>
      </c>
      <c r="J1008" s="26" t="s">
        <v>42</v>
      </c>
      <c r="K1008" s="27">
        <v>0.94339622641509424</v>
      </c>
      <c r="L1008" s="27">
        <v>0.5</v>
      </c>
      <c r="M1008" s="70"/>
      <c r="N1008" s="26"/>
      <c r="O1008" s="26"/>
      <c r="P1008" s="27"/>
      <c r="Q1008" s="33"/>
      <c r="R1008" s="55" t="s">
        <v>212</v>
      </c>
      <c r="S1008" s="26" t="s">
        <v>41</v>
      </c>
      <c r="T1008" s="26" t="s">
        <v>39</v>
      </c>
      <c r="U1008" s="27">
        <v>0.80645161290322587</v>
      </c>
      <c r="V1008" s="33">
        <v>1</v>
      </c>
      <c r="AG1008" s="31">
        <v>1</v>
      </c>
      <c r="AH1008" t="s">
        <v>73</v>
      </c>
    </row>
    <row r="1009" spans="1:34">
      <c r="A1009" s="15" t="s">
        <v>1076</v>
      </c>
      <c r="B1009" s="8" t="s">
        <v>1050</v>
      </c>
      <c r="C1009" s="41" t="s">
        <v>37</v>
      </c>
      <c r="D1009" s="1" t="s">
        <v>38</v>
      </c>
      <c r="E1009" s="26" t="s">
        <v>39</v>
      </c>
      <c r="F1009" s="27">
        <v>1</v>
      </c>
      <c r="G1009" s="27">
        <v>0.5</v>
      </c>
      <c r="H1009" s="41" t="s">
        <v>227</v>
      </c>
      <c r="I1009" s="26" t="s">
        <v>41</v>
      </c>
      <c r="J1009" s="26" t="s">
        <v>42</v>
      </c>
      <c r="K1009" s="27">
        <v>0.94339622641509424</v>
      </c>
      <c r="L1009" s="27">
        <v>0.5</v>
      </c>
      <c r="M1009" s="70"/>
      <c r="N1009" s="26"/>
      <c r="O1009" s="26"/>
      <c r="P1009" s="27"/>
      <c r="Q1009" s="33"/>
      <c r="R1009" s="55" t="s">
        <v>212</v>
      </c>
      <c r="S1009" s="26" t="s">
        <v>41</v>
      </c>
      <c r="T1009" s="26" t="s">
        <v>39</v>
      </c>
      <c r="U1009" s="27">
        <v>0.80645161290322587</v>
      </c>
      <c r="V1009" s="33">
        <v>1</v>
      </c>
      <c r="AG1009" s="31">
        <v>1</v>
      </c>
      <c r="AH1009" t="s">
        <v>73</v>
      </c>
    </row>
    <row r="1010" spans="1:34">
      <c r="A1010" s="15" t="s">
        <v>1077</v>
      </c>
      <c r="B1010" s="8" t="s">
        <v>1050</v>
      </c>
      <c r="C1010" s="41" t="s">
        <v>37</v>
      </c>
      <c r="D1010" s="1" t="s">
        <v>38</v>
      </c>
      <c r="E1010" s="26" t="s">
        <v>39</v>
      </c>
      <c r="F1010" s="27">
        <v>1</v>
      </c>
      <c r="G1010" s="27">
        <v>0.5</v>
      </c>
      <c r="H1010" s="41" t="s">
        <v>227</v>
      </c>
      <c r="I1010" s="26" t="s">
        <v>41</v>
      </c>
      <c r="J1010" s="26" t="s">
        <v>42</v>
      </c>
      <c r="K1010" s="27">
        <v>0.94339622641509424</v>
      </c>
      <c r="L1010" s="27">
        <v>0.5</v>
      </c>
      <c r="M1010" s="70"/>
      <c r="N1010" s="26"/>
      <c r="O1010" s="26"/>
      <c r="P1010" s="27"/>
      <c r="Q1010" s="33"/>
      <c r="R1010" s="55" t="s">
        <v>212</v>
      </c>
      <c r="S1010" s="26" t="s">
        <v>41</v>
      </c>
      <c r="T1010" s="26" t="s">
        <v>39</v>
      </c>
      <c r="U1010" s="27">
        <v>0.80645161290322587</v>
      </c>
      <c r="V1010" s="33">
        <v>1</v>
      </c>
      <c r="AG1010" s="31">
        <v>1</v>
      </c>
      <c r="AH1010" t="s">
        <v>73</v>
      </c>
    </row>
    <row r="1011" spans="1:34">
      <c r="A1011" s="15" t="s">
        <v>1078</v>
      </c>
      <c r="B1011" s="8" t="s">
        <v>1050</v>
      </c>
      <c r="C1011" s="41" t="s">
        <v>37</v>
      </c>
      <c r="D1011" s="1" t="s">
        <v>38</v>
      </c>
      <c r="E1011" s="26" t="s">
        <v>39</v>
      </c>
      <c r="F1011" s="27">
        <v>1</v>
      </c>
      <c r="G1011" s="33">
        <v>1</v>
      </c>
      <c r="H1011" s="41"/>
      <c r="I1011" s="1"/>
      <c r="J1011" s="26"/>
      <c r="K1011" s="27"/>
      <c r="L1011" s="27"/>
      <c r="M1011" s="70"/>
      <c r="N1011" s="1"/>
      <c r="O1011" s="26"/>
      <c r="P1011" s="27"/>
      <c r="Q1011" s="27"/>
      <c r="R1011" s="55" t="s">
        <v>242</v>
      </c>
      <c r="S1011" s="26" t="s">
        <v>38</v>
      </c>
      <c r="T1011" s="26" t="s">
        <v>39</v>
      </c>
      <c r="U1011" s="27">
        <v>0.84745762711864414</v>
      </c>
      <c r="V1011" s="33">
        <v>1</v>
      </c>
      <c r="AG1011" s="31">
        <v>0</v>
      </c>
      <c r="AH1011" t="s">
        <v>44</v>
      </c>
    </row>
    <row r="1012" spans="1:34">
      <c r="A1012" s="15" t="s">
        <v>1079</v>
      </c>
      <c r="B1012" s="8" t="s">
        <v>1050</v>
      </c>
      <c r="C1012" s="41" t="s">
        <v>37</v>
      </c>
      <c r="D1012" s="1" t="s">
        <v>38</v>
      </c>
      <c r="E1012" s="26" t="s">
        <v>39</v>
      </c>
      <c r="F1012" s="27">
        <v>1</v>
      </c>
      <c r="G1012" s="33">
        <v>1</v>
      </c>
      <c r="H1012" s="41"/>
      <c r="I1012" s="1"/>
      <c r="J1012" s="26"/>
      <c r="K1012" s="27"/>
      <c r="L1012" s="27"/>
      <c r="M1012" s="70"/>
      <c r="N1012" s="1"/>
      <c r="O1012" s="26"/>
      <c r="P1012" s="27"/>
      <c r="Q1012" s="27"/>
      <c r="R1012" s="55" t="s">
        <v>242</v>
      </c>
      <c r="S1012" s="26" t="s">
        <v>38</v>
      </c>
      <c r="T1012" s="26" t="s">
        <v>39</v>
      </c>
      <c r="U1012" s="27">
        <v>0.84745762711864414</v>
      </c>
      <c r="V1012" s="33">
        <v>1</v>
      </c>
      <c r="AG1012" s="31">
        <v>0</v>
      </c>
      <c r="AH1012" t="s">
        <v>44</v>
      </c>
    </row>
    <row r="1013" spans="1:34">
      <c r="A1013" s="15" t="s">
        <v>1080</v>
      </c>
      <c r="B1013" s="8" t="s">
        <v>1050</v>
      </c>
      <c r="C1013" s="41" t="s">
        <v>37</v>
      </c>
      <c r="D1013" s="1" t="s">
        <v>38</v>
      </c>
      <c r="E1013" s="26" t="s">
        <v>39</v>
      </c>
      <c r="F1013" s="27">
        <v>1</v>
      </c>
      <c r="G1013" s="33">
        <v>1</v>
      </c>
      <c r="H1013" s="41"/>
      <c r="I1013" s="1"/>
      <c r="J1013" s="26"/>
      <c r="K1013" s="27"/>
      <c r="L1013" s="27"/>
      <c r="M1013" s="70"/>
      <c r="N1013" s="1"/>
      <c r="O1013" s="26"/>
      <c r="P1013" s="27"/>
      <c r="Q1013" s="27"/>
      <c r="R1013" s="55" t="s">
        <v>242</v>
      </c>
      <c r="S1013" s="26" t="s">
        <v>38</v>
      </c>
      <c r="T1013" s="26" t="s">
        <v>39</v>
      </c>
      <c r="U1013" s="27">
        <v>0.84745762711864414</v>
      </c>
      <c r="V1013" s="33">
        <v>1</v>
      </c>
      <c r="AG1013" s="31">
        <v>0</v>
      </c>
      <c r="AH1013" t="s">
        <v>44</v>
      </c>
    </row>
    <row r="1014" spans="1:34">
      <c r="A1014" s="15" t="s">
        <v>1081</v>
      </c>
      <c r="B1014" s="8" t="s">
        <v>1050</v>
      </c>
      <c r="C1014" s="41" t="s">
        <v>37</v>
      </c>
      <c r="D1014" s="1" t="s">
        <v>38</v>
      </c>
      <c r="E1014" s="26" t="s">
        <v>39</v>
      </c>
      <c r="F1014" s="27">
        <v>1</v>
      </c>
      <c r="G1014" s="33">
        <v>1</v>
      </c>
      <c r="H1014" s="41"/>
      <c r="I1014" s="1"/>
      <c r="J1014" s="26"/>
      <c r="K1014" s="27"/>
      <c r="L1014" s="27"/>
      <c r="M1014" s="70"/>
      <c r="N1014" s="1"/>
      <c r="O1014" s="26"/>
      <c r="P1014" s="27"/>
      <c r="Q1014" s="27"/>
      <c r="R1014" s="55" t="s">
        <v>242</v>
      </c>
      <c r="S1014" s="26" t="s">
        <v>38</v>
      </c>
      <c r="T1014" s="26" t="s">
        <v>39</v>
      </c>
      <c r="U1014" s="27">
        <v>0.84745762711864414</v>
      </c>
      <c r="V1014" s="33">
        <v>1</v>
      </c>
      <c r="AG1014" s="31">
        <v>0</v>
      </c>
      <c r="AH1014" t="s">
        <v>44</v>
      </c>
    </row>
    <row r="1015" spans="1:34">
      <c r="A1015" s="15" t="s">
        <v>1082</v>
      </c>
      <c r="B1015" s="8" t="s">
        <v>1050</v>
      </c>
      <c r="C1015" s="41" t="s">
        <v>37</v>
      </c>
      <c r="D1015" s="1" t="s">
        <v>38</v>
      </c>
      <c r="E1015" s="26" t="s">
        <v>39</v>
      </c>
      <c r="F1015" s="27">
        <v>1</v>
      </c>
      <c r="G1015" s="33">
        <v>1</v>
      </c>
      <c r="H1015" s="41"/>
      <c r="I1015" s="1"/>
      <c r="J1015" s="26"/>
      <c r="K1015" s="27"/>
      <c r="L1015" s="27"/>
      <c r="M1015" s="70"/>
      <c r="N1015" s="1"/>
      <c r="O1015" s="26"/>
      <c r="P1015" s="27"/>
      <c r="Q1015" s="27"/>
      <c r="R1015" s="55" t="s">
        <v>242</v>
      </c>
      <c r="S1015" s="26" t="s">
        <v>38</v>
      </c>
      <c r="T1015" s="26" t="s">
        <v>39</v>
      </c>
      <c r="U1015" s="27">
        <v>0.84745762711864414</v>
      </c>
      <c r="V1015" s="33">
        <v>1</v>
      </c>
      <c r="AG1015" s="31">
        <v>0</v>
      </c>
      <c r="AH1015" t="s">
        <v>44</v>
      </c>
    </row>
    <row r="1016" spans="1:34">
      <c r="A1016" s="15" t="s">
        <v>1083</v>
      </c>
      <c r="B1016" s="8" t="s">
        <v>1050</v>
      </c>
      <c r="C1016" s="41" t="s">
        <v>37</v>
      </c>
      <c r="D1016" s="1" t="s">
        <v>38</v>
      </c>
      <c r="E1016" s="26" t="s">
        <v>39</v>
      </c>
      <c r="F1016" s="27">
        <v>1</v>
      </c>
      <c r="G1016" s="33">
        <v>1</v>
      </c>
      <c r="H1016" s="41"/>
      <c r="I1016" s="1"/>
      <c r="J1016" s="26"/>
      <c r="K1016" s="27"/>
      <c r="L1016" s="27"/>
      <c r="M1016" s="70"/>
      <c r="N1016" s="1"/>
      <c r="O1016" s="26"/>
      <c r="P1016" s="27"/>
      <c r="Q1016" s="27"/>
      <c r="R1016" s="55" t="s">
        <v>242</v>
      </c>
      <c r="S1016" s="26" t="s">
        <v>38</v>
      </c>
      <c r="T1016" s="26" t="s">
        <v>39</v>
      </c>
      <c r="U1016" s="27">
        <v>0.84745762711864414</v>
      </c>
      <c r="V1016" s="33">
        <v>1</v>
      </c>
      <c r="AG1016" s="31">
        <v>0</v>
      </c>
      <c r="AH1016" t="s">
        <v>44</v>
      </c>
    </row>
    <row r="1017" spans="1:34">
      <c r="A1017" s="15" t="s">
        <v>1084</v>
      </c>
      <c r="B1017" s="8" t="s">
        <v>1050</v>
      </c>
      <c r="C1017" s="41" t="s">
        <v>37</v>
      </c>
      <c r="D1017" s="1" t="s">
        <v>38</v>
      </c>
      <c r="E1017" s="26" t="s">
        <v>39</v>
      </c>
      <c r="F1017" s="27">
        <v>1</v>
      </c>
      <c r="G1017" s="33">
        <v>1</v>
      </c>
      <c r="H1017" s="41"/>
      <c r="I1017" s="1"/>
      <c r="J1017" s="26"/>
      <c r="K1017" s="27"/>
      <c r="L1017" s="27"/>
      <c r="M1017" s="70"/>
      <c r="N1017" s="1"/>
      <c r="O1017" s="26"/>
      <c r="P1017" s="27"/>
      <c r="Q1017" s="27"/>
      <c r="R1017" s="55" t="s">
        <v>242</v>
      </c>
      <c r="S1017" s="26" t="s">
        <v>38</v>
      </c>
      <c r="T1017" s="26" t="s">
        <v>39</v>
      </c>
      <c r="U1017" s="27">
        <v>0.84745762711864414</v>
      </c>
      <c r="V1017" s="33">
        <v>1</v>
      </c>
      <c r="AG1017" s="31">
        <v>0</v>
      </c>
      <c r="AH1017" t="s">
        <v>44</v>
      </c>
    </row>
    <row r="1018" spans="1:34">
      <c r="A1018" s="15" t="s">
        <v>1085</v>
      </c>
      <c r="B1018" s="8" t="s">
        <v>1050</v>
      </c>
      <c r="C1018" s="41" t="s">
        <v>37</v>
      </c>
      <c r="D1018" s="1" t="s">
        <v>38</v>
      </c>
      <c r="E1018" s="26" t="s">
        <v>39</v>
      </c>
      <c r="F1018" s="27">
        <v>1</v>
      </c>
      <c r="G1018" s="33">
        <v>1</v>
      </c>
      <c r="H1018" s="41"/>
      <c r="I1018" s="1"/>
      <c r="J1018" s="26"/>
      <c r="K1018" s="27"/>
      <c r="L1018" s="27"/>
      <c r="M1018" s="70"/>
      <c r="N1018" s="1"/>
      <c r="O1018" s="26"/>
      <c r="P1018" s="27"/>
      <c r="Q1018" s="27"/>
      <c r="R1018" s="55" t="s">
        <v>242</v>
      </c>
      <c r="S1018" s="26" t="s">
        <v>38</v>
      </c>
      <c r="T1018" s="26" t="s">
        <v>39</v>
      </c>
      <c r="U1018" s="27">
        <v>0.84745762711864414</v>
      </c>
      <c r="V1018" s="33">
        <v>1</v>
      </c>
      <c r="AG1018" s="31">
        <v>0</v>
      </c>
      <c r="AH1018" t="s">
        <v>44</v>
      </c>
    </row>
    <row r="1019" spans="1:34">
      <c r="A1019" s="15" t="s">
        <v>1086</v>
      </c>
      <c r="B1019" s="8" t="s">
        <v>1050</v>
      </c>
      <c r="C1019" s="41" t="s">
        <v>37</v>
      </c>
      <c r="D1019" s="1" t="s">
        <v>38</v>
      </c>
      <c r="E1019" s="26" t="s">
        <v>39</v>
      </c>
      <c r="F1019" s="27">
        <v>1</v>
      </c>
      <c r="G1019" s="33">
        <v>1</v>
      </c>
      <c r="H1019" s="41"/>
      <c r="I1019" s="1"/>
      <c r="J1019" s="26"/>
      <c r="K1019" s="27"/>
      <c r="L1019" s="27"/>
      <c r="M1019" s="70"/>
      <c r="N1019" s="1"/>
      <c r="O1019" s="26"/>
      <c r="P1019" s="27"/>
      <c r="Q1019" s="27"/>
      <c r="R1019" s="55" t="s">
        <v>242</v>
      </c>
      <c r="S1019" s="26" t="s">
        <v>38</v>
      </c>
      <c r="T1019" s="26" t="s">
        <v>39</v>
      </c>
      <c r="U1019" s="27">
        <v>0.84745762711864414</v>
      </c>
      <c r="V1019" s="33">
        <v>1</v>
      </c>
      <c r="AG1019" s="31">
        <v>0</v>
      </c>
      <c r="AH1019" t="s">
        <v>44</v>
      </c>
    </row>
    <row r="1020" spans="1:34">
      <c r="A1020" s="15" t="s">
        <v>1087</v>
      </c>
      <c r="B1020" s="8" t="s">
        <v>1050</v>
      </c>
      <c r="C1020" s="41" t="s">
        <v>37</v>
      </c>
      <c r="D1020" s="1" t="s">
        <v>38</v>
      </c>
      <c r="E1020" s="26" t="s">
        <v>39</v>
      </c>
      <c r="F1020" s="27">
        <v>1</v>
      </c>
      <c r="G1020" s="33">
        <v>1</v>
      </c>
      <c r="H1020" s="41"/>
      <c r="I1020" s="1"/>
      <c r="J1020" s="26"/>
      <c r="K1020" s="27"/>
      <c r="L1020" s="27"/>
      <c r="M1020" s="70"/>
      <c r="N1020" s="1"/>
      <c r="O1020" s="26"/>
      <c r="P1020" s="27"/>
      <c r="Q1020" s="27"/>
      <c r="R1020" s="55" t="s">
        <v>242</v>
      </c>
      <c r="S1020" s="26" t="s">
        <v>38</v>
      </c>
      <c r="T1020" s="26" t="s">
        <v>39</v>
      </c>
      <c r="U1020" s="27">
        <v>0.84745762711864414</v>
      </c>
      <c r="V1020" s="33">
        <v>1</v>
      </c>
      <c r="AG1020" s="31">
        <v>0</v>
      </c>
      <c r="AH1020" t="s">
        <v>44</v>
      </c>
    </row>
    <row r="1021" spans="1:34">
      <c r="A1021" s="15" t="s">
        <v>1088</v>
      </c>
      <c r="B1021" s="8" t="s">
        <v>1050</v>
      </c>
      <c r="C1021" s="41" t="s">
        <v>37</v>
      </c>
      <c r="D1021" s="1" t="s">
        <v>38</v>
      </c>
      <c r="E1021" s="26" t="s">
        <v>39</v>
      </c>
      <c r="F1021" s="27">
        <v>1</v>
      </c>
      <c r="G1021" s="33">
        <v>1</v>
      </c>
      <c r="H1021" s="41"/>
      <c r="I1021" s="1"/>
      <c r="J1021" s="26"/>
      <c r="K1021" s="27"/>
      <c r="L1021" s="27"/>
      <c r="M1021" s="70"/>
      <c r="N1021" s="1"/>
      <c r="O1021" s="26"/>
      <c r="P1021" s="27"/>
      <c r="Q1021" s="27"/>
      <c r="R1021" s="55" t="s">
        <v>242</v>
      </c>
      <c r="S1021" s="26" t="s">
        <v>38</v>
      </c>
      <c r="T1021" s="26" t="s">
        <v>39</v>
      </c>
      <c r="U1021" s="27">
        <v>0.84745762711864414</v>
      </c>
      <c r="V1021" s="33">
        <v>1</v>
      </c>
      <c r="AG1021" s="31">
        <v>0</v>
      </c>
      <c r="AH1021" t="s">
        <v>44</v>
      </c>
    </row>
    <row r="1022" spans="1:34">
      <c r="A1022" s="15" t="s">
        <v>1089</v>
      </c>
      <c r="B1022" s="8" t="s">
        <v>1050</v>
      </c>
      <c r="C1022" s="41" t="s">
        <v>37</v>
      </c>
      <c r="D1022" s="1" t="s">
        <v>38</v>
      </c>
      <c r="E1022" s="26" t="s">
        <v>39</v>
      </c>
      <c r="F1022" s="27">
        <v>1</v>
      </c>
      <c r="G1022" s="33">
        <v>1</v>
      </c>
      <c r="H1022" s="41"/>
      <c r="I1022" s="1"/>
      <c r="J1022" s="26"/>
      <c r="K1022" s="27"/>
      <c r="L1022" s="27"/>
      <c r="M1022" s="70"/>
      <c r="N1022" s="1"/>
      <c r="O1022" s="26"/>
      <c r="P1022" s="27"/>
      <c r="Q1022" s="27"/>
      <c r="R1022" s="55" t="s">
        <v>242</v>
      </c>
      <c r="S1022" s="26" t="s">
        <v>38</v>
      </c>
      <c r="T1022" s="26" t="s">
        <v>39</v>
      </c>
      <c r="U1022" s="27">
        <v>0.84745762711864414</v>
      </c>
      <c r="V1022" s="33">
        <v>1</v>
      </c>
      <c r="AG1022" s="31">
        <v>0</v>
      </c>
      <c r="AH1022" t="s">
        <v>44</v>
      </c>
    </row>
    <row r="1023" spans="1:34">
      <c r="A1023" s="15" t="s">
        <v>1090</v>
      </c>
      <c r="B1023" s="8" t="s">
        <v>1050</v>
      </c>
      <c r="C1023" s="41" t="s">
        <v>37</v>
      </c>
      <c r="D1023" s="1" t="s">
        <v>38</v>
      </c>
      <c r="E1023" s="26" t="s">
        <v>39</v>
      </c>
      <c r="F1023" s="27">
        <v>1</v>
      </c>
      <c r="G1023" s="33">
        <v>1</v>
      </c>
      <c r="H1023" s="41"/>
      <c r="I1023" s="1"/>
      <c r="J1023" s="26"/>
      <c r="K1023" s="27"/>
      <c r="L1023" s="27"/>
      <c r="M1023" s="70"/>
      <c r="N1023" s="1"/>
      <c r="O1023" s="26"/>
      <c r="P1023" s="27"/>
      <c r="Q1023" s="27"/>
      <c r="R1023" s="55" t="s">
        <v>242</v>
      </c>
      <c r="S1023" s="26" t="s">
        <v>38</v>
      </c>
      <c r="T1023" s="26" t="s">
        <v>39</v>
      </c>
      <c r="U1023" s="27">
        <v>0.84745762711864414</v>
      </c>
      <c r="V1023" s="33">
        <v>1</v>
      </c>
      <c r="AG1023" s="31">
        <v>0</v>
      </c>
      <c r="AH1023" t="s">
        <v>44</v>
      </c>
    </row>
    <row r="1024" spans="1:34">
      <c r="A1024" s="15" t="s">
        <v>1091</v>
      </c>
      <c r="B1024" s="8" t="s">
        <v>1050</v>
      </c>
      <c r="C1024" s="41" t="s">
        <v>37</v>
      </c>
      <c r="D1024" s="1" t="s">
        <v>38</v>
      </c>
      <c r="E1024" s="26" t="s">
        <v>39</v>
      </c>
      <c r="F1024" s="27">
        <v>1</v>
      </c>
      <c r="G1024" s="33">
        <v>1</v>
      </c>
      <c r="H1024" s="41"/>
      <c r="I1024" s="1"/>
      <c r="J1024" s="26"/>
      <c r="K1024" s="27"/>
      <c r="L1024" s="27"/>
      <c r="M1024" s="70"/>
      <c r="N1024" s="1"/>
      <c r="O1024" s="26"/>
      <c r="P1024" s="27"/>
      <c r="Q1024" s="27"/>
      <c r="R1024" s="55" t="s">
        <v>242</v>
      </c>
      <c r="S1024" s="26" t="s">
        <v>38</v>
      </c>
      <c r="T1024" s="26" t="s">
        <v>39</v>
      </c>
      <c r="U1024" s="27">
        <v>0.84745762711864414</v>
      </c>
      <c r="V1024" s="33">
        <v>1</v>
      </c>
      <c r="AG1024" s="31">
        <v>0</v>
      </c>
      <c r="AH1024" t="s">
        <v>44</v>
      </c>
    </row>
    <row r="1025" spans="1:34">
      <c r="A1025" s="15" t="s">
        <v>1092</v>
      </c>
      <c r="B1025" s="8" t="s">
        <v>1050</v>
      </c>
      <c r="C1025" s="41" t="s">
        <v>37</v>
      </c>
      <c r="D1025" s="1" t="s">
        <v>38</v>
      </c>
      <c r="E1025" s="26" t="s">
        <v>39</v>
      </c>
      <c r="F1025" s="27">
        <v>1</v>
      </c>
      <c r="G1025" s="33">
        <v>1</v>
      </c>
      <c r="H1025" s="41"/>
      <c r="I1025" s="1"/>
      <c r="J1025" s="26"/>
      <c r="K1025" s="27"/>
      <c r="L1025" s="27"/>
      <c r="M1025" s="70"/>
      <c r="N1025" s="1"/>
      <c r="O1025" s="26"/>
      <c r="P1025" s="27"/>
      <c r="Q1025" s="27"/>
      <c r="R1025" s="55" t="s">
        <v>242</v>
      </c>
      <c r="S1025" s="26" t="s">
        <v>38</v>
      </c>
      <c r="T1025" s="26" t="s">
        <v>39</v>
      </c>
      <c r="U1025" s="27">
        <v>0.84745762711864414</v>
      </c>
      <c r="V1025" s="33">
        <v>1</v>
      </c>
      <c r="AG1025" s="31">
        <v>1</v>
      </c>
      <c r="AH1025" t="s">
        <v>73</v>
      </c>
    </row>
    <row r="1026" spans="1:34">
      <c r="A1026" s="15" t="s">
        <v>1093</v>
      </c>
      <c r="B1026" s="8" t="s">
        <v>1050</v>
      </c>
      <c r="C1026" s="41" t="s">
        <v>37</v>
      </c>
      <c r="D1026" s="1" t="s">
        <v>38</v>
      </c>
      <c r="E1026" s="26" t="s">
        <v>39</v>
      </c>
      <c r="F1026" s="27">
        <v>1</v>
      </c>
      <c r="G1026" s="33">
        <v>1</v>
      </c>
      <c r="H1026" s="41"/>
      <c r="I1026" s="1"/>
      <c r="J1026" s="26"/>
      <c r="K1026" s="27"/>
      <c r="L1026" s="27"/>
      <c r="M1026" s="70"/>
      <c r="N1026" s="1"/>
      <c r="O1026" s="26"/>
      <c r="P1026" s="27"/>
      <c r="Q1026" s="27"/>
      <c r="R1026" s="55" t="s">
        <v>242</v>
      </c>
      <c r="S1026" s="26" t="s">
        <v>38</v>
      </c>
      <c r="T1026" s="26" t="s">
        <v>39</v>
      </c>
      <c r="U1026" s="27">
        <v>0.84745762711864414</v>
      </c>
      <c r="V1026" s="33">
        <v>1</v>
      </c>
      <c r="AG1026" s="31">
        <v>1</v>
      </c>
      <c r="AH1026" t="s">
        <v>73</v>
      </c>
    </row>
    <row r="1027" spans="1:34">
      <c r="A1027" s="15" t="s">
        <v>1094</v>
      </c>
      <c r="B1027" s="8" t="s">
        <v>1050</v>
      </c>
      <c r="C1027" s="41" t="s">
        <v>37</v>
      </c>
      <c r="D1027" s="1" t="s">
        <v>38</v>
      </c>
      <c r="E1027" s="26" t="s">
        <v>39</v>
      </c>
      <c r="F1027" s="27">
        <v>1</v>
      </c>
      <c r="G1027" s="33">
        <v>1</v>
      </c>
      <c r="H1027" s="41"/>
      <c r="I1027" s="1"/>
      <c r="J1027" s="26"/>
      <c r="K1027" s="27"/>
      <c r="L1027" s="27"/>
      <c r="M1027" s="70"/>
      <c r="N1027" s="1"/>
      <c r="O1027" s="26"/>
      <c r="P1027" s="27"/>
      <c r="Q1027" s="27"/>
      <c r="R1027" s="55" t="s">
        <v>242</v>
      </c>
      <c r="S1027" s="26" t="s">
        <v>38</v>
      </c>
      <c r="T1027" s="26" t="s">
        <v>39</v>
      </c>
      <c r="U1027" s="27">
        <v>0.84745762711864414</v>
      </c>
      <c r="V1027" s="33">
        <v>1</v>
      </c>
      <c r="AG1027" s="31">
        <v>1</v>
      </c>
      <c r="AH1027" t="s">
        <v>73</v>
      </c>
    </row>
    <row r="1028" spans="1:34">
      <c r="A1028" s="15" t="s">
        <v>1095</v>
      </c>
      <c r="B1028" s="8" t="s">
        <v>1050</v>
      </c>
      <c r="C1028" s="41" t="s">
        <v>37</v>
      </c>
      <c r="D1028" s="1" t="s">
        <v>38</v>
      </c>
      <c r="E1028" s="26" t="s">
        <v>39</v>
      </c>
      <c r="F1028" s="27">
        <v>1</v>
      </c>
      <c r="G1028" s="33">
        <v>1</v>
      </c>
      <c r="H1028" s="41"/>
      <c r="I1028" s="1"/>
      <c r="J1028" s="26"/>
      <c r="K1028" s="27"/>
      <c r="L1028" s="27"/>
      <c r="M1028" s="70"/>
      <c r="N1028" s="1"/>
      <c r="O1028" s="26"/>
      <c r="P1028" s="27"/>
      <c r="Q1028" s="27"/>
      <c r="R1028" s="55" t="s">
        <v>242</v>
      </c>
      <c r="S1028" s="26" t="s">
        <v>38</v>
      </c>
      <c r="T1028" s="26" t="s">
        <v>39</v>
      </c>
      <c r="U1028" s="27">
        <v>0.84745762711864414</v>
      </c>
      <c r="V1028" s="33">
        <v>1</v>
      </c>
      <c r="AG1028" s="31">
        <v>1</v>
      </c>
      <c r="AH1028" t="s">
        <v>73</v>
      </c>
    </row>
    <row r="1029" spans="1:34">
      <c r="A1029" s="15" t="s">
        <v>1096</v>
      </c>
      <c r="B1029" s="8" t="s">
        <v>1050</v>
      </c>
      <c r="C1029" s="41" t="s">
        <v>37</v>
      </c>
      <c r="D1029" s="1" t="s">
        <v>38</v>
      </c>
      <c r="E1029" s="26" t="s">
        <v>39</v>
      </c>
      <c r="F1029" s="27">
        <v>1</v>
      </c>
      <c r="G1029" s="33">
        <v>1</v>
      </c>
      <c r="H1029" s="41"/>
      <c r="I1029" s="1"/>
      <c r="J1029" s="26"/>
      <c r="K1029" s="27"/>
      <c r="L1029" s="27"/>
      <c r="M1029" s="70"/>
      <c r="N1029" s="1"/>
      <c r="O1029" s="26"/>
      <c r="P1029" s="27"/>
      <c r="Q1029" s="27"/>
      <c r="R1029" s="55" t="s">
        <v>242</v>
      </c>
      <c r="S1029" s="26" t="s">
        <v>38</v>
      </c>
      <c r="T1029" s="26" t="s">
        <v>39</v>
      </c>
      <c r="U1029" s="27">
        <v>0.84745762711864414</v>
      </c>
      <c r="V1029" s="33">
        <v>1</v>
      </c>
      <c r="AG1029" s="31">
        <v>1</v>
      </c>
      <c r="AH1029" t="s">
        <v>73</v>
      </c>
    </row>
    <row r="1030" spans="1:34">
      <c r="A1030" s="15" t="s">
        <v>1097</v>
      </c>
      <c r="B1030" s="8" t="s">
        <v>1050</v>
      </c>
      <c r="C1030" s="41" t="s">
        <v>37</v>
      </c>
      <c r="D1030" s="1" t="s">
        <v>38</v>
      </c>
      <c r="E1030" s="26" t="s">
        <v>39</v>
      </c>
      <c r="F1030" s="27">
        <v>1</v>
      </c>
      <c r="G1030" s="33">
        <v>1</v>
      </c>
      <c r="H1030" s="41"/>
      <c r="I1030" s="1"/>
      <c r="J1030" s="26"/>
      <c r="K1030" s="27"/>
      <c r="L1030" s="27"/>
      <c r="M1030" s="70"/>
      <c r="N1030" s="1"/>
      <c r="O1030" s="26"/>
      <c r="P1030" s="27"/>
      <c r="Q1030" s="27"/>
      <c r="R1030" s="55" t="s">
        <v>242</v>
      </c>
      <c r="S1030" s="26" t="s">
        <v>38</v>
      </c>
      <c r="T1030" s="26" t="s">
        <v>39</v>
      </c>
      <c r="U1030" s="27">
        <v>0.84745762711864414</v>
      </c>
      <c r="V1030" s="33">
        <v>1</v>
      </c>
      <c r="AG1030" s="31">
        <v>1</v>
      </c>
      <c r="AH1030" t="s">
        <v>73</v>
      </c>
    </row>
    <row r="1031" spans="1:34">
      <c r="A1031" s="15" t="s">
        <v>1098</v>
      </c>
      <c r="B1031" s="8" t="s">
        <v>1050</v>
      </c>
      <c r="C1031" s="41" t="s">
        <v>37</v>
      </c>
      <c r="D1031" s="1" t="s">
        <v>38</v>
      </c>
      <c r="E1031" s="26" t="s">
        <v>39</v>
      </c>
      <c r="F1031" s="27">
        <v>1</v>
      </c>
      <c r="G1031" s="33">
        <v>1</v>
      </c>
      <c r="H1031" s="41"/>
      <c r="I1031" s="1"/>
      <c r="J1031" s="26"/>
      <c r="K1031" s="27"/>
      <c r="L1031" s="27"/>
      <c r="M1031" s="70"/>
      <c r="N1031" s="1"/>
      <c r="O1031" s="26"/>
      <c r="P1031" s="27"/>
      <c r="Q1031" s="27"/>
      <c r="R1031" s="55" t="s">
        <v>242</v>
      </c>
      <c r="S1031" s="26" t="s">
        <v>38</v>
      </c>
      <c r="T1031" s="26" t="s">
        <v>39</v>
      </c>
      <c r="U1031" s="27">
        <v>0.84745762711864414</v>
      </c>
      <c r="V1031" s="33">
        <v>1</v>
      </c>
      <c r="AG1031" s="31">
        <v>1</v>
      </c>
      <c r="AH1031" t="s">
        <v>73</v>
      </c>
    </row>
    <row r="1032" spans="1:34">
      <c r="A1032" s="15" t="s">
        <v>1099</v>
      </c>
      <c r="B1032" s="8" t="s">
        <v>1050</v>
      </c>
      <c r="C1032" s="41" t="s">
        <v>37</v>
      </c>
      <c r="D1032" s="1" t="s">
        <v>38</v>
      </c>
      <c r="E1032" s="26" t="s">
        <v>39</v>
      </c>
      <c r="F1032" s="27">
        <v>1</v>
      </c>
      <c r="G1032" s="33">
        <v>1</v>
      </c>
      <c r="H1032" s="41"/>
      <c r="I1032" s="1"/>
      <c r="J1032" s="26"/>
      <c r="K1032" s="27"/>
      <c r="L1032" s="27"/>
      <c r="M1032" s="70"/>
      <c r="N1032" s="1"/>
      <c r="O1032" s="26"/>
      <c r="P1032" s="27"/>
      <c r="Q1032" s="27"/>
      <c r="R1032" s="55" t="s">
        <v>242</v>
      </c>
      <c r="S1032" s="26" t="s">
        <v>38</v>
      </c>
      <c r="T1032" s="26" t="s">
        <v>39</v>
      </c>
      <c r="U1032" s="27">
        <v>0.84745762711864414</v>
      </c>
      <c r="V1032" s="33">
        <v>1</v>
      </c>
      <c r="AG1032" s="31">
        <v>1</v>
      </c>
      <c r="AH1032" t="s">
        <v>73</v>
      </c>
    </row>
    <row r="1033" spans="1:34">
      <c r="A1033" s="15" t="s">
        <v>1100</v>
      </c>
      <c r="B1033" s="8" t="s">
        <v>1050</v>
      </c>
      <c r="C1033" s="41" t="s">
        <v>37</v>
      </c>
      <c r="D1033" s="1" t="s">
        <v>38</v>
      </c>
      <c r="E1033" s="26" t="s">
        <v>39</v>
      </c>
      <c r="F1033" s="27">
        <v>1</v>
      </c>
      <c r="G1033" s="33">
        <v>1</v>
      </c>
      <c r="H1033" s="41"/>
      <c r="I1033" s="1"/>
      <c r="J1033" s="26"/>
      <c r="K1033" s="27"/>
      <c r="L1033" s="27"/>
      <c r="M1033" s="70"/>
      <c r="N1033" s="1"/>
      <c r="O1033" s="26"/>
      <c r="P1033" s="27"/>
      <c r="Q1033" s="27"/>
      <c r="R1033" s="55" t="s">
        <v>242</v>
      </c>
      <c r="S1033" s="26" t="s">
        <v>38</v>
      </c>
      <c r="T1033" s="26" t="s">
        <v>39</v>
      </c>
      <c r="U1033" s="27">
        <v>0.84745762711864414</v>
      </c>
      <c r="V1033" s="33">
        <v>1</v>
      </c>
      <c r="AG1033" s="31">
        <v>1</v>
      </c>
      <c r="AH1033" t="s">
        <v>73</v>
      </c>
    </row>
    <row r="1034" spans="1:34">
      <c r="A1034" s="15" t="s">
        <v>1101</v>
      </c>
      <c r="B1034" s="8" t="s">
        <v>1050</v>
      </c>
      <c r="C1034" s="41" t="s">
        <v>37</v>
      </c>
      <c r="D1034" s="1" t="s">
        <v>38</v>
      </c>
      <c r="E1034" s="26" t="s">
        <v>39</v>
      </c>
      <c r="F1034" s="27">
        <v>1</v>
      </c>
      <c r="G1034" s="33">
        <v>1</v>
      </c>
      <c r="H1034" s="41"/>
      <c r="I1034" s="1"/>
      <c r="J1034" s="26"/>
      <c r="K1034" s="27"/>
      <c r="L1034" s="27"/>
      <c r="M1034" s="70"/>
      <c r="N1034" s="1"/>
      <c r="O1034" s="26"/>
      <c r="P1034" s="27"/>
      <c r="Q1034" s="27"/>
      <c r="R1034" s="55" t="s">
        <v>242</v>
      </c>
      <c r="S1034" s="26" t="s">
        <v>38</v>
      </c>
      <c r="T1034" s="26" t="s">
        <v>39</v>
      </c>
      <c r="U1034" s="27">
        <v>0.84745762711864414</v>
      </c>
      <c r="V1034" s="33">
        <v>1</v>
      </c>
      <c r="AG1034" s="31">
        <v>1</v>
      </c>
      <c r="AH1034" t="s">
        <v>73</v>
      </c>
    </row>
    <row r="1035" spans="1:34">
      <c r="A1035" s="15" t="s">
        <v>1102</v>
      </c>
      <c r="B1035" s="8" t="s">
        <v>1050</v>
      </c>
      <c r="C1035" s="41" t="s">
        <v>37</v>
      </c>
      <c r="D1035" s="1" t="s">
        <v>38</v>
      </c>
      <c r="E1035" s="26" t="s">
        <v>39</v>
      </c>
      <c r="F1035" s="27">
        <v>1</v>
      </c>
      <c r="G1035" s="33">
        <v>1</v>
      </c>
      <c r="H1035" s="41"/>
      <c r="I1035" s="1"/>
      <c r="J1035" s="26"/>
      <c r="K1035" s="27"/>
      <c r="L1035" s="27"/>
      <c r="M1035" s="70"/>
      <c r="N1035" s="1"/>
      <c r="O1035" s="26"/>
      <c r="P1035" s="27"/>
      <c r="Q1035" s="27"/>
      <c r="R1035" s="55" t="s">
        <v>242</v>
      </c>
      <c r="S1035" s="26" t="s">
        <v>38</v>
      </c>
      <c r="T1035" s="26" t="s">
        <v>39</v>
      </c>
      <c r="U1035" s="27">
        <v>0.84745762711864414</v>
      </c>
      <c r="V1035" s="33">
        <v>1</v>
      </c>
      <c r="AG1035" s="31">
        <v>1</v>
      </c>
      <c r="AH1035" t="s">
        <v>73</v>
      </c>
    </row>
    <row r="1036" spans="1:34">
      <c r="A1036" s="15" t="s">
        <v>1103</v>
      </c>
      <c r="B1036" s="8" t="s">
        <v>1050</v>
      </c>
      <c r="C1036" s="41" t="s">
        <v>37</v>
      </c>
      <c r="D1036" s="1" t="s">
        <v>38</v>
      </c>
      <c r="E1036" s="26" t="s">
        <v>39</v>
      </c>
      <c r="F1036" s="27">
        <v>1</v>
      </c>
      <c r="G1036" s="33">
        <v>1</v>
      </c>
      <c r="H1036" s="41"/>
      <c r="I1036" s="1"/>
      <c r="J1036" s="26"/>
      <c r="K1036" s="27"/>
      <c r="L1036" s="27"/>
      <c r="M1036" s="70"/>
      <c r="N1036" s="1"/>
      <c r="O1036" s="26"/>
      <c r="P1036" s="27"/>
      <c r="Q1036" s="27"/>
      <c r="R1036" s="55" t="s">
        <v>242</v>
      </c>
      <c r="S1036" s="26" t="s">
        <v>38</v>
      </c>
      <c r="T1036" s="26" t="s">
        <v>39</v>
      </c>
      <c r="U1036" s="27">
        <v>0.84745762711864414</v>
      </c>
      <c r="V1036" s="33">
        <v>1</v>
      </c>
      <c r="AG1036" s="31">
        <v>1</v>
      </c>
      <c r="AH1036" t="s">
        <v>73</v>
      </c>
    </row>
    <row r="1037" spans="1:34">
      <c r="A1037" s="15" t="s">
        <v>1104</v>
      </c>
      <c r="B1037" s="8" t="s">
        <v>1050</v>
      </c>
      <c r="C1037" s="41" t="s">
        <v>37</v>
      </c>
      <c r="D1037" s="1" t="s">
        <v>38</v>
      </c>
      <c r="E1037" s="26" t="s">
        <v>39</v>
      </c>
      <c r="F1037" s="27">
        <v>1</v>
      </c>
      <c r="G1037" s="33">
        <v>1</v>
      </c>
      <c r="H1037" s="41"/>
      <c r="I1037" s="1"/>
      <c r="J1037" s="26"/>
      <c r="K1037" s="27"/>
      <c r="L1037" s="27"/>
      <c r="M1037" s="70"/>
      <c r="N1037" s="1"/>
      <c r="O1037" s="26"/>
      <c r="P1037" s="27"/>
      <c r="Q1037" s="27"/>
      <c r="R1037" s="55" t="s">
        <v>242</v>
      </c>
      <c r="S1037" s="26" t="s">
        <v>38</v>
      </c>
      <c r="T1037" s="26" t="s">
        <v>39</v>
      </c>
      <c r="U1037" s="27">
        <v>0.84745762711864414</v>
      </c>
      <c r="V1037" s="33">
        <v>1</v>
      </c>
      <c r="AG1037" s="31">
        <v>1</v>
      </c>
      <c r="AH1037" t="s">
        <v>73</v>
      </c>
    </row>
    <row r="1038" spans="1:34">
      <c r="A1038" s="15" t="s">
        <v>1105</v>
      </c>
      <c r="B1038" s="8" t="s">
        <v>1050</v>
      </c>
      <c r="C1038" s="41" t="s">
        <v>37</v>
      </c>
      <c r="D1038" s="1" t="s">
        <v>38</v>
      </c>
      <c r="E1038" s="26" t="s">
        <v>39</v>
      </c>
      <c r="F1038" s="27">
        <v>1</v>
      </c>
      <c r="G1038" s="33">
        <v>1</v>
      </c>
      <c r="H1038" s="41"/>
      <c r="I1038" s="1"/>
      <c r="J1038" s="26"/>
      <c r="K1038" s="27"/>
      <c r="L1038" s="27"/>
      <c r="M1038" s="70"/>
      <c r="N1038" s="1"/>
      <c r="O1038" s="26"/>
      <c r="P1038" s="27"/>
      <c r="Q1038" s="27"/>
      <c r="R1038" s="55" t="s">
        <v>242</v>
      </c>
      <c r="S1038" s="26" t="s">
        <v>38</v>
      </c>
      <c r="T1038" s="26" t="s">
        <v>39</v>
      </c>
      <c r="U1038" s="27">
        <v>0.84745762711864414</v>
      </c>
      <c r="V1038" s="33">
        <v>1</v>
      </c>
      <c r="AG1038" s="31">
        <v>1</v>
      </c>
      <c r="AH1038" t="s">
        <v>73</v>
      </c>
    </row>
    <row r="1039" spans="1:34">
      <c r="A1039" s="15" t="s">
        <v>1106</v>
      </c>
      <c r="B1039" s="8" t="s">
        <v>1050</v>
      </c>
      <c r="C1039" s="41" t="s">
        <v>37</v>
      </c>
      <c r="D1039" s="1" t="s">
        <v>38</v>
      </c>
      <c r="E1039" s="26" t="s">
        <v>39</v>
      </c>
      <c r="F1039" s="27">
        <v>1</v>
      </c>
      <c r="G1039" s="33">
        <v>1</v>
      </c>
      <c r="H1039" s="41"/>
      <c r="I1039" s="1"/>
      <c r="J1039" s="26"/>
      <c r="K1039" s="27"/>
      <c r="L1039" s="27"/>
      <c r="M1039" s="70"/>
      <c r="N1039" s="1"/>
      <c r="O1039" s="26"/>
      <c r="P1039" s="27"/>
      <c r="Q1039" s="27"/>
      <c r="R1039" s="55" t="s">
        <v>242</v>
      </c>
      <c r="S1039" s="26" t="s">
        <v>38</v>
      </c>
      <c r="T1039" s="26" t="s">
        <v>39</v>
      </c>
      <c r="U1039" s="27">
        <v>0.84745762711864414</v>
      </c>
      <c r="V1039" s="33">
        <v>1</v>
      </c>
      <c r="AG1039" s="31">
        <v>1</v>
      </c>
      <c r="AH1039" t="s">
        <v>73</v>
      </c>
    </row>
    <row r="1040" spans="1:34">
      <c r="A1040" s="15" t="s">
        <v>1107</v>
      </c>
      <c r="B1040" s="8" t="s">
        <v>1050</v>
      </c>
      <c r="C1040" s="41" t="s">
        <v>37</v>
      </c>
      <c r="D1040" s="1" t="s">
        <v>38</v>
      </c>
      <c r="E1040" s="26" t="s">
        <v>39</v>
      </c>
      <c r="F1040" s="27">
        <v>1</v>
      </c>
      <c r="G1040" s="33">
        <v>1</v>
      </c>
      <c r="H1040" s="41"/>
      <c r="I1040" s="1"/>
      <c r="J1040" s="26"/>
      <c r="K1040" s="27"/>
      <c r="L1040" s="27"/>
      <c r="M1040" s="70"/>
      <c r="N1040" s="1"/>
      <c r="O1040" s="26"/>
      <c r="P1040" s="27"/>
      <c r="Q1040" s="27"/>
      <c r="R1040" s="55" t="s">
        <v>242</v>
      </c>
      <c r="S1040" s="26" t="s">
        <v>38</v>
      </c>
      <c r="T1040" s="26" t="s">
        <v>39</v>
      </c>
      <c r="U1040" s="27">
        <v>0.84745762711864414</v>
      </c>
      <c r="V1040" s="33">
        <v>1</v>
      </c>
      <c r="AG1040" s="31">
        <v>1</v>
      </c>
      <c r="AH1040" t="s">
        <v>73</v>
      </c>
    </row>
    <row r="1041" spans="1:34">
      <c r="A1041" s="15" t="s">
        <v>1108</v>
      </c>
      <c r="B1041" s="8" t="s">
        <v>1050</v>
      </c>
      <c r="C1041" s="41" t="s">
        <v>37</v>
      </c>
      <c r="D1041" s="1" t="s">
        <v>38</v>
      </c>
      <c r="E1041" s="26" t="s">
        <v>39</v>
      </c>
      <c r="F1041" s="27">
        <v>1</v>
      </c>
      <c r="G1041" s="33">
        <v>1</v>
      </c>
      <c r="H1041" s="41"/>
      <c r="I1041" s="1"/>
      <c r="J1041" s="26"/>
      <c r="K1041" s="27"/>
      <c r="L1041" s="27"/>
      <c r="M1041" s="70"/>
      <c r="N1041" s="1"/>
      <c r="O1041" s="26"/>
      <c r="P1041" s="27"/>
      <c r="Q1041" s="27"/>
      <c r="R1041" s="55" t="s">
        <v>242</v>
      </c>
      <c r="S1041" s="26" t="s">
        <v>38</v>
      </c>
      <c r="T1041" s="26" t="s">
        <v>39</v>
      </c>
      <c r="U1041" s="27">
        <v>0.84745762711864414</v>
      </c>
      <c r="V1041" s="33">
        <v>1</v>
      </c>
      <c r="AG1041" s="31">
        <v>1</v>
      </c>
      <c r="AH1041" t="s">
        <v>73</v>
      </c>
    </row>
    <row r="1042" spans="1:34">
      <c r="A1042" s="15" t="s">
        <v>1109</v>
      </c>
      <c r="B1042" s="8" t="s">
        <v>1050</v>
      </c>
      <c r="C1042" s="41" t="s">
        <v>37</v>
      </c>
      <c r="D1042" s="1" t="s">
        <v>38</v>
      </c>
      <c r="E1042" s="26" t="s">
        <v>39</v>
      </c>
      <c r="F1042" s="27">
        <v>1</v>
      </c>
      <c r="G1042" s="33">
        <v>1</v>
      </c>
      <c r="H1042" s="41"/>
      <c r="I1042" s="1"/>
      <c r="J1042" s="26"/>
      <c r="K1042" s="27"/>
      <c r="L1042" s="27"/>
      <c r="M1042" s="70"/>
      <c r="N1042" s="1"/>
      <c r="O1042" s="26"/>
      <c r="P1042" s="27"/>
      <c r="Q1042" s="27"/>
      <c r="R1042" s="55" t="s">
        <v>242</v>
      </c>
      <c r="S1042" s="26" t="s">
        <v>38</v>
      </c>
      <c r="T1042" s="26" t="s">
        <v>39</v>
      </c>
      <c r="U1042" s="27">
        <v>0.84745762711864414</v>
      </c>
      <c r="V1042" s="33">
        <v>1</v>
      </c>
      <c r="AG1042" s="31">
        <v>1</v>
      </c>
      <c r="AH1042" t="s">
        <v>73</v>
      </c>
    </row>
    <row r="1043" spans="1:34">
      <c r="A1043" s="15" t="s">
        <v>1110</v>
      </c>
      <c r="B1043" s="8" t="s">
        <v>1050</v>
      </c>
      <c r="C1043" s="41" t="s">
        <v>37</v>
      </c>
      <c r="D1043" s="1" t="s">
        <v>38</v>
      </c>
      <c r="E1043" s="26" t="s">
        <v>39</v>
      </c>
      <c r="F1043" s="27">
        <v>1</v>
      </c>
      <c r="G1043" s="33">
        <v>1</v>
      </c>
      <c r="H1043" s="41"/>
      <c r="I1043" s="1"/>
      <c r="J1043" s="26"/>
      <c r="K1043" s="27"/>
      <c r="L1043" s="27"/>
      <c r="M1043" s="70"/>
      <c r="N1043" s="1"/>
      <c r="O1043" s="26"/>
      <c r="P1043" s="27"/>
      <c r="Q1043" s="27"/>
      <c r="R1043" s="55" t="s">
        <v>242</v>
      </c>
      <c r="S1043" s="26" t="s">
        <v>38</v>
      </c>
      <c r="T1043" s="26" t="s">
        <v>39</v>
      </c>
      <c r="U1043" s="27">
        <v>0.84745762711864414</v>
      </c>
      <c r="V1043" s="33">
        <v>1</v>
      </c>
      <c r="AG1043" s="31">
        <v>1</v>
      </c>
      <c r="AH1043" t="s">
        <v>73</v>
      </c>
    </row>
    <row r="1044" spans="1:34">
      <c r="A1044" s="15" t="s">
        <v>1111</v>
      </c>
      <c r="B1044" s="8" t="s">
        <v>1050</v>
      </c>
      <c r="C1044" s="41" t="s">
        <v>37</v>
      </c>
      <c r="D1044" s="1" t="s">
        <v>38</v>
      </c>
      <c r="E1044" s="26" t="s">
        <v>39</v>
      </c>
      <c r="F1044" s="27">
        <v>1</v>
      </c>
      <c r="G1044" s="33">
        <v>1</v>
      </c>
      <c r="H1044" s="41"/>
      <c r="I1044" s="1"/>
      <c r="J1044" s="26"/>
      <c r="K1044" s="27"/>
      <c r="L1044" s="27"/>
      <c r="M1044" s="70"/>
      <c r="N1044" s="1"/>
      <c r="O1044" s="26"/>
      <c r="P1044" s="27"/>
      <c r="Q1044" s="27"/>
      <c r="R1044" s="55" t="s">
        <v>242</v>
      </c>
      <c r="S1044" s="26" t="s">
        <v>38</v>
      </c>
      <c r="T1044" s="26" t="s">
        <v>39</v>
      </c>
      <c r="U1044" s="27">
        <v>0.84745762711864414</v>
      </c>
      <c r="V1044" s="33">
        <v>1</v>
      </c>
      <c r="AG1044" s="31">
        <v>1</v>
      </c>
      <c r="AH1044" t="s">
        <v>73</v>
      </c>
    </row>
    <row r="1045" spans="1:34">
      <c r="A1045" s="15" t="s">
        <v>1112</v>
      </c>
      <c r="B1045" s="8" t="s">
        <v>1050</v>
      </c>
      <c r="C1045" s="41" t="s">
        <v>37</v>
      </c>
      <c r="D1045" s="1" t="s">
        <v>38</v>
      </c>
      <c r="E1045" s="26" t="s">
        <v>39</v>
      </c>
      <c r="F1045" s="27">
        <v>1</v>
      </c>
      <c r="G1045" s="33">
        <v>1</v>
      </c>
      <c r="H1045" s="41"/>
      <c r="I1045" s="1"/>
      <c r="J1045" s="26"/>
      <c r="K1045" s="27"/>
      <c r="L1045" s="27"/>
      <c r="M1045" s="70"/>
      <c r="N1045" s="1"/>
      <c r="O1045" s="26"/>
      <c r="P1045" s="27"/>
      <c r="Q1045" s="27"/>
      <c r="R1045" s="55" t="s">
        <v>242</v>
      </c>
      <c r="S1045" s="26" t="s">
        <v>38</v>
      </c>
      <c r="T1045" s="26" t="s">
        <v>39</v>
      </c>
      <c r="U1045" s="27">
        <v>0.84745762711864414</v>
      </c>
      <c r="V1045" s="33">
        <v>1</v>
      </c>
      <c r="AG1045" s="31">
        <v>1</v>
      </c>
      <c r="AH1045" t="s">
        <v>73</v>
      </c>
    </row>
    <row r="1046" spans="1:34">
      <c r="A1046" s="15" t="s">
        <v>1113</v>
      </c>
      <c r="B1046" s="8" t="s">
        <v>1050</v>
      </c>
      <c r="C1046" s="41" t="s">
        <v>37</v>
      </c>
      <c r="D1046" s="1" t="s">
        <v>38</v>
      </c>
      <c r="E1046" s="26" t="s">
        <v>39</v>
      </c>
      <c r="F1046" s="27">
        <v>1</v>
      </c>
      <c r="G1046" s="33">
        <v>1</v>
      </c>
      <c r="H1046" s="41"/>
      <c r="I1046" s="1"/>
      <c r="J1046" s="26"/>
      <c r="K1046" s="27"/>
      <c r="L1046" s="27"/>
      <c r="M1046" s="70"/>
      <c r="N1046" s="1"/>
      <c r="O1046" s="26"/>
      <c r="P1046" s="27"/>
      <c r="Q1046" s="27"/>
      <c r="R1046" s="55" t="s">
        <v>242</v>
      </c>
      <c r="S1046" s="26" t="s">
        <v>38</v>
      </c>
      <c r="T1046" s="26" t="s">
        <v>39</v>
      </c>
      <c r="U1046" s="27">
        <v>0.84745762711864414</v>
      </c>
      <c r="V1046" s="33">
        <v>1</v>
      </c>
      <c r="AG1046" s="31">
        <v>1</v>
      </c>
      <c r="AH1046" t="s">
        <v>73</v>
      </c>
    </row>
    <row r="1047" spans="1:34">
      <c r="A1047" s="15" t="s">
        <v>1114</v>
      </c>
      <c r="B1047" s="8" t="s">
        <v>1050</v>
      </c>
      <c r="C1047" s="41" t="s">
        <v>37</v>
      </c>
      <c r="D1047" s="1" t="s">
        <v>38</v>
      </c>
      <c r="E1047" s="26" t="s">
        <v>39</v>
      </c>
      <c r="F1047" s="27">
        <v>1</v>
      </c>
      <c r="G1047" s="33">
        <v>1</v>
      </c>
      <c r="H1047" s="41"/>
      <c r="I1047" s="1"/>
      <c r="J1047" s="26"/>
      <c r="K1047" s="27"/>
      <c r="L1047" s="27"/>
      <c r="M1047" s="70"/>
      <c r="N1047" s="1"/>
      <c r="O1047" s="26"/>
      <c r="P1047" s="27"/>
      <c r="Q1047" s="27"/>
      <c r="R1047" s="55" t="s">
        <v>242</v>
      </c>
      <c r="S1047" s="26" t="s">
        <v>38</v>
      </c>
      <c r="T1047" s="26" t="s">
        <v>39</v>
      </c>
      <c r="U1047" s="27">
        <v>0.84745762711864414</v>
      </c>
      <c r="V1047" s="33">
        <v>1</v>
      </c>
      <c r="AG1047" s="31">
        <v>1</v>
      </c>
      <c r="AH1047" t="s">
        <v>73</v>
      </c>
    </row>
    <row r="1048" spans="1:34">
      <c r="A1048" s="15" t="s">
        <v>1115</v>
      </c>
      <c r="B1048" s="8" t="s">
        <v>1050</v>
      </c>
      <c r="C1048" s="41" t="s">
        <v>37</v>
      </c>
      <c r="D1048" s="1" t="s">
        <v>38</v>
      </c>
      <c r="E1048" s="26" t="s">
        <v>39</v>
      </c>
      <c r="F1048" s="27">
        <v>1</v>
      </c>
      <c r="G1048" s="33">
        <v>1</v>
      </c>
      <c r="H1048" s="41"/>
      <c r="I1048" s="1"/>
      <c r="J1048" s="26"/>
      <c r="K1048" s="27"/>
      <c r="L1048" s="27"/>
      <c r="M1048" s="70"/>
      <c r="N1048" s="1"/>
      <c r="O1048" s="26"/>
      <c r="P1048" s="27"/>
      <c r="Q1048" s="27"/>
      <c r="R1048" s="55" t="s">
        <v>242</v>
      </c>
      <c r="S1048" s="26" t="s">
        <v>38</v>
      </c>
      <c r="T1048" s="26" t="s">
        <v>39</v>
      </c>
      <c r="U1048" s="27">
        <v>0.84745762711864414</v>
      </c>
      <c r="V1048" s="33">
        <v>1</v>
      </c>
      <c r="AG1048" s="31">
        <v>1</v>
      </c>
      <c r="AH1048" t="s">
        <v>73</v>
      </c>
    </row>
    <row r="1049" spans="1:34">
      <c r="A1049" s="15" t="s">
        <v>1116</v>
      </c>
      <c r="B1049" s="8" t="s">
        <v>1050</v>
      </c>
      <c r="C1049" s="41" t="s">
        <v>37</v>
      </c>
      <c r="D1049" s="1" t="s">
        <v>38</v>
      </c>
      <c r="E1049" s="26" t="s">
        <v>39</v>
      </c>
      <c r="F1049" s="27">
        <v>1</v>
      </c>
      <c r="G1049" s="33">
        <v>1</v>
      </c>
      <c r="H1049" s="41"/>
      <c r="I1049" s="1"/>
      <c r="J1049" s="26"/>
      <c r="K1049" s="27"/>
      <c r="L1049" s="27"/>
      <c r="M1049" s="70"/>
      <c r="N1049" s="1"/>
      <c r="O1049" s="26"/>
      <c r="P1049" s="27"/>
      <c r="Q1049" s="27"/>
      <c r="R1049" s="55" t="s">
        <v>242</v>
      </c>
      <c r="S1049" s="26" t="s">
        <v>38</v>
      </c>
      <c r="T1049" s="26" t="s">
        <v>39</v>
      </c>
      <c r="U1049" s="27">
        <v>0.84745762711864414</v>
      </c>
      <c r="V1049" s="33">
        <v>1</v>
      </c>
      <c r="AG1049" s="31">
        <v>1</v>
      </c>
      <c r="AH1049" t="s">
        <v>73</v>
      </c>
    </row>
    <row r="1050" spans="1:34">
      <c r="A1050" s="15" t="s">
        <v>1117</v>
      </c>
      <c r="B1050" s="8" t="s">
        <v>1050</v>
      </c>
      <c r="C1050" s="41" t="s">
        <v>37</v>
      </c>
      <c r="D1050" s="1" t="s">
        <v>38</v>
      </c>
      <c r="E1050" s="26" t="s">
        <v>39</v>
      </c>
      <c r="F1050" s="27">
        <v>1</v>
      </c>
      <c r="G1050" s="33">
        <v>1</v>
      </c>
      <c r="H1050" s="41"/>
      <c r="I1050" s="1"/>
      <c r="J1050" s="26"/>
      <c r="K1050" s="27"/>
      <c r="L1050" s="27"/>
      <c r="M1050" s="70"/>
      <c r="N1050" s="1"/>
      <c r="O1050" s="26"/>
      <c r="P1050" s="27"/>
      <c r="Q1050" s="27"/>
      <c r="R1050" s="55" t="s">
        <v>242</v>
      </c>
      <c r="S1050" s="26" t="s">
        <v>38</v>
      </c>
      <c r="T1050" s="26" t="s">
        <v>39</v>
      </c>
      <c r="U1050" s="27">
        <v>0.84745762711864414</v>
      </c>
      <c r="V1050" s="33">
        <v>1</v>
      </c>
      <c r="AG1050" s="31">
        <v>1</v>
      </c>
      <c r="AH1050" t="s">
        <v>73</v>
      </c>
    </row>
    <row r="1051" spans="1:34">
      <c r="A1051" s="15" t="s">
        <v>1118</v>
      </c>
      <c r="B1051" s="8" t="s">
        <v>1050</v>
      </c>
      <c r="C1051" s="41" t="s">
        <v>37</v>
      </c>
      <c r="D1051" s="1" t="s">
        <v>38</v>
      </c>
      <c r="E1051" s="26" t="s">
        <v>39</v>
      </c>
      <c r="F1051" s="27">
        <v>1</v>
      </c>
      <c r="G1051" s="33">
        <v>1</v>
      </c>
      <c r="H1051" s="41"/>
      <c r="I1051" s="1"/>
      <c r="J1051" s="26"/>
      <c r="K1051" s="27"/>
      <c r="L1051" s="27"/>
      <c r="M1051" s="70"/>
      <c r="N1051" s="1"/>
      <c r="O1051" s="26"/>
      <c r="P1051" s="27"/>
      <c r="Q1051" s="27"/>
      <c r="R1051" s="55" t="s">
        <v>242</v>
      </c>
      <c r="S1051" s="26" t="s">
        <v>38</v>
      </c>
      <c r="T1051" s="26" t="s">
        <v>39</v>
      </c>
      <c r="U1051" s="27">
        <v>0.84745762711864414</v>
      </c>
      <c r="V1051" s="33">
        <v>1</v>
      </c>
      <c r="AG1051" s="31">
        <v>1</v>
      </c>
      <c r="AH1051" t="s">
        <v>73</v>
      </c>
    </row>
    <row r="1052" spans="1:34">
      <c r="A1052" s="15" t="s">
        <v>1119</v>
      </c>
      <c r="B1052" s="8" t="s">
        <v>1050</v>
      </c>
      <c r="C1052" s="41" t="s">
        <v>37</v>
      </c>
      <c r="D1052" s="1" t="s">
        <v>38</v>
      </c>
      <c r="E1052" s="26" t="s">
        <v>39</v>
      </c>
      <c r="F1052" s="27">
        <v>1</v>
      </c>
      <c r="G1052" s="33">
        <v>1</v>
      </c>
      <c r="H1052" s="41"/>
      <c r="I1052" s="1"/>
      <c r="J1052" s="26"/>
      <c r="K1052" s="27"/>
      <c r="L1052" s="27"/>
      <c r="M1052" s="70"/>
      <c r="N1052" s="1"/>
      <c r="O1052" s="26"/>
      <c r="P1052" s="27"/>
      <c r="Q1052" s="27"/>
      <c r="R1052" s="55" t="s">
        <v>242</v>
      </c>
      <c r="S1052" s="26" t="s">
        <v>38</v>
      </c>
      <c r="T1052" s="26" t="s">
        <v>39</v>
      </c>
      <c r="U1052" s="27">
        <v>0.84745762711864414</v>
      </c>
      <c r="V1052" s="33">
        <v>1</v>
      </c>
      <c r="AG1052" s="31">
        <v>1</v>
      </c>
      <c r="AH1052" t="s">
        <v>73</v>
      </c>
    </row>
    <row r="1053" spans="1:34">
      <c r="A1053" s="15" t="s">
        <v>1120</v>
      </c>
      <c r="B1053" s="8" t="s">
        <v>1050</v>
      </c>
      <c r="C1053" s="41" t="s">
        <v>37</v>
      </c>
      <c r="D1053" s="1" t="s">
        <v>38</v>
      </c>
      <c r="E1053" s="26" t="s">
        <v>39</v>
      </c>
      <c r="F1053" s="27">
        <v>1</v>
      </c>
      <c r="G1053" s="33">
        <v>1</v>
      </c>
      <c r="H1053" s="41"/>
      <c r="I1053" s="1"/>
      <c r="J1053" s="26"/>
      <c r="K1053" s="27"/>
      <c r="L1053" s="27"/>
      <c r="M1053" s="70"/>
      <c r="N1053" s="1"/>
      <c r="O1053" s="26"/>
      <c r="P1053" s="27"/>
      <c r="Q1053" s="27"/>
      <c r="R1053" s="55" t="s">
        <v>242</v>
      </c>
      <c r="S1053" s="26" t="s">
        <v>38</v>
      </c>
      <c r="T1053" s="26" t="s">
        <v>39</v>
      </c>
      <c r="U1053" s="27">
        <v>0.84745762711864414</v>
      </c>
      <c r="V1053" s="33">
        <v>1</v>
      </c>
      <c r="AG1053" s="31">
        <v>0.5</v>
      </c>
      <c r="AH1053" t="s">
        <v>285</v>
      </c>
    </row>
    <row r="1054" spans="1:34">
      <c r="A1054" s="15" t="s">
        <v>1121</v>
      </c>
      <c r="B1054" s="8" t="s">
        <v>1050</v>
      </c>
      <c r="C1054" s="41" t="s">
        <v>37</v>
      </c>
      <c r="D1054" s="1" t="s">
        <v>38</v>
      </c>
      <c r="E1054" s="26" t="s">
        <v>39</v>
      </c>
      <c r="F1054" s="27">
        <v>1</v>
      </c>
      <c r="G1054" s="33">
        <v>1</v>
      </c>
      <c r="H1054" s="41"/>
      <c r="I1054" s="1"/>
      <c r="J1054" s="26"/>
      <c r="K1054" s="27"/>
      <c r="L1054" s="27"/>
      <c r="M1054" s="70"/>
      <c r="N1054" s="1"/>
      <c r="O1054" s="26"/>
      <c r="P1054" s="27"/>
      <c r="Q1054" s="27"/>
      <c r="R1054" s="55" t="s">
        <v>242</v>
      </c>
      <c r="S1054" s="26" t="s">
        <v>38</v>
      </c>
      <c r="T1054" s="26" t="s">
        <v>39</v>
      </c>
      <c r="U1054" s="27">
        <v>0.84745762711864414</v>
      </c>
      <c r="V1054" s="33">
        <v>1</v>
      </c>
      <c r="AG1054" s="31">
        <v>0.5</v>
      </c>
      <c r="AH1054" t="s">
        <v>285</v>
      </c>
    </row>
    <row r="1055" spans="1:34">
      <c r="A1055" s="15" t="s">
        <v>1122</v>
      </c>
      <c r="B1055" s="8" t="s">
        <v>1050</v>
      </c>
      <c r="C1055" s="41" t="s">
        <v>37</v>
      </c>
      <c r="D1055" s="1" t="s">
        <v>38</v>
      </c>
      <c r="E1055" s="26" t="s">
        <v>39</v>
      </c>
      <c r="F1055" s="27">
        <v>1</v>
      </c>
      <c r="G1055" s="33">
        <v>1</v>
      </c>
      <c r="H1055" s="41"/>
      <c r="I1055" s="1"/>
      <c r="J1055" s="26"/>
      <c r="K1055" s="27"/>
      <c r="L1055" s="27"/>
      <c r="M1055" s="70"/>
      <c r="N1055" s="1"/>
      <c r="O1055" s="26"/>
      <c r="P1055" s="27"/>
      <c r="Q1055" s="27"/>
      <c r="R1055" s="55" t="s">
        <v>242</v>
      </c>
      <c r="S1055" s="26" t="s">
        <v>38</v>
      </c>
      <c r="T1055" s="26" t="s">
        <v>39</v>
      </c>
      <c r="U1055" s="27">
        <v>0.84745762711864414</v>
      </c>
      <c r="V1055" s="33">
        <v>1</v>
      </c>
      <c r="AG1055" s="31">
        <v>0.5</v>
      </c>
      <c r="AH1055" t="s">
        <v>285</v>
      </c>
    </row>
    <row r="1056" spans="1:34">
      <c r="A1056" s="15" t="s">
        <v>1123</v>
      </c>
      <c r="B1056" s="8" t="s">
        <v>1050</v>
      </c>
      <c r="C1056" s="41" t="s">
        <v>37</v>
      </c>
      <c r="D1056" s="1" t="s">
        <v>38</v>
      </c>
      <c r="E1056" s="26" t="s">
        <v>39</v>
      </c>
      <c r="F1056" s="27">
        <v>1</v>
      </c>
      <c r="G1056" s="33">
        <v>1</v>
      </c>
      <c r="H1056" s="41"/>
      <c r="I1056" s="1"/>
      <c r="J1056" s="26"/>
      <c r="K1056" s="27"/>
      <c r="L1056" s="27"/>
      <c r="M1056" s="70"/>
      <c r="N1056" s="1"/>
      <c r="O1056" s="26"/>
      <c r="P1056" s="27"/>
      <c r="Q1056" s="27"/>
      <c r="R1056" s="55" t="s">
        <v>242</v>
      </c>
      <c r="S1056" s="26" t="s">
        <v>38</v>
      </c>
      <c r="T1056" s="26" t="s">
        <v>39</v>
      </c>
      <c r="U1056" s="27">
        <v>0.84745762711864414</v>
      </c>
      <c r="V1056" s="33">
        <v>1</v>
      </c>
      <c r="AG1056" s="31">
        <v>0.5</v>
      </c>
      <c r="AH1056" t="s">
        <v>285</v>
      </c>
    </row>
    <row r="1057" spans="1:34">
      <c r="A1057" s="15" t="s">
        <v>1124</v>
      </c>
      <c r="B1057" s="8" t="s">
        <v>1050</v>
      </c>
      <c r="C1057" s="41" t="s">
        <v>37</v>
      </c>
      <c r="D1057" s="1" t="s">
        <v>38</v>
      </c>
      <c r="E1057" s="26" t="s">
        <v>39</v>
      </c>
      <c r="F1057" s="27">
        <v>1</v>
      </c>
      <c r="G1057" s="33">
        <v>1</v>
      </c>
      <c r="H1057" s="41"/>
      <c r="I1057" s="1"/>
      <c r="J1057" s="26"/>
      <c r="K1057" s="27"/>
      <c r="L1057" s="27"/>
      <c r="M1057" s="70"/>
      <c r="N1057" s="1"/>
      <c r="O1057" s="26"/>
      <c r="P1057" s="27"/>
      <c r="Q1057" s="27"/>
      <c r="R1057" s="55" t="s">
        <v>242</v>
      </c>
      <c r="S1057" s="26" t="s">
        <v>38</v>
      </c>
      <c r="T1057" s="26" t="s">
        <v>39</v>
      </c>
      <c r="U1057" s="27">
        <v>0.84745762711864414</v>
      </c>
      <c r="V1057" s="33">
        <v>1</v>
      </c>
      <c r="AG1057" s="31">
        <v>0.5</v>
      </c>
      <c r="AH1057" t="s">
        <v>285</v>
      </c>
    </row>
    <row r="1058" spans="1:34">
      <c r="A1058" s="15" t="s">
        <v>1125</v>
      </c>
      <c r="B1058" s="8" t="s">
        <v>1050</v>
      </c>
      <c r="C1058" s="41" t="s">
        <v>37</v>
      </c>
      <c r="D1058" s="1" t="s">
        <v>38</v>
      </c>
      <c r="E1058" s="26" t="s">
        <v>39</v>
      </c>
      <c r="F1058" s="27">
        <v>1</v>
      </c>
      <c r="G1058" s="33">
        <v>1</v>
      </c>
      <c r="H1058" s="41"/>
      <c r="I1058" s="1"/>
      <c r="J1058" s="26"/>
      <c r="K1058" s="27"/>
      <c r="L1058" s="27"/>
      <c r="M1058" s="70"/>
      <c r="N1058" s="1"/>
      <c r="O1058" s="26"/>
      <c r="P1058" s="27"/>
      <c r="Q1058" s="27"/>
      <c r="R1058" s="55" t="s">
        <v>242</v>
      </c>
      <c r="S1058" s="26" t="s">
        <v>38</v>
      </c>
      <c r="T1058" s="26" t="s">
        <v>39</v>
      </c>
      <c r="U1058" s="27">
        <v>0.84745762711864414</v>
      </c>
      <c r="V1058" s="33">
        <v>1</v>
      </c>
      <c r="AG1058" s="31">
        <v>0.5</v>
      </c>
      <c r="AH1058" t="s">
        <v>285</v>
      </c>
    </row>
    <row r="1059" spans="1:34">
      <c r="A1059" s="15" t="s">
        <v>1126</v>
      </c>
      <c r="B1059" s="8" t="s">
        <v>1050</v>
      </c>
      <c r="C1059" s="41" t="s">
        <v>37</v>
      </c>
      <c r="D1059" s="1" t="s">
        <v>38</v>
      </c>
      <c r="E1059" s="26" t="s">
        <v>39</v>
      </c>
      <c r="F1059" s="27">
        <v>1</v>
      </c>
      <c r="G1059" s="33">
        <v>1</v>
      </c>
      <c r="H1059" s="41"/>
      <c r="I1059" s="1"/>
      <c r="J1059" s="26"/>
      <c r="K1059" s="27"/>
      <c r="L1059" s="27"/>
      <c r="M1059" s="70"/>
      <c r="N1059" s="1"/>
      <c r="O1059" s="26"/>
      <c r="P1059" s="27"/>
      <c r="Q1059" s="27"/>
      <c r="R1059" s="55" t="s">
        <v>242</v>
      </c>
      <c r="S1059" s="26" t="s">
        <v>38</v>
      </c>
      <c r="T1059" s="26" t="s">
        <v>39</v>
      </c>
      <c r="U1059" s="27">
        <v>0.84745762711864414</v>
      </c>
      <c r="V1059" s="33">
        <v>1</v>
      </c>
      <c r="AG1059" s="31">
        <v>0.5</v>
      </c>
      <c r="AH1059" t="s">
        <v>285</v>
      </c>
    </row>
    <row r="1060" spans="1:34">
      <c r="A1060" s="15" t="s">
        <v>1127</v>
      </c>
      <c r="B1060" s="8" t="s">
        <v>1050</v>
      </c>
      <c r="C1060" s="41" t="s">
        <v>37</v>
      </c>
      <c r="D1060" s="1" t="s">
        <v>38</v>
      </c>
      <c r="E1060" s="26" t="s">
        <v>39</v>
      </c>
      <c r="F1060" s="27">
        <v>1</v>
      </c>
      <c r="G1060" s="33">
        <v>1</v>
      </c>
      <c r="H1060" s="41"/>
      <c r="I1060" s="1"/>
      <c r="J1060" s="26"/>
      <c r="K1060" s="27"/>
      <c r="L1060" s="27"/>
      <c r="M1060" s="70"/>
      <c r="N1060" s="1"/>
      <c r="O1060" s="26"/>
      <c r="P1060" s="27"/>
      <c r="Q1060" s="27"/>
      <c r="R1060" s="55" t="s">
        <v>242</v>
      </c>
      <c r="S1060" s="26" t="s">
        <v>38</v>
      </c>
      <c r="T1060" s="26" t="s">
        <v>39</v>
      </c>
      <c r="U1060" s="27">
        <v>0.84745762711864414</v>
      </c>
      <c r="V1060" s="33">
        <v>1</v>
      </c>
      <c r="AG1060" s="31">
        <v>0.5</v>
      </c>
      <c r="AH1060" t="s">
        <v>285</v>
      </c>
    </row>
    <row r="1061" spans="1:34">
      <c r="A1061" s="15" t="s">
        <v>1128</v>
      </c>
      <c r="B1061" s="8" t="s">
        <v>1050</v>
      </c>
      <c r="C1061" s="41" t="s">
        <v>37</v>
      </c>
      <c r="D1061" s="1" t="s">
        <v>38</v>
      </c>
      <c r="E1061" s="26" t="s">
        <v>39</v>
      </c>
      <c r="F1061" s="27">
        <v>1</v>
      </c>
      <c r="G1061" s="33">
        <v>1</v>
      </c>
      <c r="H1061" s="41"/>
      <c r="I1061" s="1"/>
      <c r="J1061" s="26"/>
      <c r="K1061" s="27"/>
      <c r="L1061" s="27"/>
      <c r="M1061" s="70"/>
      <c r="N1061" s="1"/>
      <c r="O1061" s="26"/>
      <c r="P1061" s="27"/>
      <c r="Q1061" s="27"/>
      <c r="R1061" s="55" t="s">
        <v>242</v>
      </c>
      <c r="S1061" s="26" t="s">
        <v>38</v>
      </c>
      <c r="T1061" s="26" t="s">
        <v>39</v>
      </c>
      <c r="U1061" s="27">
        <v>0.84745762711864414</v>
      </c>
      <c r="V1061" s="33">
        <v>1</v>
      </c>
      <c r="AG1061" s="31">
        <v>0.5</v>
      </c>
      <c r="AH1061" t="s">
        <v>285</v>
      </c>
    </row>
    <row r="1062" spans="1:34">
      <c r="A1062" s="15" t="s">
        <v>1129</v>
      </c>
      <c r="B1062" s="8" t="s">
        <v>1050</v>
      </c>
      <c r="C1062" s="41" t="s">
        <v>37</v>
      </c>
      <c r="D1062" s="1" t="s">
        <v>38</v>
      </c>
      <c r="E1062" s="26" t="s">
        <v>39</v>
      </c>
      <c r="F1062" s="27">
        <v>1</v>
      </c>
      <c r="G1062" s="33">
        <v>1</v>
      </c>
      <c r="H1062" s="41"/>
      <c r="I1062" s="1"/>
      <c r="J1062" s="26"/>
      <c r="K1062" s="27"/>
      <c r="L1062" s="27"/>
      <c r="M1062" s="70"/>
      <c r="N1062" s="1"/>
      <c r="O1062" s="26"/>
      <c r="P1062" s="27"/>
      <c r="Q1062" s="27"/>
      <c r="R1062" s="55" t="s">
        <v>242</v>
      </c>
      <c r="S1062" s="26" t="s">
        <v>38</v>
      </c>
      <c r="T1062" s="26" t="s">
        <v>39</v>
      </c>
      <c r="U1062" s="27">
        <v>0.84745762711864414</v>
      </c>
      <c r="V1062" s="33">
        <v>1</v>
      </c>
      <c r="AG1062" s="31">
        <v>0.5</v>
      </c>
      <c r="AH1062" t="s">
        <v>285</v>
      </c>
    </row>
    <row r="1063" spans="1:34">
      <c r="A1063" s="15" t="s">
        <v>1130</v>
      </c>
      <c r="B1063" s="8" t="s">
        <v>1050</v>
      </c>
      <c r="C1063" s="41" t="s">
        <v>37</v>
      </c>
      <c r="D1063" s="1" t="s">
        <v>38</v>
      </c>
      <c r="E1063" s="26" t="s">
        <v>39</v>
      </c>
      <c r="F1063" s="27">
        <v>1</v>
      </c>
      <c r="G1063" s="33">
        <v>1</v>
      </c>
      <c r="H1063" s="41"/>
      <c r="I1063" s="1"/>
      <c r="J1063" s="26"/>
      <c r="K1063" s="27"/>
      <c r="L1063" s="27"/>
      <c r="M1063" s="70"/>
      <c r="N1063" s="1"/>
      <c r="O1063" s="26"/>
      <c r="P1063" s="27"/>
      <c r="Q1063" s="27"/>
      <c r="R1063" s="55" t="s">
        <v>242</v>
      </c>
      <c r="S1063" s="26" t="s">
        <v>38</v>
      </c>
      <c r="T1063" s="26" t="s">
        <v>39</v>
      </c>
      <c r="U1063" s="27">
        <v>0.84745762711864414</v>
      </c>
      <c r="V1063" s="33">
        <v>1</v>
      </c>
      <c r="AG1063" s="31">
        <v>0.5</v>
      </c>
      <c r="AH1063" t="s">
        <v>285</v>
      </c>
    </row>
    <row r="1064" spans="1:34">
      <c r="A1064" s="15" t="s">
        <v>1131</v>
      </c>
      <c r="B1064" s="8" t="s">
        <v>1050</v>
      </c>
      <c r="C1064" s="41" t="s">
        <v>37</v>
      </c>
      <c r="D1064" s="1" t="s">
        <v>38</v>
      </c>
      <c r="E1064" s="26" t="s">
        <v>39</v>
      </c>
      <c r="F1064" s="27">
        <v>1</v>
      </c>
      <c r="G1064" s="33">
        <v>1</v>
      </c>
      <c r="H1064" s="41"/>
      <c r="I1064" s="1"/>
      <c r="J1064" s="26"/>
      <c r="K1064" s="27"/>
      <c r="L1064" s="27"/>
      <c r="M1064" s="70"/>
      <c r="N1064" s="1"/>
      <c r="O1064" s="26"/>
      <c r="P1064" s="27"/>
      <c r="Q1064" s="27"/>
      <c r="R1064" s="55" t="s">
        <v>242</v>
      </c>
      <c r="S1064" s="26" t="s">
        <v>38</v>
      </c>
      <c r="T1064" s="26" t="s">
        <v>39</v>
      </c>
      <c r="U1064" s="27">
        <v>0.84745762711864414</v>
      </c>
      <c r="V1064" s="33">
        <v>1</v>
      </c>
      <c r="AG1064" s="31">
        <v>0.5</v>
      </c>
      <c r="AH1064" t="s">
        <v>285</v>
      </c>
    </row>
    <row r="1065" spans="1:34">
      <c r="A1065" s="15" t="s">
        <v>1132</v>
      </c>
      <c r="B1065" s="8" t="s">
        <v>1050</v>
      </c>
      <c r="C1065" s="41" t="s">
        <v>37</v>
      </c>
      <c r="D1065" s="1" t="s">
        <v>38</v>
      </c>
      <c r="E1065" s="26" t="s">
        <v>39</v>
      </c>
      <c r="F1065" s="27">
        <v>1</v>
      </c>
      <c r="G1065" s="33">
        <v>1</v>
      </c>
      <c r="H1065" s="41"/>
      <c r="I1065" s="1"/>
      <c r="J1065" s="26"/>
      <c r="K1065" s="27"/>
      <c r="L1065" s="27"/>
      <c r="M1065" s="70"/>
      <c r="N1065" s="1"/>
      <c r="O1065" s="26"/>
      <c r="P1065" s="27"/>
      <c r="Q1065" s="27"/>
      <c r="R1065" s="55" t="s">
        <v>242</v>
      </c>
      <c r="S1065" s="26" t="s">
        <v>38</v>
      </c>
      <c r="T1065" s="26" t="s">
        <v>39</v>
      </c>
      <c r="U1065" s="27">
        <v>0.84745762711864414</v>
      </c>
      <c r="V1065" s="33">
        <v>1</v>
      </c>
      <c r="AG1065" s="31">
        <v>0.5</v>
      </c>
      <c r="AH1065" t="s">
        <v>285</v>
      </c>
    </row>
    <row r="1066" spans="1:34">
      <c r="A1066" s="16" t="s">
        <v>1133</v>
      </c>
      <c r="B1066" s="8" t="s">
        <v>1050</v>
      </c>
      <c r="C1066" s="41" t="s">
        <v>37</v>
      </c>
      <c r="D1066" s="1" t="s">
        <v>38</v>
      </c>
      <c r="E1066" s="26" t="s">
        <v>39</v>
      </c>
      <c r="F1066" s="27">
        <v>1</v>
      </c>
      <c r="G1066" s="33">
        <v>1</v>
      </c>
      <c r="H1066" s="41"/>
      <c r="I1066" s="1"/>
      <c r="J1066" s="26"/>
      <c r="K1066" s="27"/>
      <c r="L1066" s="27"/>
      <c r="M1066" s="70"/>
      <c r="N1066" s="1"/>
      <c r="O1066" s="26"/>
      <c r="P1066" s="27"/>
      <c r="Q1066" s="27"/>
      <c r="R1066" s="55" t="s">
        <v>242</v>
      </c>
      <c r="S1066" s="26" t="s">
        <v>38</v>
      </c>
      <c r="T1066" s="26" t="s">
        <v>39</v>
      </c>
      <c r="U1066" s="27">
        <v>0.84745762711864414</v>
      </c>
      <c r="V1066" s="33">
        <v>1</v>
      </c>
      <c r="AG1066" s="31">
        <v>0.5</v>
      </c>
      <c r="AH1066" t="s">
        <v>285</v>
      </c>
    </row>
    <row r="1067" spans="1:34" s="6" customFormat="1">
      <c r="A1067" s="15" t="s">
        <v>1134</v>
      </c>
      <c r="B1067" s="9" t="s">
        <v>1135</v>
      </c>
      <c r="C1067" s="45" t="s">
        <v>37</v>
      </c>
      <c r="D1067" s="46" t="s">
        <v>38</v>
      </c>
      <c r="E1067" s="47" t="s">
        <v>39</v>
      </c>
      <c r="F1067" s="48">
        <v>0.95238095238095233</v>
      </c>
      <c r="G1067" s="49">
        <v>0.33333333333333331</v>
      </c>
      <c r="H1067" s="45" t="s">
        <v>408</v>
      </c>
      <c r="I1067" s="46" t="s">
        <v>409</v>
      </c>
      <c r="J1067" s="47" t="s">
        <v>39</v>
      </c>
      <c r="K1067" s="48">
        <v>0.94339622641509424</v>
      </c>
      <c r="L1067" s="49">
        <v>0.33333333333333331</v>
      </c>
      <c r="M1067" s="45" t="s">
        <v>410</v>
      </c>
      <c r="N1067" s="46" t="s">
        <v>38</v>
      </c>
      <c r="O1067" s="47" t="s">
        <v>42</v>
      </c>
      <c r="P1067" s="48">
        <v>3.2258064516129035</v>
      </c>
      <c r="Q1067" s="49">
        <v>0.33333333333333331</v>
      </c>
      <c r="R1067" s="54" t="s">
        <v>37</v>
      </c>
      <c r="S1067" s="47" t="s">
        <v>38</v>
      </c>
      <c r="T1067" s="47" t="s">
        <v>39</v>
      </c>
      <c r="U1067" s="48">
        <v>0.95238095238095233</v>
      </c>
      <c r="V1067" s="49">
        <v>0.33333333333333331</v>
      </c>
      <c r="W1067" s="47" t="s">
        <v>408</v>
      </c>
      <c r="X1067" s="47" t="s">
        <v>409</v>
      </c>
      <c r="Y1067" s="47" t="s">
        <v>39</v>
      </c>
      <c r="Z1067" s="48">
        <v>0.94339622641509424</v>
      </c>
      <c r="AA1067" s="49">
        <v>0.33333333333333331</v>
      </c>
      <c r="AB1067" s="47" t="s">
        <v>411</v>
      </c>
      <c r="AC1067" s="47" t="s">
        <v>38</v>
      </c>
      <c r="AD1067" s="47" t="s">
        <v>42</v>
      </c>
      <c r="AE1067" s="48">
        <v>2.5</v>
      </c>
      <c r="AF1067" s="50">
        <v>0.33333333333333331</v>
      </c>
      <c r="AG1067" s="29">
        <v>0</v>
      </c>
      <c r="AH1067" s="6" t="s">
        <v>44</v>
      </c>
    </row>
    <row r="1068" spans="1:34">
      <c r="A1068" s="15" t="s">
        <v>1136</v>
      </c>
      <c r="B1068" s="8" t="s">
        <v>1135</v>
      </c>
      <c r="C1068" s="41" t="s">
        <v>37</v>
      </c>
      <c r="D1068" s="1" t="s">
        <v>38</v>
      </c>
      <c r="E1068" s="26" t="s">
        <v>39</v>
      </c>
      <c r="F1068" s="27">
        <v>0.95238095238095233</v>
      </c>
      <c r="G1068" s="33">
        <v>0.33333333333333331</v>
      </c>
      <c r="H1068" s="41" t="s">
        <v>408</v>
      </c>
      <c r="I1068" s="1" t="s">
        <v>409</v>
      </c>
      <c r="J1068" s="26" t="s">
        <v>39</v>
      </c>
      <c r="K1068" s="27">
        <v>0.94339622641509424</v>
      </c>
      <c r="L1068" s="33">
        <v>0.33333333333333331</v>
      </c>
      <c r="M1068" s="41" t="s">
        <v>410</v>
      </c>
      <c r="N1068" s="1" t="s">
        <v>38</v>
      </c>
      <c r="O1068" s="26" t="s">
        <v>42</v>
      </c>
      <c r="P1068" s="27">
        <v>3.2258064516129035</v>
      </c>
      <c r="Q1068" s="33">
        <v>0.33333333333333331</v>
      </c>
      <c r="R1068" s="55" t="s">
        <v>37</v>
      </c>
      <c r="S1068" s="26" t="s">
        <v>38</v>
      </c>
      <c r="T1068" s="26" t="s">
        <v>39</v>
      </c>
      <c r="U1068" s="27">
        <v>0.95238095238095233</v>
      </c>
      <c r="V1068" s="33">
        <v>0.33333333333333331</v>
      </c>
      <c r="W1068" s="26" t="s">
        <v>408</v>
      </c>
      <c r="X1068" s="26" t="s">
        <v>409</v>
      </c>
      <c r="Y1068" s="26" t="s">
        <v>39</v>
      </c>
      <c r="Z1068" s="27">
        <v>0.94339622641509424</v>
      </c>
      <c r="AA1068" s="33">
        <v>0.33333333333333331</v>
      </c>
      <c r="AB1068" s="26" t="s">
        <v>411</v>
      </c>
      <c r="AC1068" s="26" t="s">
        <v>38</v>
      </c>
      <c r="AD1068" s="26" t="s">
        <v>42</v>
      </c>
      <c r="AE1068" s="27">
        <v>2.5</v>
      </c>
      <c r="AF1068" s="36">
        <v>0.33333333333333331</v>
      </c>
      <c r="AG1068" s="31">
        <v>0</v>
      </c>
      <c r="AH1068" t="s">
        <v>44</v>
      </c>
    </row>
    <row r="1069" spans="1:34">
      <c r="A1069" s="15" t="s">
        <v>1137</v>
      </c>
      <c r="B1069" s="8" t="s">
        <v>1135</v>
      </c>
      <c r="C1069" s="41" t="s">
        <v>37</v>
      </c>
      <c r="D1069" s="1" t="s">
        <v>38</v>
      </c>
      <c r="E1069" s="26" t="s">
        <v>39</v>
      </c>
      <c r="F1069" s="27">
        <v>0.95238095238095233</v>
      </c>
      <c r="G1069" s="33">
        <v>0.33333333333333331</v>
      </c>
      <c r="H1069" s="41" t="s">
        <v>408</v>
      </c>
      <c r="I1069" s="1" t="s">
        <v>409</v>
      </c>
      <c r="J1069" s="26" t="s">
        <v>39</v>
      </c>
      <c r="K1069" s="27">
        <v>0.94339622641509424</v>
      </c>
      <c r="L1069" s="33">
        <v>0.33333333333333331</v>
      </c>
      <c r="M1069" s="41" t="s">
        <v>410</v>
      </c>
      <c r="N1069" s="1" t="s">
        <v>38</v>
      </c>
      <c r="O1069" s="26" t="s">
        <v>42</v>
      </c>
      <c r="P1069" s="27">
        <v>3.2258064516129035</v>
      </c>
      <c r="Q1069" s="33">
        <v>0.33333333333333331</v>
      </c>
      <c r="R1069" s="55" t="s">
        <v>37</v>
      </c>
      <c r="S1069" s="26" t="s">
        <v>38</v>
      </c>
      <c r="T1069" s="26" t="s">
        <v>39</v>
      </c>
      <c r="U1069" s="27">
        <v>0.95238095238095233</v>
      </c>
      <c r="V1069" s="33">
        <v>0.33333333333333331</v>
      </c>
      <c r="W1069" s="26" t="s">
        <v>408</v>
      </c>
      <c r="X1069" s="26" t="s">
        <v>409</v>
      </c>
      <c r="Y1069" s="26" t="s">
        <v>39</v>
      </c>
      <c r="Z1069" s="27">
        <v>0.94339622641509424</v>
      </c>
      <c r="AA1069" s="33">
        <v>0.33333333333333331</v>
      </c>
      <c r="AB1069" s="26" t="s">
        <v>411</v>
      </c>
      <c r="AC1069" s="26" t="s">
        <v>38</v>
      </c>
      <c r="AD1069" s="26" t="s">
        <v>42</v>
      </c>
      <c r="AE1069" s="27">
        <v>2.5</v>
      </c>
      <c r="AF1069" s="36">
        <v>0.33333333333333331</v>
      </c>
      <c r="AG1069" s="31">
        <v>0</v>
      </c>
      <c r="AH1069" t="s">
        <v>44</v>
      </c>
    </row>
    <row r="1070" spans="1:34">
      <c r="A1070" s="15" t="s">
        <v>1138</v>
      </c>
      <c r="B1070" s="8" t="s">
        <v>1135</v>
      </c>
      <c r="C1070" s="41" t="s">
        <v>37</v>
      </c>
      <c r="D1070" s="1" t="s">
        <v>38</v>
      </c>
      <c r="E1070" s="26" t="s">
        <v>39</v>
      </c>
      <c r="F1070" s="27">
        <v>0.95238095238095233</v>
      </c>
      <c r="G1070" s="33">
        <v>0.33333333333333331</v>
      </c>
      <c r="H1070" s="41" t="s">
        <v>408</v>
      </c>
      <c r="I1070" s="1" t="s">
        <v>409</v>
      </c>
      <c r="J1070" s="26" t="s">
        <v>39</v>
      </c>
      <c r="K1070" s="27">
        <v>0.94339622641509424</v>
      </c>
      <c r="L1070" s="33">
        <v>0.33333333333333331</v>
      </c>
      <c r="M1070" s="41" t="s">
        <v>410</v>
      </c>
      <c r="N1070" s="1" t="s">
        <v>38</v>
      </c>
      <c r="O1070" s="26" t="s">
        <v>42</v>
      </c>
      <c r="P1070" s="27">
        <v>3.2258064516129035</v>
      </c>
      <c r="Q1070" s="33">
        <v>0.33333333333333331</v>
      </c>
      <c r="R1070" s="55" t="s">
        <v>37</v>
      </c>
      <c r="S1070" s="26" t="s">
        <v>38</v>
      </c>
      <c r="T1070" s="26" t="s">
        <v>39</v>
      </c>
      <c r="U1070" s="27">
        <v>0.95238095238095233</v>
      </c>
      <c r="V1070" s="33">
        <v>0.33333333333333331</v>
      </c>
      <c r="W1070" s="26" t="s">
        <v>408</v>
      </c>
      <c r="X1070" s="26" t="s">
        <v>409</v>
      </c>
      <c r="Y1070" s="26" t="s">
        <v>39</v>
      </c>
      <c r="Z1070" s="27">
        <v>0.94339622641509424</v>
      </c>
      <c r="AA1070" s="33">
        <v>0.33333333333333331</v>
      </c>
      <c r="AB1070" s="26" t="s">
        <v>411</v>
      </c>
      <c r="AC1070" s="26" t="s">
        <v>38</v>
      </c>
      <c r="AD1070" s="26" t="s">
        <v>42</v>
      </c>
      <c r="AE1070" s="27">
        <v>2.5</v>
      </c>
      <c r="AF1070" s="36">
        <v>0.33333333333333331</v>
      </c>
      <c r="AG1070" s="31">
        <v>0</v>
      </c>
      <c r="AH1070" t="s">
        <v>44</v>
      </c>
    </row>
    <row r="1071" spans="1:34">
      <c r="A1071" s="15" t="s">
        <v>1139</v>
      </c>
      <c r="B1071" s="8" t="s">
        <v>1135</v>
      </c>
      <c r="C1071" s="41" t="s">
        <v>37</v>
      </c>
      <c r="D1071" s="1" t="s">
        <v>38</v>
      </c>
      <c r="E1071" s="26" t="s">
        <v>39</v>
      </c>
      <c r="F1071" s="27">
        <v>0.95238095238095233</v>
      </c>
      <c r="G1071" s="33">
        <v>0.33333333333333331</v>
      </c>
      <c r="H1071" s="41" t="s">
        <v>408</v>
      </c>
      <c r="I1071" s="1" t="s">
        <v>409</v>
      </c>
      <c r="J1071" s="26" t="s">
        <v>39</v>
      </c>
      <c r="K1071" s="27">
        <v>0.94339622641509424</v>
      </c>
      <c r="L1071" s="33">
        <v>0.33333333333333331</v>
      </c>
      <c r="M1071" s="41" t="s">
        <v>410</v>
      </c>
      <c r="N1071" s="1" t="s">
        <v>38</v>
      </c>
      <c r="O1071" s="26" t="s">
        <v>42</v>
      </c>
      <c r="P1071" s="27">
        <v>3.2258064516129035</v>
      </c>
      <c r="Q1071" s="33">
        <v>0.33333333333333331</v>
      </c>
      <c r="R1071" s="55" t="s">
        <v>37</v>
      </c>
      <c r="S1071" s="26" t="s">
        <v>38</v>
      </c>
      <c r="T1071" s="26" t="s">
        <v>39</v>
      </c>
      <c r="U1071" s="27">
        <v>0.95238095238095233</v>
      </c>
      <c r="V1071" s="33">
        <v>0.33333333333333331</v>
      </c>
      <c r="W1071" s="26" t="s">
        <v>408</v>
      </c>
      <c r="X1071" s="26" t="s">
        <v>409</v>
      </c>
      <c r="Y1071" s="26" t="s">
        <v>39</v>
      </c>
      <c r="Z1071" s="27">
        <v>0.94339622641509424</v>
      </c>
      <c r="AA1071" s="33">
        <v>0.33333333333333331</v>
      </c>
      <c r="AB1071" s="26" t="s">
        <v>411</v>
      </c>
      <c r="AC1071" s="26" t="s">
        <v>38</v>
      </c>
      <c r="AD1071" s="26" t="s">
        <v>42</v>
      </c>
      <c r="AE1071" s="27">
        <v>2.5</v>
      </c>
      <c r="AF1071" s="36">
        <v>0.33333333333333331</v>
      </c>
      <c r="AG1071" s="31">
        <v>0</v>
      </c>
      <c r="AH1071" t="s">
        <v>44</v>
      </c>
    </row>
    <row r="1072" spans="1:34">
      <c r="A1072" s="15" t="s">
        <v>1140</v>
      </c>
      <c r="B1072" s="8" t="s">
        <v>1135</v>
      </c>
      <c r="C1072" s="41" t="s">
        <v>37</v>
      </c>
      <c r="D1072" s="1" t="s">
        <v>38</v>
      </c>
      <c r="E1072" s="26" t="s">
        <v>39</v>
      </c>
      <c r="F1072" s="27">
        <v>0.95238095238095233</v>
      </c>
      <c r="G1072" s="33">
        <v>0.33333333333333331</v>
      </c>
      <c r="H1072" s="41" t="s">
        <v>408</v>
      </c>
      <c r="I1072" s="1" t="s">
        <v>409</v>
      </c>
      <c r="J1072" s="26" t="s">
        <v>39</v>
      </c>
      <c r="K1072" s="27">
        <v>0.94339622641509424</v>
      </c>
      <c r="L1072" s="33">
        <v>0.33333333333333331</v>
      </c>
      <c r="M1072" s="41" t="s">
        <v>410</v>
      </c>
      <c r="N1072" s="1" t="s">
        <v>38</v>
      </c>
      <c r="O1072" s="26" t="s">
        <v>42</v>
      </c>
      <c r="P1072" s="27">
        <v>3.2258064516129035</v>
      </c>
      <c r="Q1072" s="33">
        <v>0.33333333333333331</v>
      </c>
      <c r="R1072" s="55" t="s">
        <v>37</v>
      </c>
      <c r="S1072" s="26" t="s">
        <v>38</v>
      </c>
      <c r="T1072" s="26" t="s">
        <v>39</v>
      </c>
      <c r="U1072" s="27">
        <v>0.95238095238095233</v>
      </c>
      <c r="V1072" s="33">
        <v>0.33333333333333331</v>
      </c>
      <c r="W1072" s="26" t="s">
        <v>408</v>
      </c>
      <c r="X1072" s="26" t="s">
        <v>409</v>
      </c>
      <c r="Y1072" s="26" t="s">
        <v>39</v>
      </c>
      <c r="Z1072" s="27">
        <v>0.94339622641509424</v>
      </c>
      <c r="AA1072" s="33">
        <v>0.33333333333333331</v>
      </c>
      <c r="AB1072" s="26" t="s">
        <v>411</v>
      </c>
      <c r="AC1072" s="26" t="s">
        <v>38</v>
      </c>
      <c r="AD1072" s="26" t="s">
        <v>42</v>
      </c>
      <c r="AE1072" s="27">
        <v>2.5</v>
      </c>
      <c r="AF1072" s="36">
        <v>0.33333333333333331</v>
      </c>
      <c r="AG1072" s="31">
        <v>0</v>
      </c>
      <c r="AH1072" t="s">
        <v>44</v>
      </c>
    </row>
    <row r="1073" spans="1:34">
      <c r="A1073" s="15" t="s">
        <v>1141</v>
      </c>
      <c r="B1073" s="8" t="s">
        <v>1135</v>
      </c>
      <c r="C1073" s="41" t="s">
        <v>37</v>
      </c>
      <c r="D1073" s="1" t="s">
        <v>38</v>
      </c>
      <c r="E1073" s="26" t="s">
        <v>39</v>
      </c>
      <c r="F1073" s="27">
        <v>0.95238095238095233</v>
      </c>
      <c r="G1073" s="33">
        <v>0.33333333333333331</v>
      </c>
      <c r="H1073" s="41" t="s">
        <v>408</v>
      </c>
      <c r="I1073" s="1" t="s">
        <v>409</v>
      </c>
      <c r="J1073" s="26" t="s">
        <v>39</v>
      </c>
      <c r="K1073" s="27">
        <v>0.94339622641509424</v>
      </c>
      <c r="L1073" s="33">
        <v>0.33333333333333331</v>
      </c>
      <c r="M1073" s="41" t="s">
        <v>410</v>
      </c>
      <c r="N1073" s="1" t="s">
        <v>38</v>
      </c>
      <c r="O1073" s="26" t="s">
        <v>42</v>
      </c>
      <c r="P1073" s="27">
        <v>3.2258064516129035</v>
      </c>
      <c r="Q1073" s="33">
        <v>0.33333333333333331</v>
      </c>
      <c r="R1073" s="55" t="s">
        <v>37</v>
      </c>
      <c r="S1073" s="26" t="s">
        <v>38</v>
      </c>
      <c r="T1073" s="26" t="s">
        <v>39</v>
      </c>
      <c r="U1073" s="27">
        <v>0.95238095238095233</v>
      </c>
      <c r="V1073" s="33">
        <v>0.33333333333333331</v>
      </c>
      <c r="W1073" s="26" t="s">
        <v>408</v>
      </c>
      <c r="X1073" s="26" t="s">
        <v>409</v>
      </c>
      <c r="Y1073" s="26" t="s">
        <v>39</v>
      </c>
      <c r="Z1073" s="27">
        <v>0.94339622641509424</v>
      </c>
      <c r="AA1073" s="33">
        <v>0.33333333333333331</v>
      </c>
      <c r="AB1073" s="26" t="s">
        <v>411</v>
      </c>
      <c r="AC1073" s="26" t="s">
        <v>38</v>
      </c>
      <c r="AD1073" s="26" t="s">
        <v>42</v>
      </c>
      <c r="AE1073" s="27">
        <v>2.5</v>
      </c>
      <c r="AF1073" s="36">
        <v>0.33333333333333331</v>
      </c>
      <c r="AG1073" s="31">
        <v>0</v>
      </c>
      <c r="AH1073" t="s">
        <v>44</v>
      </c>
    </row>
    <row r="1074" spans="1:34">
      <c r="A1074" s="15" t="s">
        <v>1142</v>
      </c>
      <c r="B1074" s="8" t="s">
        <v>1135</v>
      </c>
      <c r="C1074" s="41" t="s">
        <v>37</v>
      </c>
      <c r="D1074" s="1" t="s">
        <v>38</v>
      </c>
      <c r="E1074" s="26" t="s">
        <v>39</v>
      </c>
      <c r="F1074" s="27">
        <v>0.95238095238095233</v>
      </c>
      <c r="G1074" s="33">
        <v>0.33333333333333331</v>
      </c>
      <c r="H1074" s="41" t="s">
        <v>408</v>
      </c>
      <c r="I1074" s="1" t="s">
        <v>409</v>
      </c>
      <c r="J1074" s="26" t="s">
        <v>39</v>
      </c>
      <c r="K1074" s="27">
        <v>0.94339622641509424</v>
      </c>
      <c r="L1074" s="33">
        <v>0.33333333333333331</v>
      </c>
      <c r="M1074" s="41" t="s">
        <v>410</v>
      </c>
      <c r="N1074" s="1" t="s">
        <v>38</v>
      </c>
      <c r="O1074" s="26" t="s">
        <v>42</v>
      </c>
      <c r="P1074" s="27">
        <v>3.2258064516129035</v>
      </c>
      <c r="Q1074" s="33">
        <v>0.33333333333333331</v>
      </c>
      <c r="R1074" s="55" t="s">
        <v>37</v>
      </c>
      <c r="S1074" s="26" t="s">
        <v>38</v>
      </c>
      <c r="T1074" s="26" t="s">
        <v>39</v>
      </c>
      <c r="U1074" s="27">
        <v>0.95238095238095233</v>
      </c>
      <c r="V1074" s="33">
        <v>0.33333333333333331</v>
      </c>
      <c r="W1074" s="26" t="s">
        <v>408</v>
      </c>
      <c r="X1074" s="26" t="s">
        <v>409</v>
      </c>
      <c r="Y1074" s="26" t="s">
        <v>39</v>
      </c>
      <c r="Z1074" s="27">
        <v>0.94339622641509424</v>
      </c>
      <c r="AA1074" s="33">
        <v>0.33333333333333331</v>
      </c>
      <c r="AB1074" s="26" t="s">
        <v>411</v>
      </c>
      <c r="AC1074" s="26" t="s">
        <v>38</v>
      </c>
      <c r="AD1074" s="26" t="s">
        <v>42</v>
      </c>
      <c r="AE1074" s="27">
        <v>2.5</v>
      </c>
      <c r="AF1074" s="36">
        <v>0.33333333333333331</v>
      </c>
      <c r="AG1074" s="31">
        <v>0</v>
      </c>
      <c r="AH1074" t="s">
        <v>44</v>
      </c>
    </row>
    <row r="1075" spans="1:34">
      <c r="A1075" s="15" t="s">
        <v>1143</v>
      </c>
      <c r="B1075" s="8" t="s">
        <v>1135</v>
      </c>
      <c r="C1075" s="41" t="s">
        <v>37</v>
      </c>
      <c r="D1075" s="1" t="s">
        <v>38</v>
      </c>
      <c r="E1075" s="26" t="s">
        <v>39</v>
      </c>
      <c r="F1075" s="27">
        <v>0.95238095238095233</v>
      </c>
      <c r="G1075" s="33">
        <v>0.33333333333333331</v>
      </c>
      <c r="H1075" s="41" t="s">
        <v>408</v>
      </c>
      <c r="I1075" s="1" t="s">
        <v>409</v>
      </c>
      <c r="J1075" s="26" t="s">
        <v>39</v>
      </c>
      <c r="K1075" s="27">
        <v>0.94339622641509424</v>
      </c>
      <c r="L1075" s="33">
        <v>0.33333333333333331</v>
      </c>
      <c r="M1075" s="41" t="s">
        <v>410</v>
      </c>
      <c r="N1075" s="1" t="s">
        <v>38</v>
      </c>
      <c r="O1075" s="26" t="s">
        <v>42</v>
      </c>
      <c r="P1075" s="27">
        <v>3.2258064516129035</v>
      </c>
      <c r="Q1075" s="33">
        <v>0.33333333333333331</v>
      </c>
      <c r="R1075" s="55" t="s">
        <v>37</v>
      </c>
      <c r="S1075" s="26" t="s">
        <v>38</v>
      </c>
      <c r="T1075" s="26" t="s">
        <v>39</v>
      </c>
      <c r="U1075" s="27">
        <v>0.95238095238095233</v>
      </c>
      <c r="V1075" s="33">
        <v>0.33333333333333331</v>
      </c>
      <c r="W1075" s="26" t="s">
        <v>408</v>
      </c>
      <c r="X1075" s="26" t="s">
        <v>409</v>
      </c>
      <c r="Y1075" s="26" t="s">
        <v>39</v>
      </c>
      <c r="Z1075" s="27">
        <v>0.94339622641509424</v>
      </c>
      <c r="AA1075" s="33">
        <v>0.33333333333333331</v>
      </c>
      <c r="AB1075" s="26" t="s">
        <v>411</v>
      </c>
      <c r="AC1075" s="26" t="s">
        <v>38</v>
      </c>
      <c r="AD1075" s="26" t="s">
        <v>42</v>
      </c>
      <c r="AE1075" s="27">
        <v>2.5</v>
      </c>
      <c r="AF1075" s="36">
        <v>0.33333333333333331</v>
      </c>
      <c r="AG1075" s="31">
        <v>0</v>
      </c>
      <c r="AH1075" t="s">
        <v>44</v>
      </c>
    </row>
    <row r="1076" spans="1:34">
      <c r="A1076" s="15" t="s">
        <v>1144</v>
      </c>
      <c r="B1076" s="8" t="s">
        <v>1135</v>
      </c>
      <c r="C1076" s="41" t="s">
        <v>37</v>
      </c>
      <c r="D1076" s="1" t="s">
        <v>38</v>
      </c>
      <c r="E1076" s="26" t="s">
        <v>39</v>
      </c>
      <c r="F1076" s="27">
        <v>0.95238095238095233</v>
      </c>
      <c r="G1076" s="33">
        <v>0.33333333333333331</v>
      </c>
      <c r="H1076" s="41" t="s">
        <v>408</v>
      </c>
      <c r="I1076" s="1" t="s">
        <v>409</v>
      </c>
      <c r="J1076" s="26" t="s">
        <v>39</v>
      </c>
      <c r="K1076" s="27">
        <v>0.94339622641509424</v>
      </c>
      <c r="L1076" s="33">
        <v>0.33333333333333331</v>
      </c>
      <c r="M1076" s="41" t="s">
        <v>410</v>
      </c>
      <c r="N1076" s="1" t="s">
        <v>38</v>
      </c>
      <c r="O1076" s="26" t="s">
        <v>42</v>
      </c>
      <c r="P1076" s="27">
        <v>3.2258064516129035</v>
      </c>
      <c r="Q1076" s="33">
        <v>0.33333333333333331</v>
      </c>
      <c r="R1076" s="55" t="s">
        <v>37</v>
      </c>
      <c r="S1076" s="26" t="s">
        <v>38</v>
      </c>
      <c r="T1076" s="26" t="s">
        <v>39</v>
      </c>
      <c r="U1076" s="27">
        <v>0.95238095238095233</v>
      </c>
      <c r="V1076" s="33">
        <v>0.33333333333333331</v>
      </c>
      <c r="W1076" s="26" t="s">
        <v>408</v>
      </c>
      <c r="X1076" s="26" t="s">
        <v>409</v>
      </c>
      <c r="Y1076" s="26" t="s">
        <v>39</v>
      </c>
      <c r="Z1076" s="27">
        <v>0.94339622641509424</v>
      </c>
      <c r="AA1076" s="33">
        <v>0.33333333333333331</v>
      </c>
      <c r="AB1076" s="26" t="s">
        <v>411</v>
      </c>
      <c r="AC1076" s="26" t="s">
        <v>38</v>
      </c>
      <c r="AD1076" s="26" t="s">
        <v>42</v>
      </c>
      <c r="AE1076" s="27">
        <v>2.5</v>
      </c>
      <c r="AF1076" s="36">
        <v>0.33333333333333331</v>
      </c>
      <c r="AG1076" s="31">
        <v>0</v>
      </c>
      <c r="AH1076" t="s">
        <v>44</v>
      </c>
    </row>
    <row r="1077" spans="1:34">
      <c r="A1077" s="15" t="s">
        <v>1145</v>
      </c>
      <c r="B1077" s="8" t="s">
        <v>1135</v>
      </c>
      <c r="C1077" s="41" t="s">
        <v>37</v>
      </c>
      <c r="D1077" s="1" t="s">
        <v>38</v>
      </c>
      <c r="E1077" s="26" t="s">
        <v>39</v>
      </c>
      <c r="F1077" s="27">
        <v>0.95238095238095233</v>
      </c>
      <c r="G1077" s="33">
        <v>0.33333333333333331</v>
      </c>
      <c r="H1077" s="41" t="s">
        <v>408</v>
      </c>
      <c r="I1077" s="1" t="s">
        <v>409</v>
      </c>
      <c r="J1077" s="26" t="s">
        <v>39</v>
      </c>
      <c r="K1077" s="27">
        <v>0.94339622641509424</v>
      </c>
      <c r="L1077" s="33">
        <v>0.33333333333333331</v>
      </c>
      <c r="M1077" s="41" t="s">
        <v>410</v>
      </c>
      <c r="N1077" s="1" t="s">
        <v>38</v>
      </c>
      <c r="O1077" s="26" t="s">
        <v>42</v>
      </c>
      <c r="P1077" s="27">
        <v>3.2258064516129035</v>
      </c>
      <c r="Q1077" s="33">
        <v>0.33333333333333331</v>
      </c>
      <c r="R1077" s="55" t="s">
        <v>37</v>
      </c>
      <c r="S1077" s="26" t="s">
        <v>38</v>
      </c>
      <c r="T1077" s="26" t="s">
        <v>39</v>
      </c>
      <c r="U1077" s="27">
        <v>0.95238095238095233</v>
      </c>
      <c r="V1077" s="33">
        <v>0.33333333333333331</v>
      </c>
      <c r="W1077" s="26" t="s">
        <v>408</v>
      </c>
      <c r="X1077" s="26" t="s">
        <v>409</v>
      </c>
      <c r="Y1077" s="26" t="s">
        <v>39</v>
      </c>
      <c r="Z1077" s="27">
        <v>0.94339622641509424</v>
      </c>
      <c r="AA1077" s="33">
        <v>0.33333333333333331</v>
      </c>
      <c r="AB1077" s="26" t="s">
        <v>411</v>
      </c>
      <c r="AC1077" s="26" t="s">
        <v>38</v>
      </c>
      <c r="AD1077" s="26" t="s">
        <v>42</v>
      </c>
      <c r="AE1077" s="27">
        <v>2.5</v>
      </c>
      <c r="AF1077" s="36">
        <v>0.33333333333333331</v>
      </c>
      <c r="AG1077" s="31">
        <v>0</v>
      </c>
      <c r="AH1077" t="s">
        <v>44</v>
      </c>
    </row>
    <row r="1078" spans="1:34">
      <c r="A1078" s="15" t="s">
        <v>1146</v>
      </c>
      <c r="B1078" s="8" t="s">
        <v>1135</v>
      </c>
      <c r="C1078" s="41" t="s">
        <v>37</v>
      </c>
      <c r="D1078" s="1" t="s">
        <v>38</v>
      </c>
      <c r="E1078" s="26" t="s">
        <v>39</v>
      </c>
      <c r="F1078" s="27">
        <v>0.95238095238095233</v>
      </c>
      <c r="G1078" s="33">
        <v>0.33333333333333331</v>
      </c>
      <c r="H1078" s="41" t="s">
        <v>408</v>
      </c>
      <c r="I1078" s="1" t="s">
        <v>409</v>
      </c>
      <c r="J1078" s="26" t="s">
        <v>39</v>
      </c>
      <c r="K1078" s="27">
        <v>0.94339622641509424</v>
      </c>
      <c r="L1078" s="33">
        <v>0.33333333333333331</v>
      </c>
      <c r="M1078" s="41" t="s">
        <v>410</v>
      </c>
      <c r="N1078" s="1" t="s">
        <v>38</v>
      </c>
      <c r="O1078" s="26" t="s">
        <v>42</v>
      </c>
      <c r="P1078" s="27">
        <v>3.2258064516129035</v>
      </c>
      <c r="Q1078" s="33">
        <v>0.33333333333333331</v>
      </c>
      <c r="R1078" s="55" t="s">
        <v>37</v>
      </c>
      <c r="S1078" s="26" t="s">
        <v>38</v>
      </c>
      <c r="T1078" s="26" t="s">
        <v>39</v>
      </c>
      <c r="U1078" s="27">
        <v>0.95238095238095233</v>
      </c>
      <c r="V1078" s="33">
        <v>0.33333333333333331</v>
      </c>
      <c r="W1078" s="26" t="s">
        <v>408</v>
      </c>
      <c r="X1078" s="26" t="s">
        <v>409</v>
      </c>
      <c r="Y1078" s="26" t="s">
        <v>39</v>
      </c>
      <c r="Z1078" s="27">
        <v>0.94339622641509424</v>
      </c>
      <c r="AA1078" s="33">
        <v>0.33333333333333331</v>
      </c>
      <c r="AB1078" s="26" t="s">
        <v>411</v>
      </c>
      <c r="AC1078" s="26" t="s">
        <v>38</v>
      </c>
      <c r="AD1078" s="26" t="s">
        <v>42</v>
      </c>
      <c r="AE1078" s="27">
        <v>2.5</v>
      </c>
      <c r="AF1078" s="36">
        <v>0.33333333333333331</v>
      </c>
      <c r="AG1078" s="31">
        <v>0</v>
      </c>
      <c r="AH1078" t="s">
        <v>44</v>
      </c>
    </row>
    <row r="1079" spans="1:34">
      <c r="A1079" s="15" t="s">
        <v>1147</v>
      </c>
      <c r="B1079" s="8" t="s">
        <v>1135</v>
      </c>
      <c r="C1079" s="41" t="s">
        <v>37</v>
      </c>
      <c r="D1079" s="1" t="s">
        <v>38</v>
      </c>
      <c r="E1079" s="26" t="s">
        <v>39</v>
      </c>
      <c r="F1079" s="27">
        <v>0.95238095238095233</v>
      </c>
      <c r="G1079" s="33">
        <v>0.33333333333333331</v>
      </c>
      <c r="H1079" s="41" t="s">
        <v>408</v>
      </c>
      <c r="I1079" s="1" t="s">
        <v>409</v>
      </c>
      <c r="J1079" s="26" t="s">
        <v>39</v>
      </c>
      <c r="K1079" s="27">
        <v>0.94339622641509424</v>
      </c>
      <c r="L1079" s="33">
        <v>0.33333333333333331</v>
      </c>
      <c r="M1079" s="41" t="s">
        <v>410</v>
      </c>
      <c r="N1079" s="1" t="s">
        <v>38</v>
      </c>
      <c r="O1079" s="26" t="s">
        <v>42</v>
      </c>
      <c r="P1079" s="27">
        <v>3.2258064516129035</v>
      </c>
      <c r="Q1079" s="33">
        <v>0.33333333333333331</v>
      </c>
      <c r="R1079" s="55" t="s">
        <v>37</v>
      </c>
      <c r="S1079" s="26" t="s">
        <v>38</v>
      </c>
      <c r="T1079" s="26" t="s">
        <v>39</v>
      </c>
      <c r="U1079" s="27">
        <v>0.95238095238095233</v>
      </c>
      <c r="V1079" s="33">
        <v>0.33333333333333331</v>
      </c>
      <c r="W1079" s="26" t="s">
        <v>408</v>
      </c>
      <c r="X1079" s="26" t="s">
        <v>409</v>
      </c>
      <c r="Y1079" s="26" t="s">
        <v>39</v>
      </c>
      <c r="Z1079" s="27">
        <v>0.94339622641509424</v>
      </c>
      <c r="AA1079" s="33">
        <v>0.33333333333333331</v>
      </c>
      <c r="AB1079" s="26" t="s">
        <v>411</v>
      </c>
      <c r="AC1079" s="26" t="s">
        <v>38</v>
      </c>
      <c r="AD1079" s="26" t="s">
        <v>42</v>
      </c>
      <c r="AE1079" s="27">
        <v>2.5</v>
      </c>
      <c r="AF1079" s="36">
        <v>0.33333333333333331</v>
      </c>
      <c r="AG1079" s="31">
        <v>0</v>
      </c>
      <c r="AH1079" t="s">
        <v>44</v>
      </c>
    </row>
    <row r="1080" spans="1:34">
      <c r="A1080" s="15" t="s">
        <v>1148</v>
      </c>
      <c r="B1080" s="8" t="s">
        <v>1135</v>
      </c>
      <c r="C1080" s="41" t="s">
        <v>37</v>
      </c>
      <c r="D1080" s="1" t="s">
        <v>38</v>
      </c>
      <c r="E1080" s="26" t="s">
        <v>39</v>
      </c>
      <c r="F1080" s="27">
        <v>0.95238095238095233</v>
      </c>
      <c r="G1080" s="33">
        <v>0.33333333333333331</v>
      </c>
      <c r="H1080" s="41" t="s">
        <v>408</v>
      </c>
      <c r="I1080" s="1" t="s">
        <v>409</v>
      </c>
      <c r="J1080" s="26" t="s">
        <v>39</v>
      </c>
      <c r="K1080" s="27">
        <v>0.94339622641509424</v>
      </c>
      <c r="L1080" s="33">
        <v>0.33333333333333331</v>
      </c>
      <c r="M1080" s="41" t="s">
        <v>410</v>
      </c>
      <c r="N1080" s="1" t="s">
        <v>38</v>
      </c>
      <c r="O1080" s="26" t="s">
        <v>42</v>
      </c>
      <c r="P1080" s="27">
        <v>3.2258064516129035</v>
      </c>
      <c r="Q1080" s="33">
        <v>0.33333333333333331</v>
      </c>
      <c r="R1080" s="55" t="s">
        <v>37</v>
      </c>
      <c r="S1080" s="26" t="s">
        <v>38</v>
      </c>
      <c r="T1080" s="26" t="s">
        <v>39</v>
      </c>
      <c r="U1080" s="27">
        <v>0.95238095238095233</v>
      </c>
      <c r="V1080" s="33">
        <v>0.33333333333333331</v>
      </c>
      <c r="W1080" s="26" t="s">
        <v>408</v>
      </c>
      <c r="X1080" s="26" t="s">
        <v>409</v>
      </c>
      <c r="Y1080" s="26" t="s">
        <v>39</v>
      </c>
      <c r="Z1080" s="27">
        <v>0.94339622641509424</v>
      </c>
      <c r="AA1080" s="33">
        <v>0.33333333333333331</v>
      </c>
      <c r="AB1080" s="26" t="s">
        <v>411</v>
      </c>
      <c r="AC1080" s="26" t="s">
        <v>38</v>
      </c>
      <c r="AD1080" s="26" t="s">
        <v>42</v>
      </c>
      <c r="AE1080" s="27">
        <v>2.5</v>
      </c>
      <c r="AF1080" s="36">
        <v>0.33333333333333331</v>
      </c>
      <c r="AG1080" s="31">
        <v>0</v>
      </c>
      <c r="AH1080" t="s">
        <v>44</v>
      </c>
    </row>
    <row r="1081" spans="1:34">
      <c r="A1081" s="15" t="s">
        <v>1149</v>
      </c>
      <c r="B1081" s="8" t="s">
        <v>1135</v>
      </c>
      <c r="C1081" s="41" t="s">
        <v>37</v>
      </c>
      <c r="D1081" s="1" t="s">
        <v>38</v>
      </c>
      <c r="E1081" s="26" t="s">
        <v>39</v>
      </c>
      <c r="F1081" s="27">
        <v>0.95238095238095233</v>
      </c>
      <c r="G1081" s="33">
        <v>0.33333333333333331</v>
      </c>
      <c r="H1081" s="41" t="s">
        <v>408</v>
      </c>
      <c r="I1081" s="1" t="s">
        <v>409</v>
      </c>
      <c r="J1081" s="26" t="s">
        <v>39</v>
      </c>
      <c r="K1081" s="27">
        <v>0.94339622641509424</v>
      </c>
      <c r="L1081" s="33">
        <v>0.33333333333333331</v>
      </c>
      <c r="M1081" s="41" t="s">
        <v>410</v>
      </c>
      <c r="N1081" s="1" t="s">
        <v>38</v>
      </c>
      <c r="O1081" s="26" t="s">
        <v>42</v>
      </c>
      <c r="P1081" s="27">
        <v>3.2258064516129035</v>
      </c>
      <c r="Q1081" s="33">
        <v>0.33333333333333331</v>
      </c>
      <c r="R1081" s="55" t="s">
        <v>37</v>
      </c>
      <c r="S1081" s="26" t="s">
        <v>38</v>
      </c>
      <c r="T1081" s="26" t="s">
        <v>39</v>
      </c>
      <c r="U1081" s="27">
        <v>0.95238095238095233</v>
      </c>
      <c r="V1081" s="33">
        <v>0.33333333333333331</v>
      </c>
      <c r="W1081" s="26" t="s">
        <v>408</v>
      </c>
      <c r="X1081" s="26" t="s">
        <v>409</v>
      </c>
      <c r="Y1081" s="26" t="s">
        <v>39</v>
      </c>
      <c r="Z1081" s="27">
        <v>0.94339622641509424</v>
      </c>
      <c r="AA1081" s="33">
        <v>0.33333333333333331</v>
      </c>
      <c r="AB1081" s="26" t="s">
        <v>411</v>
      </c>
      <c r="AC1081" s="26" t="s">
        <v>38</v>
      </c>
      <c r="AD1081" s="26" t="s">
        <v>42</v>
      </c>
      <c r="AE1081" s="27">
        <v>2.5</v>
      </c>
      <c r="AF1081" s="36">
        <v>0.33333333333333331</v>
      </c>
      <c r="AG1081" s="31">
        <v>0</v>
      </c>
      <c r="AH1081" t="s">
        <v>44</v>
      </c>
    </row>
    <row r="1082" spans="1:34">
      <c r="A1082" s="15" t="s">
        <v>1150</v>
      </c>
      <c r="B1082" s="8" t="s">
        <v>1135</v>
      </c>
      <c r="C1082" s="41" t="s">
        <v>37</v>
      </c>
      <c r="D1082" s="1" t="s">
        <v>38</v>
      </c>
      <c r="E1082" s="26" t="s">
        <v>39</v>
      </c>
      <c r="F1082" s="27">
        <v>0.95238095238095233</v>
      </c>
      <c r="G1082" s="33">
        <v>0.33333333333333331</v>
      </c>
      <c r="H1082" s="41" t="s">
        <v>408</v>
      </c>
      <c r="I1082" s="1" t="s">
        <v>409</v>
      </c>
      <c r="J1082" s="26" t="s">
        <v>39</v>
      </c>
      <c r="K1082" s="27">
        <v>0.94339622641509424</v>
      </c>
      <c r="L1082" s="33">
        <v>0.33333333333333331</v>
      </c>
      <c r="M1082" s="41" t="s">
        <v>410</v>
      </c>
      <c r="N1082" s="1" t="s">
        <v>38</v>
      </c>
      <c r="O1082" s="26" t="s">
        <v>42</v>
      </c>
      <c r="P1082" s="27">
        <v>3.2258064516129035</v>
      </c>
      <c r="Q1082" s="33">
        <v>0.33333333333333331</v>
      </c>
      <c r="R1082" s="55" t="s">
        <v>37</v>
      </c>
      <c r="S1082" s="26" t="s">
        <v>38</v>
      </c>
      <c r="T1082" s="26" t="s">
        <v>39</v>
      </c>
      <c r="U1082" s="27">
        <v>0.95238095238095233</v>
      </c>
      <c r="V1082" s="33">
        <v>0.33333333333333331</v>
      </c>
      <c r="W1082" s="26" t="s">
        <v>408</v>
      </c>
      <c r="X1082" s="26" t="s">
        <v>409</v>
      </c>
      <c r="Y1082" s="26" t="s">
        <v>39</v>
      </c>
      <c r="Z1082" s="27">
        <v>0.94339622641509424</v>
      </c>
      <c r="AA1082" s="33">
        <v>0.33333333333333331</v>
      </c>
      <c r="AB1082" s="26" t="s">
        <v>411</v>
      </c>
      <c r="AC1082" s="26" t="s">
        <v>38</v>
      </c>
      <c r="AD1082" s="26" t="s">
        <v>42</v>
      </c>
      <c r="AE1082" s="27">
        <v>2.5</v>
      </c>
      <c r="AF1082" s="36">
        <v>0.33333333333333331</v>
      </c>
      <c r="AG1082" s="31">
        <v>0</v>
      </c>
      <c r="AH1082" t="s">
        <v>44</v>
      </c>
    </row>
    <row r="1083" spans="1:34">
      <c r="A1083" s="15" t="s">
        <v>1151</v>
      </c>
      <c r="B1083" s="8" t="s">
        <v>1135</v>
      </c>
      <c r="C1083" s="41" t="s">
        <v>37</v>
      </c>
      <c r="D1083" s="1" t="s">
        <v>38</v>
      </c>
      <c r="E1083" s="26" t="s">
        <v>39</v>
      </c>
      <c r="F1083" s="27">
        <v>0.95238095238095233</v>
      </c>
      <c r="G1083" s="33">
        <v>0.33333333333333331</v>
      </c>
      <c r="H1083" s="41" t="s">
        <v>408</v>
      </c>
      <c r="I1083" s="1" t="s">
        <v>409</v>
      </c>
      <c r="J1083" s="26" t="s">
        <v>39</v>
      </c>
      <c r="K1083" s="27">
        <v>0.94339622641509424</v>
      </c>
      <c r="L1083" s="33">
        <v>0.33333333333333331</v>
      </c>
      <c r="M1083" s="41" t="s">
        <v>410</v>
      </c>
      <c r="N1083" s="1" t="s">
        <v>38</v>
      </c>
      <c r="O1083" s="26" t="s">
        <v>42</v>
      </c>
      <c r="P1083" s="27">
        <v>3.2258064516129035</v>
      </c>
      <c r="Q1083" s="33">
        <v>0.33333333333333331</v>
      </c>
      <c r="R1083" s="55" t="s">
        <v>37</v>
      </c>
      <c r="S1083" s="26" t="s">
        <v>38</v>
      </c>
      <c r="T1083" s="26" t="s">
        <v>39</v>
      </c>
      <c r="U1083" s="27">
        <v>0.95238095238095233</v>
      </c>
      <c r="V1083" s="33">
        <v>0.33333333333333331</v>
      </c>
      <c r="W1083" s="26" t="s">
        <v>408</v>
      </c>
      <c r="X1083" s="26" t="s">
        <v>409</v>
      </c>
      <c r="Y1083" s="26" t="s">
        <v>39</v>
      </c>
      <c r="Z1083" s="27">
        <v>0.94339622641509424</v>
      </c>
      <c r="AA1083" s="33">
        <v>0.33333333333333331</v>
      </c>
      <c r="AB1083" s="26" t="s">
        <v>411</v>
      </c>
      <c r="AC1083" s="26" t="s">
        <v>38</v>
      </c>
      <c r="AD1083" s="26" t="s">
        <v>42</v>
      </c>
      <c r="AE1083" s="27">
        <v>2.5</v>
      </c>
      <c r="AF1083" s="36">
        <v>0.33333333333333331</v>
      </c>
      <c r="AG1083" s="31">
        <v>0</v>
      </c>
      <c r="AH1083" t="s">
        <v>44</v>
      </c>
    </row>
    <row r="1084" spans="1:34">
      <c r="A1084" s="15" t="s">
        <v>1152</v>
      </c>
      <c r="B1084" s="8" t="s">
        <v>1135</v>
      </c>
      <c r="C1084" s="41" t="s">
        <v>37</v>
      </c>
      <c r="D1084" s="1" t="s">
        <v>38</v>
      </c>
      <c r="E1084" s="26" t="s">
        <v>39</v>
      </c>
      <c r="F1084" s="27">
        <v>0.95238095238095233</v>
      </c>
      <c r="G1084" s="33">
        <v>0.33333333333333331</v>
      </c>
      <c r="H1084" s="41" t="s">
        <v>408</v>
      </c>
      <c r="I1084" s="1" t="s">
        <v>409</v>
      </c>
      <c r="J1084" s="26" t="s">
        <v>39</v>
      </c>
      <c r="K1084" s="27">
        <v>0.94339622641509424</v>
      </c>
      <c r="L1084" s="33">
        <v>0.33333333333333331</v>
      </c>
      <c r="M1084" s="41" t="s">
        <v>410</v>
      </c>
      <c r="N1084" s="1" t="s">
        <v>38</v>
      </c>
      <c r="O1084" s="26" t="s">
        <v>42</v>
      </c>
      <c r="P1084" s="27">
        <v>3.2258064516129035</v>
      </c>
      <c r="Q1084" s="33">
        <v>0.33333333333333331</v>
      </c>
      <c r="R1084" s="55" t="s">
        <v>37</v>
      </c>
      <c r="S1084" s="26" t="s">
        <v>38</v>
      </c>
      <c r="T1084" s="26" t="s">
        <v>39</v>
      </c>
      <c r="U1084" s="27">
        <v>0.95238095238095233</v>
      </c>
      <c r="V1084" s="33">
        <v>0.33333333333333331</v>
      </c>
      <c r="W1084" s="26" t="s">
        <v>408</v>
      </c>
      <c r="X1084" s="26" t="s">
        <v>409</v>
      </c>
      <c r="Y1084" s="26" t="s">
        <v>39</v>
      </c>
      <c r="Z1084" s="27">
        <v>0.94339622641509424</v>
      </c>
      <c r="AA1084" s="33">
        <v>0.33333333333333331</v>
      </c>
      <c r="AB1084" s="26" t="s">
        <v>411</v>
      </c>
      <c r="AC1084" s="26" t="s">
        <v>38</v>
      </c>
      <c r="AD1084" s="26" t="s">
        <v>42</v>
      </c>
      <c r="AE1084" s="27">
        <v>2.5</v>
      </c>
      <c r="AF1084" s="36">
        <v>0.33333333333333331</v>
      </c>
      <c r="AG1084" s="31">
        <v>0</v>
      </c>
      <c r="AH1084" t="s">
        <v>44</v>
      </c>
    </row>
    <row r="1085" spans="1:34">
      <c r="A1085" s="15" t="s">
        <v>1153</v>
      </c>
      <c r="B1085" s="8" t="s">
        <v>1135</v>
      </c>
      <c r="C1085" s="41" t="s">
        <v>37</v>
      </c>
      <c r="D1085" s="1" t="s">
        <v>38</v>
      </c>
      <c r="E1085" s="26" t="s">
        <v>39</v>
      </c>
      <c r="F1085" s="27">
        <v>0.95238095238095233</v>
      </c>
      <c r="G1085" s="33">
        <v>0.33333333333333331</v>
      </c>
      <c r="H1085" s="41" t="s">
        <v>408</v>
      </c>
      <c r="I1085" s="1" t="s">
        <v>409</v>
      </c>
      <c r="J1085" s="26" t="s">
        <v>39</v>
      </c>
      <c r="K1085" s="27">
        <v>0.94339622641509424</v>
      </c>
      <c r="L1085" s="33">
        <v>0.33333333333333331</v>
      </c>
      <c r="M1085" s="41" t="s">
        <v>410</v>
      </c>
      <c r="N1085" s="1" t="s">
        <v>38</v>
      </c>
      <c r="O1085" s="26" t="s">
        <v>42</v>
      </c>
      <c r="P1085" s="27">
        <v>3.2258064516129035</v>
      </c>
      <c r="Q1085" s="33">
        <v>0.33333333333333331</v>
      </c>
      <c r="R1085" s="55" t="s">
        <v>37</v>
      </c>
      <c r="S1085" s="26" t="s">
        <v>38</v>
      </c>
      <c r="T1085" s="26" t="s">
        <v>39</v>
      </c>
      <c r="U1085" s="27">
        <v>0.95238095238095233</v>
      </c>
      <c r="V1085" s="33">
        <v>0.33333333333333331</v>
      </c>
      <c r="W1085" s="26" t="s">
        <v>408</v>
      </c>
      <c r="X1085" s="26" t="s">
        <v>409</v>
      </c>
      <c r="Y1085" s="26" t="s">
        <v>39</v>
      </c>
      <c r="Z1085" s="27">
        <v>0.94339622641509424</v>
      </c>
      <c r="AA1085" s="33">
        <v>0.33333333333333331</v>
      </c>
      <c r="AB1085" s="26" t="s">
        <v>411</v>
      </c>
      <c r="AC1085" s="26" t="s">
        <v>38</v>
      </c>
      <c r="AD1085" s="26" t="s">
        <v>42</v>
      </c>
      <c r="AE1085" s="27">
        <v>2.5</v>
      </c>
      <c r="AF1085" s="36">
        <v>0.33333333333333331</v>
      </c>
      <c r="AG1085" s="31">
        <v>0</v>
      </c>
      <c r="AH1085" t="s">
        <v>44</v>
      </c>
    </row>
    <row r="1086" spans="1:34">
      <c r="A1086" s="15" t="s">
        <v>1154</v>
      </c>
      <c r="B1086" s="8" t="s">
        <v>1135</v>
      </c>
      <c r="C1086" s="41" t="s">
        <v>37</v>
      </c>
      <c r="D1086" s="1" t="s">
        <v>38</v>
      </c>
      <c r="E1086" s="26" t="s">
        <v>39</v>
      </c>
      <c r="F1086" s="27">
        <v>0.95238095238095233</v>
      </c>
      <c r="G1086" s="33">
        <v>0.33333333333333331</v>
      </c>
      <c r="H1086" s="41" t="s">
        <v>408</v>
      </c>
      <c r="I1086" s="1" t="s">
        <v>409</v>
      </c>
      <c r="J1086" s="26" t="s">
        <v>39</v>
      </c>
      <c r="K1086" s="27">
        <v>0.94339622641509424</v>
      </c>
      <c r="L1086" s="33">
        <v>0.33333333333333331</v>
      </c>
      <c r="M1086" s="41" t="s">
        <v>410</v>
      </c>
      <c r="N1086" s="1" t="s">
        <v>38</v>
      </c>
      <c r="O1086" s="26" t="s">
        <v>42</v>
      </c>
      <c r="P1086" s="27">
        <v>3.2258064516129035</v>
      </c>
      <c r="Q1086" s="33">
        <v>0.33333333333333331</v>
      </c>
      <c r="R1086" s="55" t="s">
        <v>37</v>
      </c>
      <c r="S1086" s="26" t="s">
        <v>38</v>
      </c>
      <c r="T1086" s="26" t="s">
        <v>39</v>
      </c>
      <c r="U1086" s="27">
        <v>0.95238095238095233</v>
      </c>
      <c r="V1086" s="33">
        <v>0.33333333333333331</v>
      </c>
      <c r="W1086" s="26" t="s">
        <v>408</v>
      </c>
      <c r="X1086" s="26" t="s">
        <v>409</v>
      </c>
      <c r="Y1086" s="26" t="s">
        <v>39</v>
      </c>
      <c r="Z1086" s="27">
        <v>0.94339622641509424</v>
      </c>
      <c r="AA1086" s="33">
        <v>0.33333333333333331</v>
      </c>
      <c r="AB1086" s="26" t="s">
        <v>411</v>
      </c>
      <c r="AC1086" s="26" t="s">
        <v>38</v>
      </c>
      <c r="AD1086" s="26" t="s">
        <v>42</v>
      </c>
      <c r="AE1086" s="27">
        <v>2.5</v>
      </c>
      <c r="AF1086" s="36">
        <v>0.33333333333333331</v>
      </c>
      <c r="AG1086" s="31">
        <v>0</v>
      </c>
      <c r="AH1086" t="s">
        <v>44</v>
      </c>
    </row>
    <row r="1087" spans="1:34">
      <c r="A1087" s="15" t="s">
        <v>1155</v>
      </c>
      <c r="B1087" s="8" t="s">
        <v>1135</v>
      </c>
      <c r="C1087" s="41" t="s">
        <v>37</v>
      </c>
      <c r="D1087" s="1" t="s">
        <v>38</v>
      </c>
      <c r="E1087" s="26" t="s">
        <v>39</v>
      </c>
      <c r="F1087" s="27">
        <v>0.95238095238095233</v>
      </c>
      <c r="G1087" s="33">
        <v>0.33333333333333331</v>
      </c>
      <c r="H1087" s="41" t="s">
        <v>408</v>
      </c>
      <c r="I1087" s="1" t="s">
        <v>409</v>
      </c>
      <c r="J1087" s="26" t="s">
        <v>39</v>
      </c>
      <c r="K1087" s="27">
        <v>0.94339622641509424</v>
      </c>
      <c r="L1087" s="33">
        <v>0.33333333333333331</v>
      </c>
      <c r="M1087" s="41" t="s">
        <v>410</v>
      </c>
      <c r="N1087" s="1" t="s">
        <v>38</v>
      </c>
      <c r="O1087" s="26" t="s">
        <v>42</v>
      </c>
      <c r="P1087" s="27">
        <v>3.2258064516129035</v>
      </c>
      <c r="Q1087" s="33">
        <v>0.33333333333333331</v>
      </c>
      <c r="R1087" s="55" t="s">
        <v>37</v>
      </c>
      <c r="S1087" s="26" t="s">
        <v>38</v>
      </c>
      <c r="T1087" s="26" t="s">
        <v>39</v>
      </c>
      <c r="U1087" s="27">
        <v>0.95238095238095233</v>
      </c>
      <c r="V1087" s="33">
        <v>0.33333333333333331</v>
      </c>
      <c r="W1087" s="26" t="s">
        <v>408</v>
      </c>
      <c r="X1087" s="26" t="s">
        <v>409</v>
      </c>
      <c r="Y1087" s="26" t="s">
        <v>39</v>
      </c>
      <c r="Z1087" s="27">
        <v>0.94339622641509424</v>
      </c>
      <c r="AA1087" s="33">
        <v>0.33333333333333331</v>
      </c>
      <c r="AB1087" s="26" t="s">
        <v>411</v>
      </c>
      <c r="AC1087" s="26" t="s">
        <v>38</v>
      </c>
      <c r="AD1087" s="26" t="s">
        <v>42</v>
      </c>
      <c r="AE1087" s="27">
        <v>2.5</v>
      </c>
      <c r="AF1087" s="36">
        <v>0.33333333333333331</v>
      </c>
      <c r="AG1087" s="31">
        <v>0</v>
      </c>
      <c r="AH1087" t="s">
        <v>44</v>
      </c>
    </row>
    <row r="1088" spans="1:34">
      <c r="A1088" s="15" t="s">
        <v>1156</v>
      </c>
      <c r="B1088" s="8" t="s">
        <v>1135</v>
      </c>
      <c r="C1088" s="41" t="s">
        <v>37</v>
      </c>
      <c r="D1088" s="1" t="s">
        <v>38</v>
      </c>
      <c r="E1088" s="26" t="s">
        <v>39</v>
      </c>
      <c r="F1088" s="27">
        <v>0.95238095238095233</v>
      </c>
      <c r="G1088" s="33">
        <v>0.33333333333333331</v>
      </c>
      <c r="H1088" s="41" t="s">
        <v>408</v>
      </c>
      <c r="I1088" s="1" t="s">
        <v>409</v>
      </c>
      <c r="J1088" s="26" t="s">
        <v>39</v>
      </c>
      <c r="K1088" s="27">
        <v>0.94339622641509424</v>
      </c>
      <c r="L1088" s="33">
        <v>0.33333333333333331</v>
      </c>
      <c r="M1088" s="41" t="s">
        <v>410</v>
      </c>
      <c r="N1088" s="1" t="s">
        <v>38</v>
      </c>
      <c r="O1088" s="26" t="s">
        <v>42</v>
      </c>
      <c r="P1088" s="27">
        <v>3.2258064516129035</v>
      </c>
      <c r="Q1088" s="33">
        <v>0.33333333333333331</v>
      </c>
      <c r="R1088" s="55" t="s">
        <v>37</v>
      </c>
      <c r="S1088" s="26" t="s">
        <v>38</v>
      </c>
      <c r="T1088" s="26" t="s">
        <v>39</v>
      </c>
      <c r="U1088" s="27">
        <v>0.95238095238095233</v>
      </c>
      <c r="V1088" s="33">
        <v>0.33333333333333331</v>
      </c>
      <c r="W1088" s="26" t="s">
        <v>408</v>
      </c>
      <c r="X1088" s="26" t="s">
        <v>409</v>
      </c>
      <c r="Y1088" s="26" t="s">
        <v>39</v>
      </c>
      <c r="Z1088" s="27">
        <v>0.94339622641509424</v>
      </c>
      <c r="AA1088" s="33">
        <v>0.33333333333333331</v>
      </c>
      <c r="AB1088" s="26" t="s">
        <v>411</v>
      </c>
      <c r="AC1088" s="26" t="s">
        <v>38</v>
      </c>
      <c r="AD1088" s="26" t="s">
        <v>42</v>
      </c>
      <c r="AE1088" s="27">
        <v>2.5</v>
      </c>
      <c r="AF1088" s="36">
        <v>0.33333333333333331</v>
      </c>
      <c r="AG1088" s="31">
        <v>0</v>
      </c>
      <c r="AH1088" t="s">
        <v>44</v>
      </c>
    </row>
    <row r="1089" spans="1:34">
      <c r="A1089" s="15" t="s">
        <v>1157</v>
      </c>
      <c r="B1089" s="8" t="s">
        <v>1135</v>
      </c>
      <c r="C1089" s="41" t="s">
        <v>37</v>
      </c>
      <c r="D1089" s="1" t="s">
        <v>38</v>
      </c>
      <c r="E1089" s="26" t="s">
        <v>39</v>
      </c>
      <c r="F1089" s="27">
        <v>0.95238095238095233</v>
      </c>
      <c r="G1089" s="33">
        <v>0.33333333333333331</v>
      </c>
      <c r="H1089" s="41" t="s">
        <v>408</v>
      </c>
      <c r="I1089" s="1" t="s">
        <v>409</v>
      </c>
      <c r="J1089" s="26" t="s">
        <v>39</v>
      </c>
      <c r="K1089" s="27">
        <v>0.94339622641509424</v>
      </c>
      <c r="L1089" s="33">
        <v>0.33333333333333331</v>
      </c>
      <c r="M1089" s="41" t="s">
        <v>410</v>
      </c>
      <c r="N1089" s="1" t="s">
        <v>38</v>
      </c>
      <c r="O1089" s="26" t="s">
        <v>42</v>
      </c>
      <c r="P1089" s="27">
        <v>3.2258064516129035</v>
      </c>
      <c r="Q1089" s="33">
        <v>0.33333333333333331</v>
      </c>
      <c r="R1089" s="55" t="s">
        <v>37</v>
      </c>
      <c r="S1089" s="26" t="s">
        <v>38</v>
      </c>
      <c r="T1089" s="26" t="s">
        <v>39</v>
      </c>
      <c r="U1089" s="27">
        <v>0.95238095238095233</v>
      </c>
      <c r="V1089" s="33">
        <v>0.33333333333333331</v>
      </c>
      <c r="W1089" s="26" t="s">
        <v>408</v>
      </c>
      <c r="X1089" s="26" t="s">
        <v>409</v>
      </c>
      <c r="Y1089" s="26" t="s">
        <v>39</v>
      </c>
      <c r="Z1089" s="27">
        <v>0.94339622641509424</v>
      </c>
      <c r="AA1089" s="33">
        <v>0.33333333333333331</v>
      </c>
      <c r="AB1089" s="26" t="s">
        <v>411</v>
      </c>
      <c r="AC1089" s="26" t="s">
        <v>38</v>
      </c>
      <c r="AD1089" s="26" t="s">
        <v>42</v>
      </c>
      <c r="AE1089" s="27">
        <v>2.5</v>
      </c>
      <c r="AF1089" s="36">
        <v>0.33333333333333331</v>
      </c>
      <c r="AG1089" s="31">
        <v>0</v>
      </c>
      <c r="AH1089" t="s">
        <v>44</v>
      </c>
    </row>
    <row r="1090" spans="1:34">
      <c r="A1090" s="15" t="s">
        <v>1158</v>
      </c>
      <c r="B1090" s="8" t="s">
        <v>1135</v>
      </c>
      <c r="C1090" s="41" t="s">
        <v>37</v>
      </c>
      <c r="D1090" s="1" t="s">
        <v>38</v>
      </c>
      <c r="E1090" s="26" t="s">
        <v>39</v>
      </c>
      <c r="F1090" s="27">
        <v>0.95238095238095233</v>
      </c>
      <c r="G1090" s="33">
        <v>0.33333333333333331</v>
      </c>
      <c r="H1090" s="41" t="s">
        <v>408</v>
      </c>
      <c r="I1090" s="1" t="s">
        <v>409</v>
      </c>
      <c r="J1090" s="26" t="s">
        <v>39</v>
      </c>
      <c r="K1090" s="27">
        <v>0.94339622641509424</v>
      </c>
      <c r="L1090" s="33">
        <v>0.33333333333333331</v>
      </c>
      <c r="M1090" s="41" t="s">
        <v>410</v>
      </c>
      <c r="N1090" s="1" t="s">
        <v>38</v>
      </c>
      <c r="O1090" s="26" t="s">
        <v>42</v>
      </c>
      <c r="P1090" s="27">
        <v>3.2258064516129035</v>
      </c>
      <c r="Q1090" s="33">
        <v>0.33333333333333331</v>
      </c>
      <c r="R1090" s="55" t="s">
        <v>37</v>
      </c>
      <c r="S1090" s="26" t="s">
        <v>38</v>
      </c>
      <c r="T1090" s="26" t="s">
        <v>39</v>
      </c>
      <c r="U1090" s="27">
        <v>0.95238095238095233</v>
      </c>
      <c r="V1090" s="33">
        <v>0.33333333333333331</v>
      </c>
      <c r="W1090" s="26" t="s">
        <v>408</v>
      </c>
      <c r="X1090" s="26" t="s">
        <v>409</v>
      </c>
      <c r="Y1090" s="26" t="s">
        <v>39</v>
      </c>
      <c r="Z1090" s="27">
        <v>0.94339622641509424</v>
      </c>
      <c r="AA1090" s="33">
        <v>0.33333333333333331</v>
      </c>
      <c r="AB1090" s="26" t="s">
        <v>411</v>
      </c>
      <c r="AC1090" s="26" t="s">
        <v>38</v>
      </c>
      <c r="AD1090" s="26" t="s">
        <v>42</v>
      </c>
      <c r="AE1090" s="27">
        <v>2.5</v>
      </c>
      <c r="AF1090" s="36">
        <v>0.33333333333333331</v>
      </c>
      <c r="AG1090" s="31">
        <v>0</v>
      </c>
      <c r="AH1090" t="s">
        <v>44</v>
      </c>
    </row>
    <row r="1091" spans="1:34">
      <c r="A1091" s="15" t="s">
        <v>1159</v>
      </c>
      <c r="B1091" s="8" t="s">
        <v>1135</v>
      </c>
      <c r="C1091" s="41" t="s">
        <v>37</v>
      </c>
      <c r="D1091" s="1" t="s">
        <v>38</v>
      </c>
      <c r="E1091" s="26" t="s">
        <v>39</v>
      </c>
      <c r="F1091" s="27">
        <v>0.95238095238095233</v>
      </c>
      <c r="G1091" s="33">
        <v>0.33333333333333331</v>
      </c>
      <c r="H1091" s="41" t="s">
        <v>408</v>
      </c>
      <c r="I1091" s="1" t="s">
        <v>409</v>
      </c>
      <c r="J1091" s="26" t="s">
        <v>39</v>
      </c>
      <c r="K1091" s="27">
        <v>0.94339622641509424</v>
      </c>
      <c r="L1091" s="33">
        <v>0.33333333333333331</v>
      </c>
      <c r="M1091" s="41" t="s">
        <v>410</v>
      </c>
      <c r="N1091" s="1" t="s">
        <v>38</v>
      </c>
      <c r="O1091" s="26" t="s">
        <v>42</v>
      </c>
      <c r="P1091" s="27">
        <v>3.2258064516129035</v>
      </c>
      <c r="Q1091" s="33">
        <v>0.33333333333333331</v>
      </c>
      <c r="R1091" s="55" t="s">
        <v>37</v>
      </c>
      <c r="S1091" s="26" t="s">
        <v>38</v>
      </c>
      <c r="T1091" s="26" t="s">
        <v>39</v>
      </c>
      <c r="U1091" s="27">
        <v>0.95238095238095233</v>
      </c>
      <c r="V1091" s="33">
        <v>0.33333333333333331</v>
      </c>
      <c r="W1091" s="26" t="s">
        <v>408</v>
      </c>
      <c r="X1091" s="26" t="s">
        <v>409</v>
      </c>
      <c r="Y1091" s="26" t="s">
        <v>39</v>
      </c>
      <c r="Z1091" s="27">
        <v>0.94339622641509424</v>
      </c>
      <c r="AA1091" s="33">
        <v>0.33333333333333331</v>
      </c>
      <c r="AB1091" s="26" t="s">
        <v>411</v>
      </c>
      <c r="AC1091" s="26" t="s">
        <v>38</v>
      </c>
      <c r="AD1091" s="26" t="s">
        <v>42</v>
      </c>
      <c r="AE1091" s="27">
        <v>2.5</v>
      </c>
      <c r="AF1091" s="36">
        <v>0.33333333333333331</v>
      </c>
      <c r="AG1091" s="31">
        <v>0</v>
      </c>
      <c r="AH1091" t="s">
        <v>44</v>
      </c>
    </row>
    <row r="1092" spans="1:34">
      <c r="A1092" s="15" t="s">
        <v>1160</v>
      </c>
      <c r="B1092" s="8" t="s">
        <v>1135</v>
      </c>
      <c r="C1092" s="41" t="s">
        <v>37</v>
      </c>
      <c r="D1092" s="1" t="s">
        <v>38</v>
      </c>
      <c r="E1092" s="26" t="s">
        <v>39</v>
      </c>
      <c r="F1092" s="27">
        <v>0.95238095238095233</v>
      </c>
      <c r="G1092" s="33">
        <v>0.33333333333333331</v>
      </c>
      <c r="H1092" s="41" t="s">
        <v>408</v>
      </c>
      <c r="I1092" s="1" t="s">
        <v>409</v>
      </c>
      <c r="J1092" s="26" t="s">
        <v>39</v>
      </c>
      <c r="K1092" s="27">
        <v>0.94339622641509424</v>
      </c>
      <c r="L1092" s="33">
        <v>0.33333333333333331</v>
      </c>
      <c r="M1092" s="41" t="s">
        <v>410</v>
      </c>
      <c r="N1092" s="1" t="s">
        <v>38</v>
      </c>
      <c r="O1092" s="26" t="s">
        <v>42</v>
      </c>
      <c r="P1092" s="27">
        <v>3.2258064516129035</v>
      </c>
      <c r="Q1092" s="33">
        <v>0.33333333333333331</v>
      </c>
      <c r="R1092" s="55" t="s">
        <v>37</v>
      </c>
      <c r="S1092" s="26" t="s">
        <v>38</v>
      </c>
      <c r="T1092" s="26" t="s">
        <v>39</v>
      </c>
      <c r="U1092" s="27">
        <v>0.95238095238095233</v>
      </c>
      <c r="V1092" s="33">
        <v>0.33333333333333331</v>
      </c>
      <c r="W1092" s="26" t="s">
        <v>408</v>
      </c>
      <c r="X1092" s="26" t="s">
        <v>409</v>
      </c>
      <c r="Y1092" s="26" t="s">
        <v>39</v>
      </c>
      <c r="Z1092" s="27">
        <v>0.94339622641509424</v>
      </c>
      <c r="AA1092" s="33">
        <v>0.33333333333333331</v>
      </c>
      <c r="AB1092" s="26" t="s">
        <v>411</v>
      </c>
      <c r="AC1092" s="26" t="s">
        <v>38</v>
      </c>
      <c r="AD1092" s="26" t="s">
        <v>42</v>
      </c>
      <c r="AE1092" s="27">
        <v>2.5</v>
      </c>
      <c r="AF1092" s="36">
        <v>0.33333333333333331</v>
      </c>
      <c r="AG1092" s="31">
        <v>0</v>
      </c>
      <c r="AH1092" t="s">
        <v>44</v>
      </c>
    </row>
    <row r="1093" spans="1:34">
      <c r="A1093" s="15" t="s">
        <v>1161</v>
      </c>
      <c r="B1093" s="8" t="s">
        <v>1135</v>
      </c>
      <c r="C1093" s="41" t="s">
        <v>37</v>
      </c>
      <c r="D1093" s="1" t="s">
        <v>38</v>
      </c>
      <c r="E1093" s="26" t="s">
        <v>39</v>
      </c>
      <c r="F1093" s="27">
        <v>0.95238095238095233</v>
      </c>
      <c r="G1093" s="33">
        <v>0.33333333333333331</v>
      </c>
      <c r="H1093" s="41" t="s">
        <v>408</v>
      </c>
      <c r="I1093" s="1" t="s">
        <v>409</v>
      </c>
      <c r="J1093" s="26" t="s">
        <v>39</v>
      </c>
      <c r="K1093" s="27">
        <v>0.94339622641509424</v>
      </c>
      <c r="L1093" s="33">
        <v>0.33333333333333331</v>
      </c>
      <c r="M1093" s="41" t="s">
        <v>410</v>
      </c>
      <c r="N1093" s="1" t="s">
        <v>38</v>
      </c>
      <c r="O1093" s="26" t="s">
        <v>42</v>
      </c>
      <c r="P1093" s="27">
        <v>3.2258064516129035</v>
      </c>
      <c r="Q1093" s="33">
        <v>0.33333333333333331</v>
      </c>
      <c r="R1093" s="55" t="s">
        <v>37</v>
      </c>
      <c r="S1093" s="26" t="s">
        <v>38</v>
      </c>
      <c r="T1093" s="26" t="s">
        <v>39</v>
      </c>
      <c r="U1093" s="27">
        <v>0.95238095238095233</v>
      </c>
      <c r="V1093" s="33">
        <v>0.33333333333333331</v>
      </c>
      <c r="W1093" s="26" t="s">
        <v>408</v>
      </c>
      <c r="X1093" s="26" t="s">
        <v>409</v>
      </c>
      <c r="Y1093" s="26" t="s">
        <v>39</v>
      </c>
      <c r="Z1093" s="27">
        <v>0.94339622641509424</v>
      </c>
      <c r="AA1093" s="33">
        <v>0.33333333333333331</v>
      </c>
      <c r="AB1093" s="26" t="s">
        <v>411</v>
      </c>
      <c r="AC1093" s="26" t="s">
        <v>38</v>
      </c>
      <c r="AD1093" s="26" t="s">
        <v>42</v>
      </c>
      <c r="AE1093" s="27">
        <v>2.5</v>
      </c>
      <c r="AF1093" s="36">
        <v>0.33333333333333331</v>
      </c>
      <c r="AG1093" s="31">
        <v>0</v>
      </c>
      <c r="AH1093" t="s">
        <v>44</v>
      </c>
    </row>
    <row r="1094" spans="1:34">
      <c r="A1094" s="15" t="s">
        <v>1162</v>
      </c>
      <c r="B1094" s="8" t="s">
        <v>1135</v>
      </c>
      <c r="C1094" s="41" t="s">
        <v>37</v>
      </c>
      <c r="D1094" s="1" t="s">
        <v>38</v>
      </c>
      <c r="E1094" s="26" t="s">
        <v>39</v>
      </c>
      <c r="F1094" s="27">
        <v>0.95238095238095233</v>
      </c>
      <c r="G1094" s="33">
        <v>0.33333333333333331</v>
      </c>
      <c r="H1094" s="41" t="s">
        <v>408</v>
      </c>
      <c r="I1094" s="1" t="s">
        <v>409</v>
      </c>
      <c r="J1094" s="26" t="s">
        <v>39</v>
      </c>
      <c r="K1094" s="27">
        <v>0.94339622641509424</v>
      </c>
      <c r="L1094" s="33">
        <v>0.33333333333333331</v>
      </c>
      <c r="M1094" s="41" t="s">
        <v>410</v>
      </c>
      <c r="N1094" s="1" t="s">
        <v>38</v>
      </c>
      <c r="O1094" s="26" t="s">
        <v>42</v>
      </c>
      <c r="P1094" s="27">
        <v>3.2258064516129035</v>
      </c>
      <c r="Q1094" s="33">
        <v>0.33333333333333331</v>
      </c>
      <c r="R1094" s="55" t="s">
        <v>37</v>
      </c>
      <c r="S1094" s="26" t="s">
        <v>38</v>
      </c>
      <c r="T1094" s="26" t="s">
        <v>39</v>
      </c>
      <c r="U1094" s="27">
        <v>0.95238095238095233</v>
      </c>
      <c r="V1094" s="33">
        <v>0.33333333333333331</v>
      </c>
      <c r="W1094" s="26" t="s">
        <v>408</v>
      </c>
      <c r="X1094" s="26" t="s">
        <v>409</v>
      </c>
      <c r="Y1094" s="26" t="s">
        <v>39</v>
      </c>
      <c r="Z1094" s="27">
        <v>0.94339622641509424</v>
      </c>
      <c r="AA1094" s="33">
        <v>0.33333333333333331</v>
      </c>
      <c r="AB1094" s="26" t="s">
        <v>411</v>
      </c>
      <c r="AC1094" s="26" t="s">
        <v>38</v>
      </c>
      <c r="AD1094" s="26" t="s">
        <v>42</v>
      </c>
      <c r="AE1094" s="27">
        <v>2.5</v>
      </c>
      <c r="AF1094" s="36">
        <v>0.33333333333333331</v>
      </c>
      <c r="AG1094" s="31">
        <v>0</v>
      </c>
      <c r="AH1094" t="s">
        <v>44</v>
      </c>
    </row>
    <row r="1095" spans="1:34">
      <c r="A1095" s="15" t="s">
        <v>1163</v>
      </c>
      <c r="B1095" s="8" t="s">
        <v>1135</v>
      </c>
      <c r="C1095" s="41" t="s">
        <v>37</v>
      </c>
      <c r="D1095" s="1" t="s">
        <v>38</v>
      </c>
      <c r="E1095" s="26" t="s">
        <v>39</v>
      </c>
      <c r="F1095" s="27">
        <v>0.95238095238095233</v>
      </c>
      <c r="G1095" s="33">
        <v>0.33333333333333331</v>
      </c>
      <c r="H1095" s="41" t="s">
        <v>408</v>
      </c>
      <c r="I1095" s="1" t="s">
        <v>409</v>
      </c>
      <c r="J1095" s="26" t="s">
        <v>39</v>
      </c>
      <c r="K1095" s="27">
        <v>0.94339622641509424</v>
      </c>
      <c r="L1095" s="33">
        <v>0.33333333333333331</v>
      </c>
      <c r="M1095" s="41" t="s">
        <v>410</v>
      </c>
      <c r="N1095" s="1" t="s">
        <v>38</v>
      </c>
      <c r="O1095" s="26" t="s">
        <v>42</v>
      </c>
      <c r="P1095" s="27">
        <v>3.2258064516129035</v>
      </c>
      <c r="Q1095" s="33">
        <v>0.33333333333333331</v>
      </c>
      <c r="R1095" s="55" t="s">
        <v>37</v>
      </c>
      <c r="S1095" s="26" t="s">
        <v>38</v>
      </c>
      <c r="T1095" s="26" t="s">
        <v>39</v>
      </c>
      <c r="U1095" s="27">
        <v>0.95238095238095233</v>
      </c>
      <c r="V1095" s="33">
        <v>0.33333333333333331</v>
      </c>
      <c r="W1095" s="26" t="s">
        <v>408</v>
      </c>
      <c r="X1095" s="26" t="s">
        <v>409</v>
      </c>
      <c r="Y1095" s="26" t="s">
        <v>39</v>
      </c>
      <c r="Z1095" s="27">
        <v>0.94339622641509424</v>
      </c>
      <c r="AA1095" s="33">
        <v>0.33333333333333331</v>
      </c>
      <c r="AB1095" s="26" t="s">
        <v>411</v>
      </c>
      <c r="AC1095" s="26" t="s">
        <v>38</v>
      </c>
      <c r="AD1095" s="26" t="s">
        <v>42</v>
      </c>
      <c r="AE1095" s="27">
        <v>2.5</v>
      </c>
      <c r="AF1095" s="36">
        <v>0.33333333333333331</v>
      </c>
      <c r="AG1095" s="31">
        <v>0</v>
      </c>
      <c r="AH1095" t="s">
        <v>44</v>
      </c>
    </row>
    <row r="1096" spans="1:34">
      <c r="A1096" s="15" t="s">
        <v>1164</v>
      </c>
      <c r="B1096" s="8" t="s">
        <v>1135</v>
      </c>
      <c r="C1096" s="41" t="s">
        <v>37</v>
      </c>
      <c r="D1096" s="1" t="s">
        <v>38</v>
      </c>
      <c r="E1096" s="26" t="s">
        <v>39</v>
      </c>
      <c r="F1096" s="27">
        <v>0.95238095238095233</v>
      </c>
      <c r="G1096" s="33">
        <v>0.33333333333333331</v>
      </c>
      <c r="H1096" s="41" t="s">
        <v>408</v>
      </c>
      <c r="I1096" s="1" t="s">
        <v>409</v>
      </c>
      <c r="J1096" s="26" t="s">
        <v>39</v>
      </c>
      <c r="K1096" s="27">
        <v>0.94339622641509424</v>
      </c>
      <c r="L1096" s="33">
        <v>0.33333333333333331</v>
      </c>
      <c r="M1096" s="41" t="s">
        <v>410</v>
      </c>
      <c r="N1096" s="1" t="s">
        <v>38</v>
      </c>
      <c r="O1096" s="26" t="s">
        <v>42</v>
      </c>
      <c r="P1096" s="27">
        <v>3.2258064516129035</v>
      </c>
      <c r="Q1096" s="33">
        <v>0.33333333333333331</v>
      </c>
      <c r="R1096" s="55" t="s">
        <v>37</v>
      </c>
      <c r="S1096" s="26" t="s">
        <v>38</v>
      </c>
      <c r="T1096" s="26" t="s">
        <v>39</v>
      </c>
      <c r="U1096" s="27">
        <v>0.95238095238095233</v>
      </c>
      <c r="V1096" s="33">
        <v>0.33333333333333331</v>
      </c>
      <c r="W1096" s="26" t="s">
        <v>408</v>
      </c>
      <c r="X1096" s="26" t="s">
        <v>409</v>
      </c>
      <c r="Y1096" s="26" t="s">
        <v>39</v>
      </c>
      <c r="Z1096" s="27">
        <v>0.94339622641509424</v>
      </c>
      <c r="AA1096" s="33">
        <v>0.33333333333333331</v>
      </c>
      <c r="AB1096" s="26" t="s">
        <v>411</v>
      </c>
      <c r="AC1096" s="26" t="s">
        <v>38</v>
      </c>
      <c r="AD1096" s="26" t="s">
        <v>42</v>
      </c>
      <c r="AE1096" s="27">
        <v>2.5</v>
      </c>
      <c r="AF1096" s="36">
        <v>0.33333333333333331</v>
      </c>
      <c r="AG1096" s="31">
        <v>0</v>
      </c>
      <c r="AH1096" t="s">
        <v>44</v>
      </c>
    </row>
    <row r="1097" spans="1:34">
      <c r="A1097" s="15" t="s">
        <v>1165</v>
      </c>
      <c r="B1097" s="8" t="s">
        <v>1135</v>
      </c>
      <c r="C1097" s="41" t="s">
        <v>37</v>
      </c>
      <c r="D1097" s="1" t="s">
        <v>38</v>
      </c>
      <c r="E1097" s="26" t="s">
        <v>39</v>
      </c>
      <c r="F1097" s="27">
        <v>0.95238095238095233</v>
      </c>
      <c r="G1097" s="33">
        <v>0.33333333333333331</v>
      </c>
      <c r="H1097" s="41" t="s">
        <v>408</v>
      </c>
      <c r="I1097" s="1" t="s">
        <v>409</v>
      </c>
      <c r="J1097" s="26" t="s">
        <v>39</v>
      </c>
      <c r="K1097" s="27">
        <v>0.94339622641509424</v>
      </c>
      <c r="L1097" s="33">
        <v>0.33333333333333331</v>
      </c>
      <c r="M1097" s="41" t="s">
        <v>410</v>
      </c>
      <c r="N1097" s="1" t="s">
        <v>38</v>
      </c>
      <c r="O1097" s="26" t="s">
        <v>42</v>
      </c>
      <c r="P1097" s="27">
        <v>3.2258064516129035</v>
      </c>
      <c r="Q1097" s="33">
        <v>0.33333333333333331</v>
      </c>
      <c r="R1097" s="55" t="s">
        <v>37</v>
      </c>
      <c r="S1097" s="26" t="s">
        <v>38</v>
      </c>
      <c r="T1097" s="26" t="s">
        <v>39</v>
      </c>
      <c r="U1097" s="27">
        <v>0.95238095238095233</v>
      </c>
      <c r="V1097" s="33">
        <v>0.33333333333333331</v>
      </c>
      <c r="W1097" s="26" t="s">
        <v>408</v>
      </c>
      <c r="X1097" s="26" t="s">
        <v>409</v>
      </c>
      <c r="Y1097" s="26" t="s">
        <v>39</v>
      </c>
      <c r="Z1097" s="27">
        <v>0.94339622641509424</v>
      </c>
      <c r="AA1097" s="33">
        <v>0.33333333333333331</v>
      </c>
      <c r="AB1097" s="26" t="s">
        <v>411</v>
      </c>
      <c r="AC1097" s="26" t="s">
        <v>38</v>
      </c>
      <c r="AD1097" s="26" t="s">
        <v>42</v>
      </c>
      <c r="AE1097" s="27">
        <v>2.5</v>
      </c>
      <c r="AF1097" s="36">
        <v>0.33333333333333331</v>
      </c>
      <c r="AG1097" s="31">
        <v>0</v>
      </c>
      <c r="AH1097" t="s">
        <v>44</v>
      </c>
    </row>
    <row r="1098" spans="1:34">
      <c r="A1098" s="15" t="s">
        <v>1166</v>
      </c>
      <c r="B1098" s="8" t="s">
        <v>1135</v>
      </c>
      <c r="C1098" s="41" t="s">
        <v>37</v>
      </c>
      <c r="D1098" s="1" t="s">
        <v>38</v>
      </c>
      <c r="E1098" s="26" t="s">
        <v>39</v>
      </c>
      <c r="F1098" s="27">
        <v>0.95238095238095233</v>
      </c>
      <c r="G1098" s="33">
        <v>0.33333333333333331</v>
      </c>
      <c r="H1098" s="41" t="s">
        <v>408</v>
      </c>
      <c r="I1098" s="1" t="s">
        <v>409</v>
      </c>
      <c r="J1098" s="26" t="s">
        <v>39</v>
      </c>
      <c r="K1098" s="27">
        <v>0.94339622641509424</v>
      </c>
      <c r="L1098" s="33">
        <v>0.33333333333333331</v>
      </c>
      <c r="M1098" s="41" t="s">
        <v>410</v>
      </c>
      <c r="N1098" s="1" t="s">
        <v>38</v>
      </c>
      <c r="O1098" s="26" t="s">
        <v>42</v>
      </c>
      <c r="P1098" s="27">
        <v>3.2258064516129035</v>
      </c>
      <c r="Q1098" s="33">
        <v>0.33333333333333331</v>
      </c>
      <c r="R1098" s="55" t="s">
        <v>37</v>
      </c>
      <c r="S1098" s="26" t="s">
        <v>38</v>
      </c>
      <c r="T1098" s="26" t="s">
        <v>39</v>
      </c>
      <c r="U1098" s="27">
        <v>0.95238095238095233</v>
      </c>
      <c r="V1098" s="33">
        <v>0.33333333333333331</v>
      </c>
      <c r="W1098" s="26" t="s">
        <v>408</v>
      </c>
      <c r="X1098" s="26" t="s">
        <v>409</v>
      </c>
      <c r="Y1098" s="26" t="s">
        <v>39</v>
      </c>
      <c r="Z1098" s="27">
        <v>0.94339622641509424</v>
      </c>
      <c r="AA1098" s="33">
        <v>0.33333333333333331</v>
      </c>
      <c r="AB1098" s="26" t="s">
        <v>411</v>
      </c>
      <c r="AC1098" s="26" t="s">
        <v>38</v>
      </c>
      <c r="AD1098" s="26" t="s">
        <v>42</v>
      </c>
      <c r="AE1098" s="27">
        <v>2.5</v>
      </c>
      <c r="AF1098" s="36">
        <v>0.33333333333333331</v>
      </c>
      <c r="AG1098" s="31">
        <v>0</v>
      </c>
      <c r="AH1098" t="s">
        <v>44</v>
      </c>
    </row>
    <row r="1099" spans="1:34">
      <c r="A1099" s="15" t="s">
        <v>1167</v>
      </c>
      <c r="B1099" s="8" t="s">
        <v>1135</v>
      </c>
      <c r="C1099" s="41" t="s">
        <v>37</v>
      </c>
      <c r="D1099" s="1" t="s">
        <v>38</v>
      </c>
      <c r="E1099" s="26" t="s">
        <v>39</v>
      </c>
      <c r="F1099" s="27">
        <v>0.95238095238095233</v>
      </c>
      <c r="G1099" s="33">
        <v>0.33333333333333331</v>
      </c>
      <c r="H1099" s="41" t="s">
        <v>408</v>
      </c>
      <c r="I1099" s="1" t="s">
        <v>409</v>
      </c>
      <c r="J1099" s="26" t="s">
        <v>39</v>
      </c>
      <c r="K1099" s="27">
        <v>0.94339622641509424</v>
      </c>
      <c r="L1099" s="33">
        <v>0.33333333333333331</v>
      </c>
      <c r="M1099" s="41" t="s">
        <v>410</v>
      </c>
      <c r="N1099" s="1" t="s">
        <v>38</v>
      </c>
      <c r="O1099" s="26" t="s">
        <v>42</v>
      </c>
      <c r="P1099" s="27">
        <v>3.2258064516129035</v>
      </c>
      <c r="Q1099" s="33">
        <v>0.33333333333333331</v>
      </c>
      <c r="R1099" s="55" t="s">
        <v>37</v>
      </c>
      <c r="S1099" s="26" t="s">
        <v>38</v>
      </c>
      <c r="T1099" s="26" t="s">
        <v>39</v>
      </c>
      <c r="U1099" s="27">
        <v>0.95238095238095233</v>
      </c>
      <c r="V1099" s="33">
        <v>0.33333333333333331</v>
      </c>
      <c r="W1099" s="26" t="s">
        <v>408</v>
      </c>
      <c r="X1099" s="26" t="s">
        <v>409</v>
      </c>
      <c r="Y1099" s="26" t="s">
        <v>39</v>
      </c>
      <c r="Z1099" s="27">
        <v>0.94339622641509424</v>
      </c>
      <c r="AA1099" s="33">
        <v>0.33333333333333331</v>
      </c>
      <c r="AB1099" s="26" t="s">
        <v>411</v>
      </c>
      <c r="AC1099" s="26" t="s">
        <v>38</v>
      </c>
      <c r="AD1099" s="26" t="s">
        <v>42</v>
      </c>
      <c r="AE1099" s="27">
        <v>2.5</v>
      </c>
      <c r="AF1099" s="36">
        <v>0.33333333333333331</v>
      </c>
      <c r="AG1099" s="31">
        <v>0</v>
      </c>
      <c r="AH1099" t="s">
        <v>44</v>
      </c>
    </row>
    <row r="1100" spans="1:34">
      <c r="A1100" s="15" t="s">
        <v>1168</v>
      </c>
      <c r="B1100" s="8" t="s">
        <v>1135</v>
      </c>
      <c r="C1100" s="41" t="s">
        <v>37</v>
      </c>
      <c r="D1100" s="1" t="s">
        <v>38</v>
      </c>
      <c r="E1100" s="26" t="s">
        <v>39</v>
      </c>
      <c r="F1100" s="27">
        <v>0.95238095238095233</v>
      </c>
      <c r="G1100" s="33">
        <v>0.33333333333333331</v>
      </c>
      <c r="H1100" s="41" t="s">
        <v>408</v>
      </c>
      <c r="I1100" s="1" t="s">
        <v>409</v>
      </c>
      <c r="J1100" s="26" t="s">
        <v>39</v>
      </c>
      <c r="K1100" s="27">
        <v>0.94339622641509424</v>
      </c>
      <c r="L1100" s="33">
        <v>0.33333333333333331</v>
      </c>
      <c r="M1100" s="41" t="s">
        <v>410</v>
      </c>
      <c r="N1100" s="1" t="s">
        <v>38</v>
      </c>
      <c r="O1100" s="26" t="s">
        <v>42</v>
      </c>
      <c r="P1100" s="27">
        <v>3.2258064516129035</v>
      </c>
      <c r="Q1100" s="33">
        <v>0.33333333333333331</v>
      </c>
      <c r="R1100" s="55" t="s">
        <v>37</v>
      </c>
      <c r="S1100" s="26" t="s">
        <v>38</v>
      </c>
      <c r="T1100" s="26" t="s">
        <v>39</v>
      </c>
      <c r="U1100" s="27">
        <v>0.95238095238095233</v>
      </c>
      <c r="V1100" s="33">
        <v>0.33333333333333331</v>
      </c>
      <c r="W1100" s="26" t="s">
        <v>408</v>
      </c>
      <c r="X1100" s="26" t="s">
        <v>409</v>
      </c>
      <c r="Y1100" s="26" t="s">
        <v>39</v>
      </c>
      <c r="Z1100" s="27">
        <v>0.94339622641509424</v>
      </c>
      <c r="AA1100" s="33">
        <v>0.33333333333333331</v>
      </c>
      <c r="AB1100" s="26" t="s">
        <v>411</v>
      </c>
      <c r="AC1100" s="26" t="s">
        <v>38</v>
      </c>
      <c r="AD1100" s="26" t="s">
        <v>42</v>
      </c>
      <c r="AE1100" s="27">
        <v>2.5</v>
      </c>
      <c r="AF1100" s="36">
        <v>0.33333333333333331</v>
      </c>
      <c r="AG1100" s="31">
        <v>0</v>
      </c>
      <c r="AH1100" t="s">
        <v>44</v>
      </c>
    </row>
    <row r="1101" spans="1:34">
      <c r="A1101" s="15" t="s">
        <v>1169</v>
      </c>
      <c r="B1101" s="8" t="s">
        <v>1135</v>
      </c>
      <c r="C1101" s="41" t="s">
        <v>37</v>
      </c>
      <c r="D1101" s="1" t="s">
        <v>38</v>
      </c>
      <c r="E1101" s="26" t="s">
        <v>39</v>
      </c>
      <c r="F1101" s="27">
        <v>0.95238095238095233</v>
      </c>
      <c r="G1101" s="33">
        <v>0.33333333333333331</v>
      </c>
      <c r="H1101" s="41" t="s">
        <v>408</v>
      </c>
      <c r="I1101" s="1" t="s">
        <v>409</v>
      </c>
      <c r="J1101" s="26" t="s">
        <v>39</v>
      </c>
      <c r="K1101" s="27">
        <v>0.94339622641509424</v>
      </c>
      <c r="L1101" s="33">
        <v>0.33333333333333331</v>
      </c>
      <c r="M1101" s="41" t="s">
        <v>410</v>
      </c>
      <c r="N1101" s="1" t="s">
        <v>38</v>
      </c>
      <c r="O1101" s="26" t="s">
        <v>42</v>
      </c>
      <c r="P1101" s="27">
        <v>3.2258064516129035</v>
      </c>
      <c r="Q1101" s="33">
        <v>0.33333333333333331</v>
      </c>
      <c r="R1101" s="55" t="s">
        <v>37</v>
      </c>
      <c r="S1101" s="26" t="s">
        <v>38</v>
      </c>
      <c r="T1101" s="26" t="s">
        <v>39</v>
      </c>
      <c r="U1101" s="27">
        <v>0.95238095238095233</v>
      </c>
      <c r="V1101" s="33">
        <v>0.33333333333333331</v>
      </c>
      <c r="W1101" s="26" t="s">
        <v>408</v>
      </c>
      <c r="X1101" s="26" t="s">
        <v>409</v>
      </c>
      <c r="Y1101" s="26" t="s">
        <v>39</v>
      </c>
      <c r="Z1101" s="27">
        <v>0.94339622641509424</v>
      </c>
      <c r="AA1101" s="33">
        <v>0.33333333333333331</v>
      </c>
      <c r="AB1101" s="26" t="s">
        <v>411</v>
      </c>
      <c r="AC1101" s="26" t="s">
        <v>38</v>
      </c>
      <c r="AD1101" s="26" t="s">
        <v>42</v>
      </c>
      <c r="AE1101" s="27">
        <v>2.5</v>
      </c>
      <c r="AF1101" s="36">
        <v>0.33333333333333331</v>
      </c>
      <c r="AG1101" s="31">
        <v>0</v>
      </c>
      <c r="AH1101" t="s">
        <v>44</v>
      </c>
    </row>
    <row r="1102" spans="1:34">
      <c r="A1102" s="15" t="s">
        <v>1170</v>
      </c>
      <c r="B1102" s="8" t="s">
        <v>1135</v>
      </c>
      <c r="C1102" s="41" t="s">
        <v>37</v>
      </c>
      <c r="D1102" s="1" t="s">
        <v>38</v>
      </c>
      <c r="E1102" s="26" t="s">
        <v>39</v>
      </c>
      <c r="F1102" s="27">
        <v>0.95238095238095233</v>
      </c>
      <c r="G1102" s="33">
        <v>0.33333333333333331</v>
      </c>
      <c r="H1102" s="41" t="s">
        <v>408</v>
      </c>
      <c r="I1102" s="1" t="s">
        <v>409</v>
      </c>
      <c r="J1102" s="26" t="s">
        <v>39</v>
      </c>
      <c r="K1102" s="27">
        <v>0.94339622641509424</v>
      </c>
      <c r="L1102" s="33">
        <v>0.33333333333333331</v>
      </c>
      <c r="M1102" s="41" t="s">
        <v>410</v>
      </c>
      <c r="N1102" s="1" t="s">
        <v>38</v>
      </c>
      <c r="O1102" s="26" t="s">
        <v>42</v>
      </c>
      <c r="P1102" s="27">
        <v>3.2258064516129035</v>
      </c>
      <c r="Q1102" s="33">
        <v>0.33333333333333331</v>
      </c>
      <c r="R1102" s="55" t="s">
        <v>37</v>
      </c>
      <c r="S1102" s="26" t="s">
        <v>38</v>
      </c>
      <c r="T1102" s="26" t="s">
        <v>39</v>
      </c>
      <c r="U1102" s="27">
        <v>0.95238095238095233</v>
      </c>
      <c r="V1102" s="33">
        <v>0.33333333333333331</v>
      </c>
      <c r="W1102" s="26" t="s">
        <v>408</v>
      </c>
      <c r="X1102" s="26" t="s">
        <v>409</v>
      </c>
      <c r="Y1102" s="26" t="s">
        <v>39</v>
      </c>
      <c r="Z1102" s="27">
        <v>0.94339622641509424</v>
      </c>
      <c r="AA1102" s="33">
        <v>0.33333333333333331</v>
      </c>
      <c r="AB1102" s="26" t="s">
        <v>411</v>
      </c>
      <c r="AC1102" s="26" t="s">
        <v>38</v>
      </c>
      <c r="AD1102" s="26" t="s">
        <v>42</v>
      </c>
      <c r="AE1102" s="27">
        <v>2.5</v>
      </c>
      <c r="AF1102" s="36">
        <v>0.33333333333333331</v>
      </c>
      <c r="AG1102" s="31">
        <v>0</v>
      </c>
      <c r="AH1102" t="s">
        <v>44</v>
      </c>
    </row>
    <row r="1103" spans="1:34">
      <c r="A1103" s="15" t="s">
        <v>1171</v>
      </c>
      <c r="B1103" s="8" t="s">
        <v>1135</v>
      </c>
      <c r="C1103" s="41" t="s">
        <v>37</v>
      </c>
      <c r="D1103" s="1" t="s">
        <v>38</v>
      </c>
      <c r="E1103" s="26" t="s">
        <v>39</v>
      </c>
      <c r="F1103" s="27">
        <v>0.95238095238095233</v>
      </c>
      <c r="G1103" s="33">
        <v>0.33333333333333331</v>
      </c>
      <c r="H1103" s="41" t="s">
        <v>408</v>
      </c>
      <c r="I1103" s="1" t="s">
        <v>409</v>
      </c>
      <c r="J1103" s="26" t="s">
        <v>39</v>
      </c>
      <c r="K1103" s="27">
        <v>0.94339622641509424</v>
      </c>
      <c r="L1103" s="33">
        <v>0.33333333333333331</v>
      </c>
      <c r="M1103" s="41" t="s">
        <v>410</v>
      </c>
      <c r="N1103" s="1" t="s">
        <v>38</v>
      </c>
      <c r="O1103" s="26" t="s">
        <v>42</v>
      </c>
      <c r="P1103" s="27">
        <v>3.2258064516129035</v>
      </c>
      <c r="Q1103" s="33">
        <v>0.33333333333333331</v>
      </c>
      <c r="R1103" s="55" t="s">
        <v>37</v>
      </c>
      <c r="S1103" s="26" t="s">
        <v>38</v>
      </c>
      <c r="T1103" s="26" t="s">
        <v>39</v>
      </c>
      <c r="U1103" s="27">
        <v>0.95238095238095233</v>
      </c>
      <c r="V1103" s="33">
        <v>0.33333333333333331</v>
      </c>
      <c r="W1103" s="26" t="s">
        <v>408</v>
      </c>
      <c r="X1103" s="26" t="s">
        <v>409</v>
      </c>
      <c r="Y1103" s="26" t="s">
        <v>39</v>
      </c>
      <c r="Z1103" s="27">
        <v>0.94339622641509424</v>
      </c>
      <c r="AA1103" s="33">
        <v>0.33333333333333331</v>
      </c>
      <c r="AB1103" s="26" t="s">
        <v>411</v>
      </c>
      <c r="AC1103" s="26" t="s">
        <v>38</v>
      </c>
      <c r="AD1103" s="26" t="s">
        <v>42</v>
      </c>
      <c r="AE1103" s="27">
        <v>2.5</v>
      </c>
      <c r="AF1103" s="36">
        <v>0.33333333333333331</v>
      </c>
      <c r="AG1103" s="31">
        <v>0</v>
      </c>
      <c r="AH1103" t="s">
        <v>44</v>
      </c>
    </row>
    <row r="1104" spans="1:34">
      <c r="A1104" s="15" t="s">
        <v>1172</v>
      </c>
      <c r="B1104" s="8" t="s">
        <v>1135</v>
      </c>
      <c r="C1104" s="41" t="s">
        <v>37</v>
      </c>
      <c r="D1104" s="1" t="s">
        <v>38</v>
      </c>
      <c r="E1104" s="26" t="s">
        <v>39</v>
      </c>
      <c r="F1104" s="27">
        <v>0.95238095238095233</v>
      </c>
      <c r="G1104" s="33">
        <v>0.33333333333333331</v>
      </c>
      <c r="H1104" s="41" t="s">
        <v>408</v>
      </c>
      <c r="I1104" s="1" t="s">
        <v>409</v>
      </c>
      <c r="J1104" s="26" t="s">
        <v>39</v>
      </c>
      <c r="K1104" s="27">
        <v>0.94339622641509424</v>
      </c>
      <c r="L1104" s="33">
        <v>0.33333333333333331</v>
      </c>
      <c r="M1104" s="41" t="s">
        <v>410</v>
      </c>
      <c r="N1104" s="1" t="s">
        <v>38</v>
      </c>
      <c r="O1104" s="26" t="s">
        <v>42</v>
      </c>
      <c r="P1104" s="27">
        <v>3.2258064516129035</v>
      </c>
      <c r="Q1104" s="33">
        <v>0.33333333333333331</v>
      </c>
      <c r="R1104" s="55" t="s">
        <v>37</v>
      </c>
      <c r="S1104" s="26" t="s">
        <v>38</v>
      </c>
      <c r="T1104" s="26" t="s">
        <v>39</v>
      </c>
      <c r="U1104" s="27">
        <v>0.95238095238095233</v>
      </c>
      <c r="V1104" s="33">
        <v>0.33333333333333331</v>
      </c>
      <c r="W1104" s="26" t="s">
        <v>408</v>
      </c>
      <c r="X1104" s="26" t="s">
        <v>409</v>
      </c>
      <c r="Y1104" s="26" t="s">
        <v>39</v>
      </c>
      <c r="Z1104" s="27">
        <v>0.94339622641509424</v>
      </c>
      <c r="AA1104" s="33">
        <v>0.33333333333333331</v>
      </c>
      <c r="AB1104" s="26" t="s">
        <v>411</v>
      </c>
      <c r="AC1104" s="26" t="s">
        <v>38</v>
      </c>
      <c r="AD1104" s="26" t="s">
        <v>42</v>
      </c>
      <c r="AE1104" s="27">
        <v>2.5</v>
      </c>
      <c r="AF1104" s="36">
        <v>0.33333333333333331</v>
      </c>
      <c r="AG1104" s="31">
        <v>0</v>
      </c>
      <c r="AH1104" t="s">
        <v>44</v>
      </c>
    </row>
    <row r="1105" spans="1:34">
      <c r="A1105" s="15" t="s">
        <v>1173</v>
      </c>
      <c r="B1105" s="8" t="s">
        <v>1135</v>
      </c>
      <c r="C1105" s="41" t="s">
        <v>37</v>
      </c>
      <c r="D1105" s="1" t="s">
        <v>38</v>
      </c>
      <c r="E1105" s="26" t="s">
        <v>39</v>
      </c>
      <c r="F1105" s="27">
        <v>0.95238095238095233</v>
      </c>
      <c r="G1105" s="33">
        <v>0.33333333333333331</v>
      </c>
      <c r="H1105" s="41" t="s">
        <v>408</v>
      </c>
      <c r="I1105" s="1" t="s">
        <v>409</v>
      </c>
      <c r="J1105" s="26" t="s">
        <v>39</v>
      </c>
      <c r="K1105" s="27">
        <v>0.94339622641509424</v>
      </c>
      <c r="L1105" s="33">
        <v>0.33333333333333331</v>
      </c>
      <c r="M1105" s="41" t="s">
        <v>410</v>
      </c>
      <c r="N1105" s="1" t="s">
        <v>38</v>
      </c>
      <c r="O1105" s="26" t="s">
        <v>42</v>
      </c>
      <c r="P1105" s="27">
        <v>3.2258064516129035</v>
      </c>
      <c r="Q1105" s="33">
        <v>0.33333333333333331</v>
      </c>
      <c r="R1105" s="55" t="s">
        <v>37</v>
      </c>
      <c r="S1105" s="26" t="s">
        <v>38</v>
      </c>
      <c r="T1105" s="26" t="s">
        <v>39</v>
      </c>
      <c r="U1105" s="27">
        <v>0.95238095238095233</v>
      </c>
      <c r="V1105" s="33">
        <v>0.33333333333333331</v>
      </c>
      <c r="W1105" s="26" t="s">
        <v>408</v>
      </c>
      <c r="X1105" s="26" t="s">
        <v>409</v>
      </c>
      <c r="Y1105" s="26" t="s">
        <v>39</v>
      </c>
      <c r="Z1105" s="27">
        <v>0.94339622641509424</v>
      </c>
      <c r="AA1105" s="33">
        <v>0.33333333333333331</v>
      </c>
      <c r="AB1105" s="26" t="s">
        <v>411</v>
      </c>
      <c r="AC1105" s="26" t="s">
        <v>38</v>
      </c>
      <c r="AD1105" s="26" t="s">
        <v>42</v>
      </c>
      <c r="AE1105" s="27">
        <v>2.5</v>
      </c>
      <c r="AF1105" s="36">
        <v>0.33333333333333331</v>
      </c>
      <c r="AG1105" s="31">
        <v>0</v>
      </c>
      <c r="AH1105" t="s">
        <v>44</v>
      </c>
    </row>
    <row r="1106" spans="1:34">
      <c r="A1106" s="15" t="s">
        <v>1174</v>
      </c>
      <c r="B1106" s="8" t="s">
        <v>1135</v>
      </c>
      <c r="C1106" s="41" t="s">
        <v>37</v>
      </c>
      <c r="D1106" s="1" t="s">
        <v>38</v>
      </c>
      <c r="E1106" s="26" t="s">
        <v>39</v>
      </c>
      <c r="F1106" s="27">
        <v>0.95238095238095233</v>
      </c>
      <c r="G1106" s="33">
        <v>0.33333333333333331</v>
      </c>
      <c r="H1106" s="41" t="s">
        <v>408</v>
      </c>
      <c r="I1106" s="1" t="s">
        <v>409</v>
      </c>
      <c r="J1106" s="26" t="s">
        <v>39</v>
      </c>
      <c r="K1106" s="27">
        <v>0.94339622641509424</v>
      </c>
      <c r="L1106" s="33">
        <v>0.33333333333333331</v>
      </c>
      <c r="M1106" s="41" t="s">
        <v>410</v>
      </c>
      <c r="N1106" s="1" t="s">
        <v>38</v>
      </c>
      <c r="O1106" s="26" t="s">
        <v>42</v>
      </c>
      <c r="P1106" s="27">
        <v>3.2258064516129035</v>
      </c>
      <c r="Q1106" s="33">
        <v>0.33333333333333331</v>
      </c>
      <c r="R1106" s="55" t="s">
        <v>37</v>
      </c>
      <c r="S1106" s="26" t="s">
        <v>38</v>
      </c>
      <c r="T1106" s="26" t="s">
        <v>39</v>
      </c>
      <c r="U1106" s="27">
        <v>0.95238095238095233</v>
      </c>
      <c r="V1106" s="33">
        <v>0.33333333333333331</v>
      </c>
      <c r="W1106" s="26" t="s">
        <v>408</v>
      </c>
      <c r="X1106" s="26" t="s">
        <v>409</v>
      </c>
      <c r="Y1106" s="26" t="s">
        <v>39</v>
      </c>
      <c r="Z1106" s="27">
        <v>0.94339622641509424</v>
      </c>
      <c r="AA1106" s="33">
        <v>0.33333333333333331</v>
      </c>
      <c r="AB1106" s="26" t="s">
        <v>411</v>
      </c>
      <c r="AC1106" s="26" t="s">
        <v>38</v>
      </c>
      <c r="AD1106" s="26" t="s">
        <v>42</v>
      </c>
      <c r="AE1106" s="27">
        <v>2.5</v>
      </c>
      <c r="AF1106" s="36">
        <v>0.33333333333333331</v>
      </c>
      <c r="AG1106" s="31">
        <v>0</v>
      </c>
      <c r="AH1106" t="s">
        <v>44</v>
      </c>
    </row>
    <row r="1107" spans="1:34">
      <c r="A1107" s="15" t="s">
        <v>1175</v>
      </c>
      <c r="B1107" s="8" t="s">
        <v>1135</v>
      </c>
      <c r="C1107" s="41" t="s">
        <v>37</v>
      </c>
      <c r="D1107" s="1" t="s">
        <v>38</v>
      </c>
      <c r="E1107" s="26" t="s">
        <v>39</v>
      </c>
      <c r="F1107" s="27">
        <v>0.95238095238095233</v>
      </c>
      <c r="G1107" s="33">
        <v>0.33333333333333331</v>
      </c>
      <c r="H1107" s="41" t="s">
        <v>408</v>
      </c>
      <c r="I1107" s="1" t="s">
        <v>409</v>
      </c>
      <c r="J1107" s="26" t="s">
        <v>39</v>
      </c>
      <c r="K1107" s="27">
        <v>0.94339622641509424</v>
      </c>
      <c r="L1107" s="33">
        <v>0.33333333333333331</v>
      </c>
      <c r="M1107" s="41" t="s">
        <v>410</v>
      </c>
      <c r="N1107" s="1" t="s">
        <v>38</v>
      </c>
      <c r="O1107" s="26" t="s">
        <v>42</v>
      </c>
      <c r="P1107" s="27">
        <v>3.2258064516129035</v>
      </c>
      <c r="Q1107" s="33">
        <v>0.33333333333333331</v>
      </c>
      <c r="R1107" s="55" t="s">
        <v>37</v>
      </c>
      <c r="S1107" s="26" t="s">
        <v>38</v>
      </c>
      <c r="T1107" s="26" t="s">
        <v>39</v>
      </c>
      <c r="U1107" s="27">
        <v>0.95238095238095233</v>
      </c>
      <c r="V1107" s="33">
        <v>0.33333333333333331</v>
      </c>
      <c r="W1107" s="26" t="s">
        <v>408</v>
      </c>
      <c r="X1107" s="26" t="s">
        <v>409</v>
      </c>
      <c r="Y1107" s="26" t="s">
        <v>39</v>
      </c>
      <c r="Z1107" s="27">
        <v>0.94339622641509424</v>
      </c>
      <c r="AA1107" s="33">
        <v>0.33333333333333331</v>
      </c>
      <c r="AB1107" s="26" t="s">
        <v>411</v>
      </c>
      <c r="AC1107" s="26" t="s">
        <v>38</v>
      </c>
      <c r="AD1107" s="26" t="s">
        <v>42</v>
      </c>
      <c r="AE1107" s="27">
        <v>2.5</v>
      </c>
      <c r="AF1107" s="36">
        <v>0.33333333333333331</v>
      </c>
      <c r="AG1107" s="31">
        <v>0</v>
      </c>
      <c r="AH1107" t="s">
        <v>44</v>
      </c>
    </row>
    <row r="1108" spans="1:34">
      <c r="A1108" s="15" t="s">
        <v>1176</v>
      </c>
      <c r="B1108" s="8" t="s">
        <v>1135</v>
      </c>
      <c r="C1108" s="41" t="s">
        <v>37</v>
      </c>
      <c r="D1108" s="1" t="s">
        <v>38</v>
      </c>
      <c r="E1108" s="26" t="s">
        <v>39</v>
      </c>
      <c r="F1108" s="27">
        <v>0.95238095238095233</v>
      </c>
      <c r="G1108" s="33">
        <v>0.33333333333333331</v>
      </c>
      <c r="H1108" s="41" t="s">
        <v>408</v>
      </c>
      <c r="I1108" s="1" t="s">
        <v>409</v>
      </c>
      <c r="J1108" s="26" t="s">
        <v>39</v>
      </c>
      <c r="K1108" s="27">
        <v>0.94339622641509424</v>
      </c>
      <c r="L1108" s="33">
        <v>0.33333333333333331</v>
      </c>
      <c r="M1108" s="41" t="s">
        <v>410</v>
      </c>
      <c r="N1108" s="1" t="s">
        <v>38</v>
      </c>
      <c r="O1108" s="26" t="s">
        <v>42</v>
      </c>
      <c r="P1108" s="27">
        <v>3.2258064516129035</v>
      </c>
      <c r="Q1108" s="33">
        <v>0.33333333333333331</v>
      </c>
      <c r="R1108" s="55" t="s">
        <v>37</v>
      </c>
      <c r="S1108" s="26" t="s">
        <v>38</v>
      </c>
      <c r="T1108" s="26" t="s">
        <v>39</v>
      </c>
      <c r="U1108" s="27">
        <v>0.95238095238095233</v>
      </c>
      <c r="V1108" s="33">
        <v>0.33333333333333331</v>
      </c>
      <c r="W1108" s="26" t="s">
        <v>408</v>
      </c>
      <c r="X1108" s="26" t="s">
        <v>409</v>
      </c>
      <c r="Y1108" s="26" t="s">
        <v>39</v>
      </c>
      <c r="Z1108" s="27">
        <v>0.94339622641509424</v>
      </c>
      <c r="AA1108" s="33">
        <v>0.33333333333333331</v>
      </c>
      <c r="AB1108" s="26" t="s">
        <v>411</v>
      </c>
      <c r="AC1108" s="26" t="s">
        <v>38</v>
      </c>
      <c r="AD1108" s="26" t="s">
        <v>42</v>
      </c>
      <c r="AE1108" s="27">
        <v>2.5</v>
      </c>
      <c r="AF1108" s="36">
        <v>0.33333333333333331</v>
      </c>
      <c r="AG1108" s="31">
        <v>0</v>
      </c>
      <c r="AH1108" t="s">
        <v>44</v>
      </c>
    </row>
    <row r="1109" spans="1:34">
      <c r="A1109" s="15" t="s">
        <v>1177</v>
      </c>
      <c r="B1109" s="8" t="s">
        <v>1135</v>
      </c>
      <c r="C1109" s="41" t="s">
        <v>37</v>
      </c>
      <c r="D1109" s="1" t="s">
        <v>38</v>
      </c>
      <c r="E1109" s="26" t="s">
        <v>39</v>
      </c>
      <c r="F1109" s="27">
        <v>0.95238095238095233</v>
      </c>
      <c r="G1109" s="33">
        <v>0.33333333333333331</v>
      </c>
      <c r="H1109" s="41" t="s">
        <v>408</v>
      </c>
      <c r="I1109" s="1" t="s">
        <v>409</v>
      </c>
      <c r="J1109" s="26" t="s">
        <v>39</v>
      </c>
      <c r="K1109" s="27">
        <v>0.94339622641509424</v>
      </c>
      <c r="L1109" s="33">
        <v>0.33333333333333331</v>
      </c>
      <c r="M1109" s="41" t="s">
        <v>410</v>
      </c>
      <c r="N1109" s="1" t="s">
        <v>38</v>
      </c>
      <c r="O1109" s="26" t="s">
        <v>42</v>
      </c>
      <c r="P1109" s="27">
        <v>3.2258064516129035</v>
      </c>
      <c r="Q1109" s="33">
        <v>0.33333333333333331</v>
      </c>
      <c r="R1109" s="55" t="s">
        <v>37</v>
      </c>
      <c r="S1109" s="26" t="s">
        <v>38</v>
      </c>
      <c r="T1109" s="26" t="s">
        <v>39</v>
      </c>
      <c r="U1109" s="27">
        <v>0.95238095238095233</v>
      </c>
      <c r="V1109" s="33">
        <v>0.33333333333333331</v>
      </c>
      <c r="W1109" s="26" t="s">
        <v>408</v>
      </c>
      <c r="X1109" s="26" t="s">
        <v>409</v>
      </c>
      <c r="Y1109" s="26" t="s">
        <v>39</v>
      </c>
      <c r="Z1109" s="27">
        <v>0.94339622641509424</v>
      </c>
      <c r="AA1109" s="33">
        <v>0.33333333333333331</v>
      </c>
      <c r="AB1109" s="26" t="s">
        <v>411</v>
      </c>
      <c r="AC1109" s="26" t="s">
        <v>38</v>
      </c>
      <c r="AD1109" s="26" t="s">
        <v>42</v>
      </c>
      <c r="AE1109" s="27">
        <v>2.5</v>
      </c>
      <c r="AF1109" s="36">
        <v>0.33333333333333331</v>
      </c>
      <c r="AG1109" s="31">
        <v>1</v>
      </c>
      <c r="AH1109" s="1" t="s">
        <v>73</v>
      </c>
    </row>
    <row r="1110" spans="1:34">
      <c r="A1110" s="15" t="s">
        <v>1178</v>
      </c>
      <c r="B1110" s="8" t="s">
        <v>1135</v>
      </c>
      <c r="C1110" s="41" t="s">
        <v>37</v>
      </c>
      <c r="D1110" s="1" t="s">
        <v>38</v>
      </c>
      <c r="E1110" s="26" t="s">
        <v>39</v>
      </c>
      <c r="F1110" s="27">
        <v>0.95238095238095233</v>
      </c>
      <c r="G1110" s="33">
        <v>0.33333333333333331</v>
      </c>
      <c r="H1110" s="41" t="s">
        <v>408</v>
      </c>
      <c r="I1110" s="1" t="s">
        <v>409</v>
      </c>
      <c r="J1110" s="26" t="s">
        <v>39</v>
      </c>
      <c r="K1110" s="27">
        <v>0.94339622641509424</v>
      </c>
      <c r="L1110" s="33">
        <v>0.33333333333333331</v>
      </c>
      <c r="M1110" s="41" t="s">
        <v>410</v>
      </c>
      <c r="N1110" s="1" t="s">
        <v>38</v>
      </c>
      <c r="O1110" s="26" t="s">
        <v>42</v>
      </c>
      <c r="P1110" s="27">
        <v>3.2258064516129035</v>
      </c>
      <c r="Q1110" s="33">
        <v>0.33333333333333331</v>
      </c>
      <c r="R1110" s="55" t="s">
        <v>37</v>
      </c>
      <c r="S1110" s="26" t="s">
        <v>38</v>
      </c>
      <c r="T1110" s="26" t="s">
        <v>39</v>
      </c>
      <c r="U1110" s="27">
        <v>0.95238095238095233</v>
      </c>
      <c r="V1110" s="33">
        <v>0.33333333333333331</v>
      </c>
      <c r="W1110" s="26" t="s">
        <v>408</v>
      </c>
      <c r="X1110" s="26" t="s">
        <v>409</v>
      </c>
      <c r="Y1110" s="26" t="s">
        <v>39</v>
      </c>
      <c r="Z1110" s="27">
        <v>0.94339622641509424</v>
      </c>
      <c r="AA1110" s="33">
        <v>0.33333333333333331</v>
      </c>
      <c r="AB1110" s="26" t="s">
        <v>411</v>
      </c>
      <c r="AC1110" s="26" t="s">
        <v>38</v>
      </c>
      <c r="AD1110" s="26" t="s">
        <v>42</v>
      </c>
      <c r="AE1110" s="27">
        <v>2.5</v>
      </c>
      <c r="AF1110" s="36">
        <v>0.33333333333333331</v>
      </c>
      <c r="AG1110" s="31">
        <v>1</v>
      </c>
      <c r="AH1110" s="1" t="s">
        <v>73</v>
      </c>
    </row>
    <row r="1111" spans="1:34">
      <c r="A1111" s="15" t="s">
        <v>1179</v>
      </c>
      <c r="B1111" s="8" t="s">
        <v>1135</v>
      </c>
      <c r="C1111" s="41" t="s">
        <v>37</v>
      </c>
      <c r="D1111" s="1" t="s">
        <v>38</v>
      </c>
      <c r="E1111" s="26" t="s">
        <v>39</v>
      </c>
      <c r="F1111" s="27">
        <v>0.95238095238095233</v>
      </c>
      <c r="G1111" s="33">
        <v>0.33333333333333331</v>
      </c>
      <c r="H1111" s="41" t="s">
        <v>408</v>
      </c>
      <c r="I1111" s="1" t="s">
        <v>409</v>
      </c>
      <c r="J1111" s="26" t="s">
        <v>39</v>
      </c>
      <c r="K1111" s="27">
        <v>0.94339622641509424</v>
      </c>
      <c r="L1111" s="33">
        <v>0.33333333333333331</v>
      </c>
      <c r="M1111" s="41" t="s">
        <v>410</v>
      </c>
      <c r="N1111" s="1" t="s">
        <v>38</v>
      </c>
      <c r="O1111" s="26" t="s">
        <v>42</v>
      </c>
      <c r="P1111" s="27">
        <v>3.2258064516129035</v>
      </c>
      <c r="Q1111" s="33">
        <v>0.33333333333333331</v>
      </c>
      <c r="R1111" s="55" t="s">
        <v>37</v>
      </c>
      <c r="S1111" s="26" t="s">
        <v>38</v>
      </c>
      <c r="T1111" s="26" t="s">
        <v>39</v>
      </c>
      <c r="U1111" s="27">
        <v>0.95238095238095233</v>
      </c>
      <c r="V1111" s="33">
        <v>0.33333333333333331</v>
      </c>
      <c r="W1111" s="26" t="s">
        <v>408</v>
      </c>
      <c r="X1111" s="26" t="s">
        <v>409</v>
      </c>
      <c r="Y1111" s="26" t="s">
        <v>39</v>
      </c>
      <c r="Z1111" s="27">
        <v>0.94339622641509424</v>
      </c>
      <c r="AA1111" s="33">
        <v>0.33333333333333331</v>
      </c>
      <c r="AB1111" s="26" t="s">
        <v>411</v>
      </c>
      <c r="AC1111" s="26" t="s">
        <v>38</v>
      </c>
      <c r="AD1111" s="26" t="s">
        <v>42</v>
      </c>
      <c r="AE1111" s="27">
        <v>2.5</v>
      </c>
      <c r="AF1111" s="36">
        <v>0.33333333333333331</v>
      </c>
      <c r="AG1111" s="31">
        <v>1</v>
      </c>
      <c r="AH1111" s="1" t="s">
        <v>73</v>
      </c>
    </row>
    <row r="1112" spans="1:34">
      <c r="A1112" s="15" t="s">
        <v>1180</v>
      </c>
      <c r="B1112" s="8" t="s">
        <v>1135</v>
      </c>
      <c r="C1112" s="41" t="s">
        <v>37</v>
      </c>
      <c r="D1112" s="1" t="s">
        <v>38</v>
      </c>
      <c r="E1112" s="26" t="s">
        <v>39</v>
      </c>
      <c r="F1112" s="27">
        <v>0.95238095238095233</v>
      </c>
      <c r="G1112" s="33">
        <v>0.33333333333333331</v>
      </c>
      <c r="H1112" s="41" t="s">
        <v>408</v>
      </c>
      <c r="I1112" s="1" t="s">
        <v>409</v>
      </c>
      <c r="J1112" s="26" t="s">
        <v>39</v>
      </c>
      <c r="K1112" s="27">
        <v>0.94339622641509424</v>
      </c>
      <c r="L1112" s="33">
        <v>0.33333333333333331</v>
      </c>
      <c r="M1112" s="41" t="s">
        <v>410</v>
      </c>
      <c r="N1112" s="1" t="s">
        <v>38</v>
      </c>
      <c r="O1112" s="26" t="s">
        <v>42</v>
      </c>
      <c r="P1112" s="27">
        <v>3.2258064516129035</v>
      </c>
      <c r="Q1112" s="33">
        <v>0.33333333333333331</v>
      </c>
      <c r="R1112" s="55" t="s">
        <v>37</v>
      </c>
      <c r="S1112" s="26" t="s">
        <v>38</v>
      </c>
      <c r="T1112" s="26" t="s">
        <v>39</v>
      </c>
      <c r="U1112" s="27">
        <v>0.95238095238095233</v>
      </c>
      <c r="V1112" s="33">
        <v>0.33333333333333331</v>
      </c>
      <c r="W1112" s="26" t="s">
        <v>408</v>
      </c>
      <c r="X1112" s="26" t="s">
        <v>409</v>
      </c>
      <c r="Y1112" s="26" t="s">
        <v>39</v>
      </c>
      <c r="Z1112" s="27">
        <v>0.94339622641509424</v>
      </c>
      <c r="AA1112" s="33">
        <v>0.33333333333333331</v>
      </c>
      <c r="AB1112" s="26" t="s">
        <v>411</v>
      </c>
      <c r="AC1112" s="26" t="s">
        <v>38</v>
      </c>
      <c r="AD1112" s="26" t="s">
        <v>42</v>
      </c>
      <c r="AE1112" s="27">
        <v>2.5</v>
      </c>
      <c r="AF1112" s="36">
        <v>0.33333333333333331</v>
      </c>
      <c r="AG1112" s="31">
        <v>1</v>
      </c>
      <c r="AH1112" s="1" t="s">
        <v>73</v>
      </c>
    </row>
    <row r="1113" spans="1:34">
      <c r="A1113" s="15" t="s">
        <v>1181</v>
      </c>
      <c r="B1113" s="8" t="s">
        <v>1135</v>
      </c>
      <c r="C1113" s="41" t="s">
        <v>37</v>
      </c>
      <c r="D1113" s="1" t="s">
        <v>38</v>
      </c>
      <c r="E1113" s="26" t="s">
        <v>39</v>
      </c>
      <c r="F1113" s="27">
        <v>0.95238095238095233</v>
      </c>
      <c r="G1113" s="33">
        <v>0.33333333333333331</v>
      </c>
      <c r="H1113" s="41" t="s">
        <v>408</v>
      </c>
      <c r="I1113" s="1" t="s">
        <v>409</v>
      </c>
      <c r="J1113" s="26" t="s">
        <v>39</v>
      </c>
      <c r="K1113" s="27">
        <v>0.94339622641509424</v>
      </c>
      <c r="L1113" s="33">
        <v>0.33333333333333331</v>
      </c>
      <c r="M1113" s="41" t="s">
        <v>410</v>
      </c>
      <c r="N1113" s="1" t="s">
        <v>38</v>
      </c>
      <c r="O1113" s="26" t="s">
        <v>42</v>
      </c>
      <c r="P1113" s="27">
        <v>3.2258064516129035</v>
      </c>
      <c r="Q1113" s="33">
        <v>0.33333333333333331</v>
      </c>
      <c r="R1113" s="55" t="s">
        <v>37</v>
      </c>
      <c r="S1113" s="26" t="s">
        <v>38</v>
      </c>
      <c r="T1113" s="26" t="s">
        <v>39</v>
      </c>
      <c r="U1113" s="27">
        <v>0.95238095238095233</v>
      </c>
      <c r="V1113" s="33">
        <v>0.33333333333333331</v>
      </c>
      <c r="W1113" s="26" t="s">
        <v>408</v>
      </c>
      <c r="X1113" s="26" t="s">
        <v>409</v>
      </c>
      <c r="Y1113" s="26" t="s">
        <v>39</v>
      </c>
      <c r="Z1113" s="27">
        <v>0.94339622641509424</v>
      </c>
      <c r="AA1113" s="33">
        <v>0.33333333333333331</v>
      </c>
      <c r="AB1113" s="26" t="s">
        <v>411</v>
      </c>
      <c r="AC1113" s="26" t="s">
        <v>38</v>
      </c>
      <c r="AD1113" s="26" t="s">
        <v>42</v>
      </c>
      <c r="AE1113" s="27">
        <v>2.5</v>
      </c>
      <c r="AF1113" s="36">
        <v>0.33333333333333331</v>
      </c>
      <c r="AG1113" s="31">
        <v>1</v>
      </c>
      <c r="AH1113" s="1" t="s">
        <v>73</v>
      </c>
    </row>
    <row r="1114" spans="1:34">
      <c r="A1114" s="15" t="s">
        <v>1182</v>
      </c>
      <c r="B1114" s="8" t="s">
        <v>1135</v>
      </c>
      <c r="C1114" s="41" t="s">
        <v>37</v>
      </c>
      <c r="D1114" s="1" t="s">
        <v>38</v>
      </c>
      <c r="E1114" s="26" t="s">
        <v>39</v>
      </c>
      <c r="F1114" s="27">
        <v>0.95238095238095233</v>
      </c>
      <c r="G1114" s="33">
        <v>0.33333333333333331</v>
      </c>
      <c r="H1114" s="41" t="s">
        <v>408</v>
      </c>
      <c r="I1114" s="1" t="s">
        <v>409</v>
      </c>
      <c r="J1114" s="26" t="s">
        <v>39</v>
      </c>
      <c r="K1114" s="27">
        <v>0.94339622641509424</v>
      </c>
      <c r="L1114" s="33">
        <v>0.33333333333333331</v>
      </c>
      <c r="M1114" s="41" t="s">
        <v>410</v>
      </c>
      <c r="N1114" s="1" t="s">
        <v>38</v>
      </c>
      <c r="O1114" s="26" t="s">
        <v>42</v>
      </c>
      <c r="P1114" s="27">
        <v>3.2258064516129035</v>
      </c>
      <c r="Q1114" s="33">
        <v>0.33333333333333331</v>
      </c>
      <c r="R1114" s="55" t="s">
        <v>37</v>
      </c>
      <c r="S1114" s="26" t="s">
        <v>38</v>
      </c>
      <c r="T1114" s="26" t="s">
        <v>39</v>
      </c>
      <c r="U1114" s="27">
        <v>0.95238095238095233</v>
      </c>
      <c r="V1114" s="33">
        <v>0.33333333333333331</v>
      </c>
      <c r="W1114" s="26" t="s">
        <v>408</v>
      </c>
      <c r="X1114" s="26" t="s">
        <v>409</v>
      </c>
      <c r="Y1114" s="26" t="s">
        <v>39</v>
      </c>
      <c r="Z1114" s="27">
        <v>0.94339622641509424</v>
      </c>
      <c r="AA1114" s="33">
        <v>0.33333333333333331</v>
      </c>
      <c r="AB1114" s="26" t="s">
        <v>411</v>
      </c>
      <c r="AC1114" s="26" t="s">
        <v>38</v>
      </c>
      <c r="AD1114" s="26" t="s">
        <v>42</v>
      </c>
      <c r="AE1114" s="27">
        <v>2.5</v>
      </c>
      <c r="AF1114" s="36">
        <v>0.33333333333333331</v>
      </c>
      <c r="AG1114" s="31">
        <v>1</v>
      </c>
      <c r="AH1114" s="1" t="s">
        <v>73</v>
      </c>
    </row>
    <row r="1115" spans="1:34">
      <c r="A1115" s="15" t="s">
        <v>1183</v>
      </c>
      <c r="B1115" s="8" t="s">
        <v>1135</v>
      </c>
      <c r="C1115" s="41" t="s">
        <v>37</v>
      </c>
      <c r="D1115" s="1" t="s">
        <v>38</v>
      </c>
      <c r="E1115" s="26" t="s">
        <v>39</v>
      </c>
      <c r="F1115" s="27">
        <v>0.95238095238095233</v>
      </c>
      <c r="G1115" s="33">
        <v>0.33333333333333331</v>
      </c>
      <c r="H1115" s="41" t="s">
        <v>408</v>
      </c>
      <c r="I1115" s="1" t="s">
        <v>409</v>
      </c>
      <c r="J1115" s="26" t="s">
        <v>39</v>
      </c>
      <c r="K1115" s="27">
        <v>0.94339622641509424</v>
      </c>
      <c r="L1115" s="33">
        <v>0.33333333333333331</v>
      </c>
      <c r="M1115" s="41" t="s">
        <v>410</v>
      </c>
      <c r="N1115" s="1" t="s">
        <v>38</v>
      </c>
      <c r="O1115" s="26" t="s">
        <v>42</v>
      </c>
      <c r="P1115" s="27">
        <v>3.2258064516129035</v>
      </c>
      <c r="Q1115" s="33">
        <v>0.33333333333333331</v>
      </c>
      <c r="R1115" s="55" t="s">
        <v>37</v>
      </c>
      <c r="S1115" s="26" t="s">
        <v>38</v>
      </c>
      <c r="T1115" s="26" t="s">
        <v>39</v>
      </c>
      <c r="U1115" s="27">
        <v>0.95238095238095233</v>
      </c>
      <c r="V1115" s="33">
        <v>0.33333333333333331</v>
      </c>
      <c r="W1115" s="26" t="s">
        <v>408</v>
      </c>
      <c r="X1115" s="26" t="s">
        <v>409</v>
      </c>
      <c r="Y1115" s="26" t="s">
        <v>39</v>
      </c>
      <c r="Z1115" s="27">
        <v>0.94339622641509424</v>
      </c>
      <c r="AA1115" s="33">
        <v>0.33333333333333331</v>
      </c>
      <c r="AB1115" s="26" t="s">
        <v>411</v>
      </c>
      <c r="AC1115" s="26" t="s">
        <v>38</v>
      </c>
      <c r="AD1115" s="26" t="s">
        <v>42</v>
      </c>
      <c r="AE1115" s="27">
        <v>2.5</v>
      </c>
      <c r="AF1115" s="36">
        <v>0.33333333333333331</v>
      </c>
      <c r="AG1115" s="31">
        <v>1</v>
      </c>
      <c r="AH1115" s="1" t="s">
        <v>73</v>
      </c>
    </row>
    <row r="1116" spans="1:34">
      <c r="A1116" s="15" t="s">
        <v>1184</v>
      </c>
      <c r="B1116" s="8" t="s">
        <v>1135</v>
      </c>
      <c r="C1116" s="41" t="s">
        <v>37</v>
      </c>
      <c r="D1116" s="1" t="s">
        <v>38</v>
      </c>
      <c r="E1116" s="26" t="s">
        <v>39</v>
      </c>
      <c r="F1116" s="27">
        <v>0.95238095238095233</v>
      </c>
      <c r="G1116" s="33">
        <v>0.33333333333333331</v>
      </c>
      <c r="H1116" s="41" t="s">
        <v>408</v>
      </c>
      <c r="I1116" s="1" t="s">
        <v>409</v>
      </c>
      <c r="J1116" s="26" t="s">
        <v>39</v>
      </c>
      <c r="K1116" s="27">
        <v>0.94339622641509424</v>
      </c>
      <c r="L1116" s="33">
        <v>0.33333333333333331</v>
      </c>
      <c r="M1116" s="41" t="s">
        <v>410</v>
      </c>
      <c r="N1116" s="1" t="s">
        <v>38</v>
      </c>
      <c r="O1116" s="26" t="s">
        <v>42</v>
      </c>
      <c r="P1116" s="27">
        <v>3.2258064516129035</v>
      </c>
      <c r="Q1116" s="33">
        <v>0.33333333333333331</v>
      </c>
      <c r="R1116" s="55" t="s">
        <v>37</v>
      </c>
      <c r="S1116" s="26" t="s">
        <v>38</v>
      </c>
      <c r="T1116" s="26" t="s">
        <v>39</v>
      </c>
      <c r="U1116" s="27">
        <v>0.95238095238095233</v>
      </c>
      <c r="V1116" s="33">
        <v>0.33333333333333331</v>
      </c>
      <c r="W1116" s="26" t="s">
        <v>408</v>
      </c>
      <c r="X1116" s="26" t="s">
        <v>409</v>
      </c>
      <c r="Y1116" s="26" t="s">
        <v>39</v>
      </c>
      <c r="Z1116" s="27">
        <v>0.94339622641509424</v>
      </c>
      <c r="AA1116" s="33">
        <v>0.33333333333333331</v>
      </c>
      <c r="AB1116" s="26" t="s">
        <v>411</v>
      </c>
      <c r="AC1116" s="26" t="s">
        <v>38</v>
      </c>
      <c r="AD1116" s="26" t="s">
        <v>42</v>
      </c>
      <c r="AE1116" s="27">
        <v>2.5</v>
      </c>
      <c r="AF1116" s="36">
        <v>0.33333333333333331</v>
      </c>
      <c r="AG1116" s="31">
        <v>1</v>
      </c>
      <c r="AH1116" s="1" t="s">
        <v>73</v>
      </c>
    </row>
    <row r="1117" spans="1:34">
      <c r="A1117" s="15" t="s">
        <v>1185</v>
      </c>
      <c r="B1117" s="8" t="s">
        <v>1135</v>
      </c>
      <c r="C1117" s="41" t="s">
        <v>37</v>
      </c>
      <c r="D1117" s="1" t="s">
        <v>38</v>
      </c>
      <c r="E1117" s="26" t="s">
        <v>39</v>
      </c>
      <c r="F1117" s="27">
        <v>0.95238095238095233</v>
      </c>
      <c r="G1117" s="33">
        <v>0.33333333333333331</v>
      </c>
      <c r="H1117" s="41" t="s">
        <v>408</v>
      </c>
      <c r="I1117" s="1" t="s">
        <v>409</v>
      </c>
      <c r="J1117" s="26" t="s">
        <v>39</v>
      </c>
      <c r="K1117" s="27">
        <v>0.94339622641509424</v>
      </c>
      <c r="L1117" s="33">
        <v>0.33333333333333331</v>
      </c>
      <c r="M1117" s="41" t="s">
        <v>410</v>
      </c>
      <c r="N1117" s="1" t="s">
        <v>38</v>
      </c>
      <c r="O1117" s="26" t="s">
        <v>42</v>
      </c>
      <c r="P1117" s="27">
        <v>3.2258064516129035</v>
      </c>
      <c r="Q1117" s="33">
        <v>0.33333333333333331</v>
      </c>
      <c r="R1117" s="55" t="s">
        <v>37</v>
      </c>
      <c r="S1117" s="26" t="s">
        <v>38</v>
      </c>
      <c r="T1117" s="26" t="s">
        <v>39</v>
      </c>
      <c r="U1117" s="27">
        <v>0.95238095238095233</v>
      </c>
      <c r="V1117" s="33">
        <v>0.33333333333333331</v>
      </c>
      <c r="W1117" s="26" t="s">
        <v>408</v>
      </c>
      <c r="X1117" s="26" t="s">
        <v>409</v>
      </c>
      <c r="Y1117" s="26" t="s">
        <v>39</v>
      </c>
      <c r="Z1117" s="27">
        <v>0.94339622641509424</v>
      </c>
      <c r="AA1117" s="33">
        <v>0.33333333333333331</v>
      </c>
      <c r="AB1117" s="26" t="s">
        <v>411</v>
      </c>
      <c r="AC1117" s="26" t="s">
        <v>38</v>
      </c>
      <c r="AD1117" s="26" t="s">
        <v>42</v>
      </c>
      <c r="AE1117" s="27">
        <v>2.5</v>
      </c>
      <c r="AF1117" s="36">
        <v>0.33333333333333331</v>
      </c>
      <c r="AG1117" s="31">
        <v>1</v>
      </c>
      <c r="AH1117" s="1" t="s">
        <v>73</v>
      </c>
    </row>
    <row r="1118" spans="1:34">
      <c r="A1118" s="15" t="s">
        <v>1186</v>
      </c>
      <c r="B1118" s="8" t="s">
        <v>1135</v>
      </c>
      <c r="C1118" s="41" t="s">
        <v>37</v>
      </c>
      <c r="D1118" s="1" t="s">
        <v>38</v>
      </c>
      <c r="E1118" s="26" t="s">
        <v>39</v>
      </c>
      <c r="F1118" s="27">
        <v>0.95238095238095233</v>
      </c>
      <c r="G1118" s="33">
        <v>0.33333333333333331</v>
      </c>
      <c r="H1118" s="41" t="s">
        <v>408</v>
      </c>
      <c r="I1118" s="1" t="s">
        <v>409</v>
      </c>
      <c r="J1118" s="26" t="s">
        <v>39</v>
      </c>
      <c r="K1118" s="27">
        <v>0.94339622641509424</v>
      </c>
      <c r="L1118" s="33">
        <v>0.33333333333333331</v>
      </c>
      <c r="M1118" s="41" t="s">
        <v>410</v>
      </c>
      <c r="N1118" s="1" t="s">
        <v>38</v>
      </c>
      <c r="O1118" s="26" t="s">
        <v>42</v>
      </c>
      <c r="P1118" s="27">
        <v>3.2258064516129035</v>
      </c>
      <c r="Q1118" s="33">
        <v>0.33333333333333331</v>
      </c>
      <c r="R1118" s="55" t="s">
        <v>37</v>
      </c>
      <c r="S1118" s="26" t="s">
        <v>38</v>
      </c>
      <c r="T1118" s="26" t="s">
        <v>39</v>
      </c>
      <c r="U1118" s="27">
        <v>0.95238095238095233</v>
      </c>
      <c r="V1118" s="33">
        <v>0.33333333333333331</v>
      </c>
      <c r="W1118" s="26" t="s">
        <v>408</v>
      </c>
      <c r="X1118" s="26" t="s">
        <v>409</v>
      </c>
      <c r="Y1118" s="26" t="s">
        <v>39</v>
      </c>
      <c r="Z1118" s="27">
        <v>0.94339622641509424</v>
      </c>
      <c r="AA1118" s="33">
        <v>0.33333333333333331</v>
      </c>
      <c r="AB1118" s="26" t="s">
        <v>411</v>
      </c>
      <c r="AC1118" s="26" t="s">
        <v>38</v>
      </c>
      <c r="AD1118" s="26" t="s">
        <v>42</v>
      </c>
      <c r="AE1118" s="27">
        <v>2.5</v>
      </c>
      <c r="AF1118" s="36">
        <v>0.33333333333333331</v>
      </c>
      <c r="AG1118" s="31">
        <v>1</v>
      </c>
      <c r="AH1118" s="1" t="s">
        <v>73</v>
      </c>
    </row>
    <row r="1119" spans="1:34">
      <c r="A1119" s="15" t="s">
        <v>1187</v>
      </c>
      <c r="B1119" s="8" t="s">
        <v>1135</v>
      </c>
      <c r="C1119" s="41" t="s">
        <v>37</v>
      </c>
      <c r="D1119" s="1" t="s">
        <v>38</v>
      </c>
      <c r="E1119" s="26" t="s">
        <v>39</v>
      </c>
      <c r="F1119" s="27">
        <v>0.95238095238095233</v>
      </c>
      <c r="G1119" s="33">
        <v>0.33333333333333331</v>
      </c>
      <c r="H1119" s="41" t="s">
        <v>408</v>
      </c>
      <c r="I1119" s="1" t="s">
        <v>409</v>
      </c>
      <c r="J1119" s="26" t="s">
        <v>39</v>
      </c>
      <c r="K1119" s="27">
        <v>0.94339622641509424</v>
      </c>
      <c r="L1119" s="33">
        <v>0.33333333333333331</v>
      </c>
      <c r="M1119" s="41" t="s">
        <v>410</v>
      </c>
      <c r="N1119" s="1" t="s">
        <v>38</v>
      </c>
      <c r="O1119" s="26" t="s">
        <v>42</v>
      </c>
      <c r="P1119" s="27">
        <v>3.2258064516129035</v>
      </c>
      <c r="Q1119" s="33">
        <v>0.33333333333333331</v>
      </c>
      <c r="R1119" s="55" t="s">
        <v>37</v>
      </c>
      <c r="S1119" s="26" t="s">
        <v>38</v>
      </c>
      <c r="T1119" s="26" t="s">
        <v>39</v>
      </c>
      <c r="U1119" s="27">
        <v>0.95238095238095233</v>
      </c>
      <c r="V1119" s="33">
        <v>0.33333333333333331</v>
      </c>
      <c r="W1119" s="26" t="s">
        <v>408</v>
      </c>
      <c r="X1119" s="26" t="s">
        <v>409</v>
      </c>
      <c r="Y1119" s="26" t="s">
        <v>39</v>
      </c>
      <c r="Z1119" s="27">
        <v>0.94339622641509424</v>
      </c>
      <c r="AA1119" s="33">
        <v>0.33333333333333331</v>
      </c>
      <c r="AB1119" s="26" t="s">
        <v>411</v>
      </c>
      <c r="AC1119" s="26" t="s">
        <v>38</v>
      </c>
      <c r="AD1119" s="26" t="s">
        <v>42</v>
      </c>
      <c r="AE1119" s="27">
        <v>2.5</v>
      </c>
      <c r="AF1119" s="36">
        <v>0.33333333333333331</v>
      </c>
      <c r="AG1119" s="31">
        <v>1</v>
      </c>
      <c r="AH1119" s="1" t="s">
        <v>73</v>
      </c>
    </row>
    <row r="1120" spans="1:34">
      <c r="A1120" s="15" t="s">
        <v>1188</v>
      </c>
      <c r="B1120" s="8" t="s">
        <v>1135</v>
      </c>
      <c r="C1120" s="41" t="s">
        <v>37</v>
      </c>
      <c r="D1120" s="1" t="s">
        <v>38</v>
      </c>
      <c r="E1120" s="26" t="s">
        <v>39</v>
      </c>
      <c r="F1120" s="27">
        <v>0.95238095238095233</v>
      </c>
      <c r="G1120" s="33">
        <v>0.33333333333333331</v>
      </c>
      <c r="H1120" s="41" t="s">
        <v>408</v>
      </c>
      <c r="I1120" s="1" t="s">
        <v>409</v>
      </c>
      <c r="J1120" s="26" t="s">
        <v>39</v>
      </c>
      <c r="K1120" s="27">
        <v>0.94339622641509424</v>
      </c>
      <c r="L1120" s="33">
        <v>0.33333333333333331</v>
      </c>
      <c r="M1120" s="41" t="s">
        <v>410</v>
      </c>
      <c r="N1120" s="1" t="s">
        <v>38</v>
      </c>
      <c r="O1120" s="26" t="s">
        <v>42</v>
      </c>
      <c r="P1120" s="27">
        <v>3.2258064516129035</v>
      </c>
      <c r="Q1120" s="33">
        <v>0.33333333333333331</v>
      </c>
      <c r="R1120" s="55" t="s">
        <v>37</v>
      </c>
      <c r="S1120" s="26" t="s">
        <v>38</v>
      </c>
      <c r="T1120" s="26" t="s">
        <v>39</v>
      </c>
      <c r="U1120" s="27">
        <v>0.95238095238095233</v>
      </c>
      <c r="V1120" s="33">
        <v>0.33333333333333331</v>
      </c>
      <c r="W1120" s="26" t="s">
        <v>408</v>
      </c>
      <c r="X1120" s="26" t="s">
        <v>409</v>
      </c>
      <c r="Y1120" s="26" t="s">
        <v>39</v>
      </c>
      <c r="Z1120" s="27">
        <v>0.94339622641509424</v>
      </c>
      <c r="AA1120" s="33">
        <v>0.33333333333333331</v>
      </c>
      <c r="AB1120" s="26" t="s">
        <v>411</v>
      </c>
      <c r="AC1120" s="26" t="s">
        <v>38</v>
      </c>
      <c r="AD1120" s="26" t="s">
        <v>42</v>
      </c>
      <c r="AE1120" s="27">
        <v>2.5</v>
      </c>
      <c r="AF1120" s="36">
        <v>0.33333333333333331</v>
      </c>
      <c r="AG1120" s="31">
        <v>1</v>
      </c>
      <c r="AH1120" s="1" t="s">
        <v>73</v>
      </c>
    </row>
    <row r="1121" spans="1:34">
      <c r="A1121" s="15" t="s">
        <v>1189</v>
      </c>
      <c r="B1121" s="8" t="s">
        <v>1135</v>
      </c>
      <c r="C1121" s="41" t="s">
        <v>37</v>
      </c>
      <c r="D1121" s="1" t="s">
        <v>38</v>
      </c>
      <c r="E1121" s="26" t="s">
        <v>39</v>
      </c>
      <c r="F1121" s="27">
        <v>0.95238095238095233</v>
      </c>
      <c r="G1121" s="33">
        <v>0.33333333333333331</v>
      </c>
      <c r="H1121" s="41" t="s">
        <v>408</v>
      </c>
      <c r="I1121" s="1" t="s">
        <v>409</v>
      </c>
      <c r="J1121" s="26" t="s">
        <v>39</v>
      </c>
      <c r="K1121" s="27">
        <v>0.94339622641509424</v>
      </c>
      <c r="L1121" s="33">
        <v>0.33333333333333331</v>
      </c>
      <c r="M1121" s="41" t="s">
        <v>410</v>
      </c>
      <c r="N1121" s="1" t="s">
        <v>38</v>
      </c>
      <c r="O1121" s="26" t="s">
        <v>42</v>
      </c>
      <c r="P1121" s="27">
        <v>3.2258064516129035</v>
      </c>
      <c r="Q1121" s="33">
        <v>0.33333333333333331</v>
      </c>
      <c r="R1121" s="55" t="s">
        <v>37</v>
      </c>
      <c r="S1121" s="26" t="s">
        <v>38</v>
      </c>
      <c r="T1121" s="26" t="s">
        <v>39</v>
      </c>
      <c r="U1121" s="27">
        <v>0.95238095238095233</v>
      </c>
      <c r="V1121" s="33">
        <v>0.33333333333333331</v>
      </c>
      <c r="W1121" s="26" t="s">
        <v>408</v>
      </c>
      <c r="X1121" s="26" t="s">
        <v>409</v>
      </c>
      <c r="Y1121" s="26" t="s">
        <v>39</v>
      </c>
      <c r="Z1121" s="27">
        <v>0.94339622641509424</v>
      </c>
      <c r="AA1121" s="33">
        <v>0.33333333333333331</v>
      </c>
      <c r="AB1121" s="26" t="s">
        <v>411</v>
      </c>
      <c r="AC1121" s="26" t="s">
        <v>38</v>
      </c>
      <c r="AD1121" s="26" t="s">
        <v>42</v>
      </c>
      <c r="AE1121" s="27">
        <v>2.5</v>
      </c>
      <c r="AF1121" s="36">
        <v>0.33333333333333331</v>
      </c>
      <c r="AG1121" s="31">
        <v>1</v>
      </c>
      <c r="AH1121" s="1" t="s">
        <v>73</v>
      </c>
    </row>
    <row r="1122" spans="1:34">
      <c r="A1122" s="15" t="s">
        <v>1190</v>
      </c>
      <c r="B1122" s="8" t="s">
        <v>1135</v>
      </c>
      <c r="C1122" s="41" t="s">
        <v>37</v>
      </c>
      <c r="D1122" s="1" t="s">
        <v>38</v>
      </c>
      <c r="E1122" s="26" t="s">
        <v>39</v>
      </c>
      <c r="F1122" s="27">
        <v>0.95238095238095233</v>
      </c>
      <c r="G1122" s="33">
        <v>0.33333333333333331</v>
      </c>
      <c r="H1122" s="41" t="s">
        <v>408</v>
      </c>
      <c r="I1122" s="1" t="s">
        <v>409</v>
      </c>
      <c r="J1122" s="26" t="s">
        <v>39</v>
      </c>
      <c r="K1122" s="27">
        <v>0.94339622641509424</v>
      </c>
      <c r="L1122" s="33">
        <v>0.33333333333333331</v>
      </c>
      <c r="M1122" s="41" t="s">
        <v>410</v>
      </c>
      <c r="N1122" s="1" t="s">
        <v>38</v>
      </c>
      <c r="O1122" s="26" t="s">
        <v>42</v>
      </c>
      <c r="P1122" s="27">
        <v>3.2258064516129035</v>
      </c>
      <c r="Q1122" s="33">
        <v>0.33333333333333331</v>
      </c>
      <c r="R1122" s="55" t="s">
        <v>37</v>
      </c>
      <c r="S1122" s="26" t="s">
        <v>38</v>
      </c>
      <c r="T1122" s="26" t="s">
        <v>39</v>
      </c>
      <c r="U1122" s="27">
        <v>0.95238095238095233</v>
      </c>
      <c r="V1122" s="33">
        <v>0.33333333333333331</v>
      </c>
      <c r="W1122" s="26" t="s">
        <v>408</v>
      </c>
      <c r="X1122" s="26" t="s">
        <v>409</v>
      </c>
      <c r="Y1122" s="26" t="s">
        <v>39</v>
      </c>
      <c r="Z1122" s="27">
        <v>0.94339622641509424</v>
      </c>
      <c r="AA1122" s="33">
        <v>0.33333333333333331</v>
      </c>
      <c r="AB1122" s="26" t="s">
        <v>411</v>
      </c>
      <c r="AC1122" s="26" t="s">
        <v>38</v>
      </c>
      <c r="AD1122" s="26" t="s">
        <v>42</v>
      </c>
      <c r="AE1122" s="27">
        <v>2.5</v>
      </c>
      <c r="AF1122" s="36">
        <v>0.33333333333333331</v>
      </c>
      <c r="AG1122" s="31">
        <v>1</v>
      </c>
      <c r="AH1122" s="1" t="s">
        <v>73</v>
      </c>
    </row>
    <row r="1123" spans="1:34">
      <c r="A1123" s="15" t="s">
        <v>1191</v>
      </c>
      <c r="B1123" s="8" t="s">
        <v>1135</v>
      </c>
      <c r="C1123" s="41" t="s">
        <v>37</v>
      </c>
      <c r="D1123" s="1" t="s">
        <v>38</v>
      </c>
      <c r="E1123" s="26" t="s">
        <v>39</v>
      </c>
      <c r="F1123" s="27">
        <v>0.95238095238095233</v>
      </c>
      <c r="G1123" s="33">
        <v>0.33333333333333331</v>
      </c>
      <c r="H1123" s="41" t="s">
        <v>408</v>
      </c>
      <c r="I1123" s="1" t="s">
        <v>409</v>
      </c>
      <c r="J1123" s="26" t="s">
        <v>39</v>
      </c>
      <c r="K1123" s="27">
        <v>0.94339622641509424</v>
      </c>
      <c r="L1123" s="33">
        <v>0.33333333333333331</v>
      </c>
      <c r="M1123" s="41" t="s">
        <v>410</v>
      </c>
      <c r="N1123" s="1" t="s">
        <v>38</v>
      </c>
      <c r="O1123" s="26" t="s">
        <v>42</v>
      </c>
      <c r="P1123" s="27">
        <v>3.2258064516129035</v>
      </c>
      <c r="Q1123" s="33">
        <v>0.33333333333333331</v>
      </c>
      <c r="R1123" s="55" t="s">
        <v>37</v>
      </c>
      <c r="S1123" s="26" t="s">
        <v>38</v>
      </c>
      <c r="T1123" s="26" t="s">
        <v>39</v>
      </c>
      <c r="U1123" s="27">
        <v>0.95238095238095233</v>
      </c>
      <c r="V1123" s="33">
        <v>0.33333333333333331</v>
      </c>
      <c r="W1123" s="26" t="s">
        <v>408</v>
      </c>
      <c r="X1123" s="26" t="s">
        <v>409</v>
      </c>
      <c r="Y1123" s="26" t="s">
        <v>39</v>
      </c>
      <c r="Z1123" s="27">
        <v>0.94339622641509424</v>
      </c>
      <c r="AA1123" s="33">
        <v>0.33333333333333331</v>
      </c>
      <c r="AB1123" s="26" t="s">
        <v>411</v>
      </c>
      <c r="AC1123" s="26" t="s">
        <v>38</v>
      </c>
      <c r="AD1123" s="26" t="s">
        <v>42</v>
      </c>
      <c r="AE1123" s="27">
        <v>2.5</v>
      </c>
      <c r="AF1123" s="36">
        <v>0.33333333333333331</v>
      </c>
      <c r="AG1123" s="31">
        <v>0</v>
      </c>
      <c r="AH1123" t="s">
        <v>44</v>
      </c>
    </row>
    <row r="1124" spans="1:34">
      <c r="A1124" s="15" t="s">
        <v>1192</v>
      </c>
      <c r="B1124" s="8" t="s">
        <v>1135</v>
      </c>
      <c r="C1124" s="41" t="s">
        <v>37</v>
      </c>
      <c r="D1124" s="1" t="s">
        <v>38</v>
      </c>
      <c r="E1124" s="26" t="s">
        <v>39</v>
      </c>
      <c r="F1124" s="27">
        <v>0.95238095238095233</v>
      </c>
      <c r="G1124" s="33">
        <v>0.33333333333333331</v>
      </c>
      <c r="H1124" s="41" t="s">
        <v>408</v>
      </c>
      <c r="I1124" s="1" t="s">
        <v>409</v>
      </c>
      <c r="J1124" s="26" t="s">
        <v>39</v>
      </c>
      <c r="K1124" s="27">
        <v>0.94339622641509424</v>
      </c>
      <c r="L1124" s="33">
        <v>0.33333333333333331</v>
      </c>
      <c r="M1124" s="41" t="s">
        <v>410</v>
      </c>
      <c r="N1124" s="1" t="s">
        <v>38</v>
      </c>
      <c r="O1124" s="26" t="s">
        <v>42</v>
      </c>
      <c r="P1124" s="27">
        <v>3.2258064516129035</v>
      </c>
      <c r="Q1124" s="33">
        <v>0.33333333333333331</v>
      </c>
      <c r="R1124" s="55" t="s">
        <v>37</v>
      </c>
      <c r="S1124" s="26" t="s">
        <v>38</v>
      </c>
      <c r="T1124" s="26" t="s">
        <v>39</v>
      </c>
      <c r="U1124" s="27">
        <v>0.95238095238095233</v>
      </c>
      <c r="V1124" s="33">
        <v>0.33333333333333331</v>
      </c>
      <c r="W1124" s="26" t="s">
        <v>408</v>
      </c>
      <c r="X1124" s="26" t="s">
        <v>409</v>
      </c>
      <c r="Y1124" s="26" t="s">
        <v>39</v>
      </c>
      <c r="Z1124" s="27">
        <v>0.94339622641509424</v>
      </c>
      <c r="AA1124" s="33">
        <v>0.33333333333333331</v>
      </c>
      <c r="AB1124" s="26" t="s">
        <v>411</v>
      </c>
      <c r="AC1124" s="26" t="s">
        <v>38</v>
      </c>
      <c r="AD1124" s="26" t="s">
        <v>42</v>
      </c>
      <c r="AE1124" s="27">
        <v>2.5</v>
      </c>
      <c r="AF1124" s="36">
        <v>0.33333333333333331</v>
      </c>
      <c r="AG1124" s="31">
        <v>0</v>
      </c>
      <c r="AH1124" t="s">
        <v>44</v>
      </c>
    </row>
    <row r="1125" spans="1:34">
      <c r="A1125" s="15" t="s">
        <v>1193</v>
      </c>
      <c r="B1125" s="8" t="s">
        <v>1135</v>
      </c>
      <c r="C1125" s="41" t="s">
        <v>37</v>
      </c>
      <c r="D1125" s="1" t="s">
        <v>38</v>
      </c>
      <c r="E1125" s="26" t="s">
        <v>39</v>
      </c>
      <c r="F1125" s="27">
        <v>0.95238095238095233</v>
      </c>
      <c r="G1125" s="33">
        <v>0.33333333333333331</v>
      </c>
      <c r="H1125" s="41" t="s">
        <v>408</v>
      </c>
      <c r="I1125" s="1" t="s">
        <v>409</v>
      </c>
      <c r="J1125" s="26" t="s">
        <v>39</v>
      </c>
      <c r="K1125" s="27">
        <v>0.94339622641509424</v>
      </c>
      <c r="L1125" s="33">
        <v>0.33333333333333331</v>
      </c>
      <c r="M1125" s="41" t="s">
        <v>410</v>
      </c>
      <c r="N1125" s="1" t="s">
        <v>38</v>
      </c>
      <c r="O1125" s="26" t="s">
        <v>42</v>
      </c>
      <c r="P1125" s="27">
        <v>3.2258064516129035</v>
      </c>
      <c r="Q1125" s="33">
        <v>0.33333333333333331</v>
      </c>
      <c r="R1125" s="55" t="s">
        <v>37</v>
      </c>
      <c r="S1125" s="26" t="s">
        <v>38</v>
      </c>
      <c r="T1125" s="26" t="s">
        <v>39</v>
      </c>
      <c r="U1125" s="27">
        <v>0.95238095238095233</v>
      </c>
      <c r="V1125" s="33">
        <v>0.33333333333333331</v>
      </c>
      <c r="W1125" s="26" t="s">
        <v>408</v>
      </c>
      <c r="X1125" s="26" t="s">
        <v>409</v>
      </c>
      <c r="Y1125" s="26" t="s">
        <v>39</v>
      </c>
      <c r="Z1125" s="27">
        <v>0.94339622641509424</v>
      </c>
      <c r="AA1125" s="33">
        <v>0.33333333333333331</v>
      </c>
      <c r="AB1125" s="26" t="s">
        <v>411</v>
      </c>
      <c r="AC1125" s="26" t="s">
        <v>38</v>
      </c>
      <c r="AD1125" s="26" t="s">
        <v>42</v>
      </c>
      <c r="AE1125" s="27">
        <v>2.5</v>
      </c>
      <c r="AF1125" s="36">
        <v>0.33333333333333331</v>
      </c>
      <c r="AG1125" s="31">
        <v>0</v>
      </c>
      <c r="AH1125" t="s">
        <v>44</v>
      </c>
    </row>
    <row r="1126" spans="1:34">
      <c r="A1126" s="15" t="s">
        <v>1194</v>
      </c>
      <c r="B1126" s="8" t="s">
        <v>1135</v>
      </c>
      <c r="C1126" s="41" t="s">
        <v>37</v>
      </c>
      <c r="D1126" s="1" t="s">
        <v>38</v>
      </c>
      <c r="E1126" s="26" t="s">
        <v>39</v>
      </c>
      <c r="F1126" s="27">
        <v>0.95238095238095233</v>
      </c>
      <c r="G1126" s="33">
        <v>0.33333333333333331</v>
      </c>
      <c r="H1126" s="41" t="s">
        <v>408</v>
      </c>
      <c r="I1126" s="1" t="s">
        <v>409</v>
      </c>
      <c r="J1126" s="26" t="s">
        <v>39</v>
      </c>
      <c r="K1126" s="27">
        <v>0.94339622641509424</v>
      </c>
      <c r="L1126" s="33">
        <v>0.33333333333333331</v>
      </c>
      <c r="M1126" s="41" t="s">
        <v>410</v>
      </c>
      <c r="N1126" s="1" t="s">
        <v>38</v>
      </c>
      <c r="O1126" s="26" t="s">
        <v>42</v>
      </c>
      <c r="P1126" s="27">
        <v>3.2258064516129035</v>
      </c>
      <c r="Q1126" s="33">
        <v>0.33333333333333331</v>
      </c>
      <c r="R1126" s="55" t="s">
        <v>37</v>
      </c>
      <c r="S1126" s="26" t="s">
        <v>38</v>
      </c>
      <c r="T1126" s="26" t="s">
        <v>39</v>
      </c>
      <c r="U1126" s="27">
        <v>0.95238095238095233</v>
      </c>
      <c r="V1126" s="33">
        <v>0.33333333333333331</v>
      </c>
      <c r="W1126" s="26" t="s">
        <v>408</v>
      </c>
      <c r="X1126" s="26" t="s">
        <v>409</v>
      </c>
      <c r="Y1126" s="26" t="s">
        <v>39</v>
      </c>
      <c r="Z1126" s="27">
        <v>0.94339622641509424</v>
      </c>
      <c r="AA1126" s="33">
        <v>0.33333333333333331</v>
      </c>
      <c r="AB1126" s="26" t="s">
        <v>411</v>
      </c>
      <c r="AC1126" s="26" t="s">
        <v>38</v>
      </c>
      <c r="AD1126" s="26" t="s">
        <v>42</v>
      </c>
      <c r="AE1126" s="27">
        <v>2.5</v>
      </c>
      <c r="AF1126" s="36">
        <v>0.33333333333333331</v>
      </c>
      <c r="AG1126" s="31">
        <v>0</v>
      </c>
      <c r="AH1126" t="s">
        <v>44</v>
      </c>
    </row>
    <row r="1127" spans="1:34">
      <c r="A1127" s="15" t="s">
        <v>1195</v>
      </c>
      <c r="B1127" s="8" t="s">
        <v>1135</v>
      </c>
      <c r="C1127" s="41" t="s">
        <v>37</v>
      </c>
      <c r="D1127" s="1" t="s">
        <v>38</v>
      </c>
      <c r="E1127" s="26" t="s">
        <v>39</v>
      </c>
      <c r="F1127" s="27">
        <v>0.95238095238095233</v>
      </c>
      <c r="G1127" s="33">
        <v>0.33333333333333331</v>
      </c>
      <c r="H1127" s="41" t="s">
        <v>408</v>
      </c>
      <c r="I1127" s="1" t="s">
        <v>409</v>
      </c>
      <c r="J1127" s="26" t="s">
        <v>39</v>
      </c>
      <c r="K1127" s="27">
        <v>0.94339622641509424</v>
      </c>
      <c r="L1127" s="33">
        <v>0.33333333333333331</v>
      </c>
      <c r="M1127" s="41" t="s">
        <v>410</v>
      </c>
      <c r="N1127" s="1" t="s">
        <v>38</v>
      </c>
      <c r="O1127" s="26" t="s">
        <v>42</v>
      </c>
      <c r="P1127" s="27">
        <v>3.2258064516129035</v>
      </c>
      <c r="Q1127" s="33">
        <v>0.33333333333333331</v>
      </c>
      <c r="R1127" s="55" t="s">
        <v>37</v>
      </c>
      <c r="S1127" s="26" t="s">
        <v>38</v>
      </c>
      <c r="T1127" s="26" t="s">
        <v>39</v>
      </c>
      <c r="U1127" s="27">
        <v>0.95238095238095233</v>
      </c>
      <c r="V1127" s="33">
        <v>0.33333333333333331</v>
      </c>
      <c r="W1127" s="26" t="s">
        <v>408</v>
      </c>
      <c r="X1127" s="26" t="s">
        <v>409</v>
      </c>
      <c r="Y1127" s="26" t="s">
        <v>39</v>
      </c>
      <c r="Z1127" s="27">
        <v>0.94339622641509424</v>
      </c>
      <c r="AA1127" s="33">
        <v>0.33333333333333331</v>
      </c>
      <c r="AB1127" s="26" t="s">
        <v>411</v>
      </c>
      <c r="AC1127" s="26" t="s">
        <v>38</v>
      </c>
      <c r="AD1127" s="26" t="s">
        <v>42</v>
      </c>
      <c r="AE1127" s="27">
        <v>2.5</v>
      </c>
      <c r="AF1127" s="36">
        <v>0.33333333333333331</v>
      </c>
      <c r="AG1127" s="31">
        <v>0</v>
      </c>
      <c r="AH1127" t="s">
        <v>44</v>
      </c>
    </row>
    <row r="1128" spans="1:34">
      <c r="A1128" s="15" t="s">
        <v>1196</v>
      </c>
      <c r="B1128" s="8" t="s">
        <v>1135</v>
      </c>
      <c r="C1128" s="41" t="s">
        <v>37</v>
      </c>
      <c r="D1128" s="1" t="s">
        <v>38</v>
      </c>
      <c r="E1128" s="26" t="s">
        <v>39</v>
      </c>
      <c r="F1128" s="27">
        <v>0.95238095238095233</v>
      </c>
      <c r="G1128" s="33">
        <v>0.33333333333333331</v>
      </c>
      <c r="H1128" s="41" t="s">
        <v>408</v>
      </c>
      <c r="I1128" s="1" t="s">
        <v>409</v>
      </c>
      <c r="J1128" s="26" t="s">
        <v>39</v>
      </c>
      <c r="K1128" s="27">
        <v>0.94339622641509424</v>
      </c>
      <c r="L1128" s="33">
        <v>0.33333333333333331</v>
      </c>
      <c r="M1128" s="41" t="s">
        <v>410</v>
      </c>
      <c r="N1128" s="1" t="s">
        <v>38</v>
      </c>
      <c r="O1128" s="26" t="s">
        <v>42</v>
      </c>
      <c r="P1128" s="27">
        <v>3.2258064516129035</v>
      </c>
      <c r="Q1128" s="33">
        <v>0.33333333333333331</v>
      </c>
      <c r="R1128" s="55" t="s">
        <v>37</v>
      </c>
      <c r="S1128" s="26" t="s">
        <v>38</v>
      </c>
      <c r="T1128" s="26" t="s">
        <v>39</v>
      </c>
      <c r="U1128" s="27">
        <v>0.95238095238095233</v>
      </c>
      <c r="V1128" s="33">
        <v>0.33333333333333331</v>
      </c>
      <c r="W1128" s="26" t="s">
        <v>408</v>
      </c>
      <c r="X1128" s="26" t="s">
        <v>409</v>
      </c>
      <c r="Y1128" s="26" t="s">
        <v>39</v>
      </c>
      <c r="Z1128" s="27">
        <v>0.94339622641509424</v>
      </c>
      <c r="AA1128" s="33">
        <v>0.33333333333333331</v>
      </c>
      <c r="AB1128" s="26" t="s">
        <v>411</v>
      </c>
      <c r="AC1128" s="26" t="s">
        <v>38</v>
      </c>
      <c r="AD1128" s="26" t="s">
        <v>42</v>
      </c>
      <c r="AE1128" s="27">
        <v>2.5</v>
      </c>
      <c r="AF1128" s="36">
        <v>0.33333333333333331</v>
      </c>
      <c r="AG1128" s="31">
        <v>0</v>
      </c>
      <c r="AH1128" t="s">
        <v>44</v>
      </c>
    </row>
    <row r="1129" spans="1:34">
      <c r="A1129" s="15" t="s">
        <v>1197</v>
      </c>
      <c r="B1129" s="8" t="s">
        <v>1135</v>
      </c>
      <c r="C1129" s="41" t="s">
        <v>37</v>
      </c>
      <c r="D1129" s="1" t="s">
        <v>38</v>
      </c>
      <c r="E1129" s="26" t="s">
        <v>39</v>
      </c>
      <c r="F1129" s="27">
        <v>0.95238095238095233</v>
      </c>
      <c r="G1129" s="33">
        <v>0.33333333333333331</v>
      </c>
      <c r="H1129" s="41" t="s">
        <v>408</v>
      </c>
      <c r="I1129" s="1" t="s">
        <v>409</v>
      </c>
      <c r="J1129" s="26" t="s">
        <v>39</v>
      </c>
      <c r="K1129" s="27">
        <v>0.94339622641509424</v>
      </c>
      <c r="L1129" s="33">
        <v>0.33333333333333331</v>
      </c>
      <c r="M1129" s="41" t="s">
        <v>410</v>
      </c>
      <c r="N1129" s="1" t="s">
        <v>38</v>
      </c>
      <c r="O1129" s="26" t="s">
        <v>42</v>
      </c>
      <c r="P1129" s="27">
        <v>3.2258064516129035</v>
      </c>
      <c r="Q1129" s="33">
        <v>0.33333333333333331</v>
      </c>
      <c r="R1129" s="55" t="s">
        <v>37</v>
      </c>
      <c r="S1129" s="26" t="s">
        <v>38</v>
      </c>
      <c r="T1129" s="26" t="s">
        <v>39</v>
      </c>
      <c r="U1129" s="27">
        <v>0.95238095238095233</v>
      </c>
      <c r="V1129" s="33">
        <v>0.33333333333333331</v>
      </c>
      <c r="W1129" s="26" t="s">
        <v>408</v>
      </c>
      <c r="X1129" s="26" t="s">
        <v>409</v>
      </c>
      <c r="Y1129" s="26" t="s">
        <v>39</v>
      </c>
      <c r="Z1129" s="27">
        <v>0.94339622641509424</v>
      </c>
      <c r="AA1129" s="33">
        <v>0.33333333333333331</v>
      </c>
      <c r="AB1129" s="26" t="s">
        <v>411</v>
      </c>
      <c r="AC1129" s="26" t="s">
        <v>38</v>
      </c>
      <c r="AD1129" s="26" t="s">
        <v>42</v>
      </c>
      <c r="AE1129" s="27">
        <v>2.5</v>
      </c>
      <c r="AF1129" s="36">
        <v>0.33333333333333331</v>
      </c>
      <c r="AG1129" s="31">
        <v>0</v>
      </c>
      <c r="AH1129" t="s">
        <v>44</v>
      </c>
    </row>
    <row r="1130" spans="1:34">
      <c r="A1130" s="15" t="s">
        <v>1198</v>
      </c>
      <c r="B1130" s="8" t="s">
        <v>1135</v>
      </c>
      <c r="C1130" s="41" t="s">
        <v>37</v>
      </c>
      <c r="D1130" s="1" t="s">
        <v>38</v>
      </c>
      <c r="E1130" s="26" t="s">
        <v>39</v>
      </c>
      <c r="F1130" s="27">
        <v>0.95238095238095233</v>
      </c>
      <c r="G1130" s="33">
        <v>0.33333333333333331</v>
      </c>
      <c r="H1130" s="41" t="s">
        <v>408</v>
      </c>
      <c r="I1130" s="1" t="s">
        <v>409</v>
      </c>
      <c r="J1130" s="26" t="s">
        <v>39</v>
      </c>
      <c r="K1130" s="27">
        <v>0.94339622641509424</v>
      </c>
      <c r="L1130" s="33">
        <v>0.33333333333333331</v>
      </c>
      <c r="M1130" s="41" t="s">
        <v>410</v>
      </c>
      <c r="N1130" s="1" t="s">
        <v>38</v>
      </c>
      <c r="O1130" s="26" t="s">
        <v>42</v>
      </c>
      <c r="P1130" s="27">
        <v>3.2258064516129035</v>
      </c>
      <c r="Q1130" s="33">
        <v>0.33333333333333331</v>
      </c>
      <c r="R1130" s="55" t="s">
        <v>37</v>
      </c>
      <c r="S1130" s="26" t="s">
        <v>38</v>
      </c>
      <c r="T1130" s="26" t="s">
        <v>39</v>
      </c>
      <c r="U1130" s="27">
        <v>0.95238095238095233</v>
      </c>
      <c r="V1130" s="33">
        <v>0.33333333333333331</v>
      </c>
      <c r="W1130" s="26" t="s">
        <v>408</v>
      </c>
      <c r="X1130" s="26" t="s">
        <v>409</v>
      </c>
      <c r="Y1130" s="26" t="s">
        <v>39</v>
      </c>
      <c r="Z1130" s="27">
        <v>0.94339622641509424</v>
      </c>
      <c r="AA1130" s="33">
        <v>0.33333333333333331</v>
      </c>
      <c r="AB1130" s="26" t="s">
        <v>411</v>
      </c>
      <c r="AC1130" s="26" t="s">
        <v>38</v>
      </c>
      <c r="AD1130" s="26" t="s">
        <v>42</v>
      </c>
      <c r="AE1130" s="27">
        <v>2.5</v>
      </c>
      <c r="AF1130" s="36">
        <v>0.33333333333333331</v>
      </c>
      <c r="AG1130" s="31">
        <v>0</v>
      </c>
      <c r="AH1130" t="s">
        <v>44</v>
      </c>
    </row>
    <row r="1131" spans="1:34">
      <c r="A1131" s="15" t="s">
        <v>1199</v>
      </c>
      <c r="B1131" s="8" t="s">
        <v>1135</v>
      </c>
      <c r="C1131" s="41" t="s">
        <v>37</v>
      </c>
      <c r="D1131" s="1" t="s">
        <v>38</v>
      </c>
      <c r="E1131" s="26" t="s">
        <v>39</v>
      </c>
      <c r="F1131" s="27">
        <v>0.95238095238095233</v>
      </c>
      <c r="G1131" s="33">
        <v>0.33333333333333331</v>
      </c>
      <c r="H1131" s="41" t="s">
        <v>408</v>
      </c>
      <c r="I1131" s="1" t="s">
        <v>409</v>
      </c>
      <c r="J1131" s="26" t="s">
        <v>39</v>
      </c>
      <c r="K1131" s="27">
        <v>0.94339622641509424</v>
      </c>
      <c r="L1131" s="33">
        <v>0.33333333333333331</v>
      </c>
      <c r="M1131" s="41" t="s">
        <v>410</v>
      </c>
      <c r="N1131" s="1" t="s">
        <v>38</v>
      </c>
      <c r="O1131" s="26" t="s">
        <v>42</v>
      </c>
      <c r="P1131" s="27">
        <v>3.2258064516129035</v>
      </c>
      <c r="Q1131" s="33">
        <v>0.33333333333333331</v>
      </c>
      <c r="R1131" s="55" t="s">
        <v>37</v>
      </c>
      <c r="S1131" s="26" t="s">
        <v>38</v>
      </c>
      <c r="T1131" s="26" t="s">
        <v>39</v>
      </c>
      <c r="U1131" s="27">
        <v>0.95238095238095233</v>
      </c>
      <c r="V1131" s="33">
        <v>0.33333333333333331</v>
      </c>
      <c r="W1131" s="26" t="s">
        <v>408</v>
      </c>
      <c r="X1131" s="26" t="s">
        <v>409</v>
      </c>
      <c r="Y1131" s="26" t="s">
        <v>39</v>
      </c>
      <c r="Z1131" s="27">
        <v>0.94339622641509424</v>
      </c>
      <c r="AA1131" s="33">
        <v>0.33333333333333331</v>
      </c>
      <c r="AB1131" s="26" t="s">
        <v>411</v>
      </c>
      <c r="AC1131" s="26" t="s">
        <v>38</v>
      </c>
      <c r="AD1131" s="26" t="s">
        <v>42</v>
      </c>
      <c r="AE1131" s="27">
        <v>2.5</v>
      </c>
      <c r="AF1131" s="36">
        <v>0.33333333333333331</v>
      </c>
      <c r="AG1131" s="31">
        <v>0</v>
      </c>
      <c r="AH1131" t="s">
        <v>44</v>
      </c>
    </row>
    <row r="1132" spans="1:34">
      <c r="A1132" s="15" t="s">
        <v>1200</v>
      </c>
      <c r="B1132" s="8" t="s">
        <v>1135</v>
      </c>
      <c r="C1132" s="41" t="s">
        <v>37</v>
      </c>
      <c r="D1132" s="1" t="s">
        <v>38</v>
      </c>
      <c r="E1132" s="26" t="s">
        <v>39</v>
      </c>
      <c r="F1132" s="27">
        <v>0.95238095238095233</v>
      </c>
      <c r="G1132" s="33">
        <v>0.33333333333333331</v>
      </c>
      <c r="H1132" s="41" t="s">
        <v>408</v>
      </c>
      <c r="I1132" s="1" t="s">
        <v>409</v>
      </c>
      <c r="J1132" s="26" t="s">
        <v>39</v>
      </c>
      <c r="K1132" s="27">
        <v>0.94339622641509424</v>
      </c>
      <c r="L1132" s="33">
        <v>0.33333333333333331</v>
      </c>
      <c r="M1132" s="41" t="s">
        <v>410</v>
      </c>
      <c r="N1132" s="1" t="s">
        <v>38</v>
      </c>
      <c r="O1132" s="26" t="s">
        <v>42</v>
      </c>
      <c r="P1132" s="27">
        <v>3.2258064516129035</v>
      </c>
      <c r="Q1132" s="33">
        <v>0.33333333333333331</v>
      </c>
      <c r="R1132" s="55" t="s">
        <v>37</v>
      </c>
      <c r="S1132" s="26" t="s">
        <v>38</v>
      </c>
      <c r="T1132" s="26" t="s">
        <v>39</v>
      </c>
      <c r="U1132" s="27">
        <v>0.95238095238095233</v>
      </c>
      <c r="V1132" s="33">
        <v>0.33333333333333331</v>
      </c>
      <c r="W1132" s="26" t="s">
        <v>408</v>
      </c>
      <c r="X1132" s="26" t="s">
        <v>409</v>
      </c>
      <c r="Y1132" s="26" t="s">
        <v>39</v>
      </c>
      <c r="Z1132" s="27">
        <v>0.94339622641509424</v>
      </c>
      <c r="AA1132" s="33">
        <v>0.33333333333333331</v>
      </c>
      <c r="AB1132" s="26" t="s">
        <v>411</v>
      </c>
      <c r="AC1132" s="26" t="s">
        <v>38</v>
      </c>
      <c r="AD1132" s="26" t="s">
        <v>42</v>
      </c>
      <c r="AE1132" s="27">
        <v>2.5</v>
      </c>
      <c r="AF1132" s="36">
        <v>0.33333333333333331</v>
      </c>
      <c r="AG1132" s="31">
        <v>0</v>
      </c>
      <c r="AH1132" t="s">
        <v>44</v>
      </c>
    </row>
    <row r="1133" spans="1:34">
      <c r="A1133" s="15" t="s">
        <v>1201</v>
      </c>
      <c r="B1133" s="8" t="s">
        <v>1135</v>
      </c>
      <c r="C1133" s="41" t="s">
        <v>37</v>
      </c>
      <c r="D1133" s="1" t="s">
        <v>38</v>
      </c>
      <c r="E1133" s="26" t="s">
        <v>39</v>
      </c>
      <c r="F1133" s="27">
        <v>0.95238095238095233</v>
      </c>
      <c r="G1133" s="33">
        <v>0.33333333333333331</v>
      </c>
      <c r="H1133" s="41" t="s">
        <v>408</v>
      </c>
      <c r="I1133" s="1" t="s">
        <v>409</v>
      </c>
      <c r="J1133" s="26" t="s">
        <v>39</v>
      </c>
      <c r="K1133" s="27">
        <v>0.94339622641509424</v>
      </c>
      <c r="L1133" s="33">
        <v>0.33333333333333331</v>
      </c>
      <c r="M1133" s="41" t="s">
        <v>410</v>
      </c>
      <c r="N1133" s="1" t="s">
        <v>38</v>
      </c>
      <c r="O1133" s="26" t="s">
        <v>42</v>
      </c>
      <c r="P1133" s="27">
        <v>3.2258064516129035</v>
      </c>
      <c r="Q1133" s="33">
        <v>0.33333333333333331</v>
      </c>
      <c r="R1133" s="55" t="s">
        <v>37</v>
      </c>
      <c r="S1133" s="26" t="s">
        <v>38</v>
      </c>
      <c r="T1133" s="26" t="s">
        <v>39</v>
      </c>
      <c r="U1133" s="27">
        <v>0.95238095238095233</v>
      </c>
      <c r="V1133" s="33">
        <v>0.33333333333333331</v>
      </c>
      <c r="W1133" s="26" t="s">
        <v>408</v>
      </c>
      <c r="X1133" s="26" t="s">
        <v>409</v>
      </c>
      <c r="Y1133" s="26" t="s">
        <v>39</v>
      </c>
      <c r="Z1133" s="27">
        <v>0.94339622641509424</v>
      </c>
      <c r="AA1133" s="33">
        <v>0.33333333333333331</v>
      </c>
      <c r="AB1133" s="26" t="s">
        <v>411</v>
      </c>
      <c r="AC1133" s="26" t="s">
        <v>38</v>
      </c>
      <c r="AD1133" s="26" t="s">
        <v>42</v>
      </c>
      <c r="AE1133" s="27">
        <v>2.5</v>
      </c>
      <c r="AF1133" s="36">
        <v>0.33333333333333331</v>
      </c>
      <c r="AG1133" s="31">
        <v>0</v>
      </c>
      <c r="AH1133" t="s">
        <v>44</v>
      </c>
    </row>
    <row r="1134" spans="1:34">
      <c r="A1134" s="15" t="s">
        <v>1202</v>
      </c>
      <c r="B1134" s="8" t="s">
        <v>1135</v>
      </c>
      <c r="C1134" s="41" t="s">
        <v>37</v>
      </c>
      <c r="D1134" s="1" t="s">
        <v>38</v>
      </c>
      <c r="E1134" s="26" t="s">
        <v>39</v>
      </c>
      <c r="F1134" s="27">
        <v>0.95238095238095233</v>
      </c>
      <c r="G1134" s="33">
        <v>0.33333333333333331</v>
      </c>
      <c r="H1134" s="41" t="s">
        <v>408</v>
      </c>
      <c r="I1134" s="1" t="s">
        <v>409</v>
      </c>
      <c r="J1134" s="26" t="s">
        <v>39</v>
      </c>
      <c r="K1134" s="27">
        <v>0.94339622641509424</v>
      </c>
      <c r="L1134" s="33">
        <v>0.33333333333333331</v>
      </c>
      <c r="M1134" s="41" t="s">
        <v>410</v>
      </c>
      <c r="N1134" s="1" t="s">
        <v>38</v>
      </c>
      <c r="O1134" s="26" t="s">
        <v>42</v>
      </c>
      <c r="P1134" s="27">
        <v>3.2258064516129035</v>
      </c>
      <c r="Q1134" s="33">
        <v>0.33333333333333331</v>
      </c>
      <c r="R1134" s="55" t="s">
        <v>37</v>
      </c>
      <c r="S1134" s="26" t="s">
        <v>38</v>
      </c>
      <c r="T1134" s="26" t="s">
        <v>39</v>
      </c>
      <c r="U1134" s="27">
        <v>0.95238095238095233</v>
      </c>
      <c r="V1134" s="33">
        <v>0.33333333333333331</v>
      </c>
      <c r="W1134" s="26" t="s">
        <v>408</v>
      </c>
      <c r="X1134" s="26" t="s">
        <v>409</v>
      </c>
      <c r="Y1134" s="26" t="s">
        <v>39</v>
      </c>
      <c r="Z1134" s="27">
        <v>0.94339622641509424</v>
      </c>
      <c r="AA1134" s="33">
        <v>0.33333333333333331</v>
      </c>
      <c r="AB1134" s="26" t="s">
        <v>411</v>
      </c>
      <c r="AC1134" s="26" t="s">
        <v>38</v>
      </c>
      <c r="AD1134" s="26" t="s">
        <v>42</v>
      </c>
      <c r="AE1134" s="27">
        <v>2.5</v>
      </c>
      <c r="AF1134" s="36">
        <v>0.33333333333333331</v>
      </c>
      <c r="AG1134" s="31">
        <v>0</v>
      </c>
      <c r="AH1134" t="s">
        <v>44</v>
      </c>
    </row>
    <row r="1135" spans="1:34">
      <c r="A1135" s="15" t="s">
        <v>1203</v>
      </c>
      <c r="B1135" s="8" t="s">
        <v>1135</v>
      </c>
      <c r="C1135" s="41" t="s">
        <v>37</v>
      </c>
      <c r="D1135" s="1" t="s">
        <v>38</v>
      </c>
      <c r="E1135" s="26" t="s">
        <v>39</v>
      </c>
      <c r="F1135" s="27">
        <v>0.95238095238095233</v>
      </c>
      <c r="G1135" s="33">
        <v>0.33333333333333331</v>
      </c>
      <c r="H1135" s="41" t="s">
        <v>408</v>
      </c>
      <c r="I1135" s="1" t="s">
        <v>409</v>
      </c>
      <c r="J1135" s="26" t="s">
        <v>39</v>
      </c>
      <c r="K1135" s="27">
        <v>0.94339622641509424</v>
      </c>
      <c r="L1135" s="33">
        <v>0.33333333333333331</v>
      </c>
      <c r="M1135" s="41" t="s">
        <v>410</v>
      </c>
      <c r="N1135" s="1" t="s">
        <v>38</v>
      </c>
      <c r="O1135" s="26" t="s">
        <v>42</v>
      </c>
      <c r="P1135" s="27">
        <v>3.2258064516129035</v>
      </c>
      <c r="Q1135" s="33">
        <v>0.33333333333333331</v>
      </c>
      <c r="R1135" s="55" t="s">
        <v>37</v>
      </c>
      <c r="S1135" s="26" t="s">
        <v>38</v>
      </c>
      <c r="T1135" s="26" t="s">
        <v>39</v>
      </c>
      <c r="U1135" s="27">
        <v>0.95238095238095233</v>
      </c>
      <c r="V1135" s="33">
        <v>0.33333333333333331</v>
      </c>
      <c r="W1135" s="26" t="s">
        <v>408</v>
      </c>
      <c r="X1135" s="26" t="s">
        <v>409</v>
      </c>
      <c r="Y1135" s="26" t="s">
        <v>39</v>
      </c>
      <c r="Z1135" s="27">
        <v>0.94339622641509424</v>
      </c>
      <c r="AA1135" s="33">
        <v>0.33333333333333331</v>
      </c>
      <c r="AB1135" s="26" t="s">
        <v>411</v>
      </c>
      <c r="AC1135" s="26" t="s">
        <v>38</v>
      </c>
      <c r="AD1135" s="26" t="s">
        <v>42</v>
      </c>
      <c r="AE1135" s="27">
        <v>2.5</v>
      </c>
      <c r="AF1135" s="36">
        <v>0.33333333333333331</v>
      </c>
      <c r="AG1135" s="31">
        <v>0</v>
      </c>
      <c r="AH1135" t="s">
        <v>44</v>
      </c>
    </row>
    <row r="1136" spans="1:34">
      <c r="A1136" s="15" t="s">
        <v>1204</v>
      </c>
      <c r="B1136" s="8" t="s">
        <v>1135</v>
      </c>
      <c r="C1136" s="41" t="s">
        <v>37</v>
      </c>
      <c r="D1136" s="1" t="s">
        <v>38</v>
      </c>
      <c r="E1136" s="26" t="s">
        <v>39</v>
      </c>
      <c r="F1136" s="27">
        <v>0.95238095238095233</v>
      </c>
      <c r="G1136" s="33">
        <v>0.33333333333333331</v>
      </c>
      <c r="H1136" s="41" t="s">
        <v>408</v>
      </c>
      <c r="I1136" s="1" t="s">
        <v>409</v>
      </c>
      <c r="J1136" s="26" t="s">
        <v>39</v>
      </c>
      <c r="K1136" s="27">
        <v>0.94339622641509424</v>
      </c>
      <c r="L1136" s="33">
        <v>0.33333333333333331</v>
      </c>
      <c r="M1136" s="41" t="s">
        <v>410</v>
      </c>
      <c r="N1136" s="1" t="s">
        <v>38</v>
      </c>
      <c r="O1136" s="26" t="s">
        <v>42</v>
      </c>
      <c r="P1136" s="27">
        <v>3.2258064516129035</v>
      </c>
      <c r="Q1136" s="33">
        <v>0.33333333333333331</v>
      </c>
      <c r="R1136" s="55" t="s">
        <v>37</v>
      </c>
      <c r="S1136" s="26" t="s">
        <v>38</v>
      </c>
      <c r="T1136" s="26" t="s">
        <v>39</v>
      </c>
      <c r="U1136" s="27">
        <v>0.95238095238095233</v>
      </c>
      <c r="V1136" s="33">
        <v>0.33333333333333331</v>
      </c>
      <c r="W1136" s="26" t="s">
        <v>408</v>
      </c>
      <c r="X1136" s="26" t="s">
        <v>409</v>
      </c>
      <c r="Y1136" s="26" t="s">
        <v>39</v>
      </c>
      <c r="Z1136" s="27">
        <v>0.94339622641509424</v>
      </c>
      <c r="AA1136" s="33">
        <v>0.33333333333333331</v>
      </c>
      <c r="AB1136" s="26" t="s">
        <v>411</v>
      </c>
      <c r="AC1136" s="26" t="s">
        <v>38</v>
      </c>
      <c r="AD1136" s="26" t="s">
        <v>42</v>
      </c>
      <c r="AE1136" s="27">
        <v>2.5</v>
      </c>
      <c r="AF1136" s="36">
        <v>0.33333333333333331</v>
      </c>
      <c r="AG1136" s="31">
        <v>0</v>
      </c>
      <c r="AH1136" t="s">
        <v>44</v>
      </c>
    </row>
    <row r="1137" spans="1:35">
      <c r="A1137" s="15" t="s">
        <v>1205</v>
      </c>
      <c r="B1137" s="8" t="s">
        <v>1135</v>
      </c>
      <c r="C1137" s="41" t="s">
        <v>37</v>
      </c>
      <c r="D1137" s="1" t="s">
        <v>38</v>
      </c>
      <c r="E1137" s="26" t="s">
        <v>39</v>
      </c>
      <c r="F1137" s="27">
        <v>0.95238095238095233</v>
      </c>
      <c r="G1137" s="33">
        <v>0.33333333333333331</v>
      </c>
      <c r="H1137" s="41" t="s">
        <v>408</v>
      </c>
      <c r="I1137" s="1" t="s">
        <v>409</v>
      </c>
      <c r="J1137" s="26" t="s">
        <v>39</v>
      </c>
      <c r="K1137" s="27">
        <v>0.94339622641509424</v>
      </c>
      <c r="L1137" s="33">
        <v>0.33333333333333331</v>
      </c>
      <c r="M1137" s="41" t="s">
        <v>410</v>
      </c>
      <c r="N1137" s="1" t="s">
        <v>38</v>
      </c>
      <c r="O1137" s="26" t="s">
        <v>42</v>
      </c>
      <c r="P1137" s="27">
        <v>3.2258064516129035</v>
      </c>
      <c r="Q1137" s="33">
        <v>0.33333333333333331</v>
      </c>
      <c r="R1137" s="55" t="s">
        <v>37</v>
      </c>
      <c r="S1137" s="26" t="s">
        <v>38</v>
      </c>
      <c r="T1137" s="26" t="s">
        <v>39</v>
      </c>
      <c r="U1137" s="27">
        <v>0.95238095238095233</v>
      </c>
      <c r="V1137" s="33">
        <v>0.33333333333333331</v>
      </c>
      <c r="W1137" s="26" t="s">
        <v>408</v>
      </c>
      <c r="X1137" s="26" t="s">
        <v>409</v>
      </c>
      <c r="Y1137" s="26" t="s">
        <v>39</v>
      </c>
      <c r="Z1137" s="27">
        <v>0.94339622641509424</v>
      </c>
      <c r="AA1137" s="33">
        <v>0.33333333333333331</v>
      </c>
      <c r="AB1137" s="26" t="s">
        <v>411</v>
      </c>
      <c r="AC1137" s="26" t="s">
        <v>38</v>
      </c>
      <c r="AD1137" s="26" t="s">
        <v>42</v>
      </c>
      <c r="AE1137" s="27">
        <v>2.5</v>
      </c>
      <c r="AF1137" s="36">
        <v>0.33333333333333331</v>
      </c>
      <c r="AG1137" s="31">
        <v>0</v>
      </c>
      <c r="AH1137" t="s">
        <v>44</v>
      </c>
    </row>
    <row r="1138" spans="1:35">
      <c r="A1138" s="15" t="s">
        <v>1206</v>
      </c>
      <c r="B1138" s="8" t="s">
        <v>1135</v>
      </c>
      <c r="C1138" s="41" t="s">
        <v>37</v>
      </c>
      <c r="D1138" s="1" t="s">
        <v>38</v>
      </c>
      <c r="E1138" s="26" t="s">
        <v>39</v>
      </c>
      <c r="F1138" s="27">
        <v>0.95238095238095233</v>
      </c>
      <c r="G1138" s="33">
        <v>0.33333333333333331</v>
      </c>
      <c r="H1138" s="41" t="s">
        <v>408</v>
      </c>
      <c r="I1138" s="1" t="s">
        <v>409</v>
      </c>
      <c r="J1138" s="26" t="s">
        <v>39</v>
      </c>
      <c r="K1138" s="27">
        <v>0.94339622641509424</v>
      </c>
      <c r="L1138" s="33">
        <v>0.33333333333333331</v>
      </c>
      <c r="M1138" s="41" t="s">
        <v>410</v>
      </c>
      <c r="N1138" s="1" t="s">
        <v>38</v>
      </c>
      <c r="O1138" s="26" t="s">
        <v>42</v>
      </c>
      <c r="P1138" s="27">
        <v>3.2258064516129035</v>
      </c>
      <c r="Q1138" s="33">
        <v>0.33333333333333331</v>
      </c>
      <c r="R1138" s="55" t="s">
        <v>37</v>
      </c>
      <c r="S1138" s="26" t="s">
        <v>38</v>
      </c>
      <c r="T1138" s="26" t="s">
        <v>39</v>
      </c>
      <c r="U1138" s="27">
        <v>0.95238095238095233</v>
      </c>
      <c r="V1138" s="33">
        <v>0.33333333333333331</v>
      </c>
      <c r="W1138" s="26" t="s">
        <v>408</v>
      </c>
      <c r="X1138" s="26" t="s">
        <v>409</v>
      </c>
      <c r="Y1138" s="26" t="s">
        <v>39</v>
      </c>
      <c r="Z1138" s="27">
        <v>0.94339622641509424</v>
      </c>
      <c r="AA1138" s="33">
        <v>0.33333333333333331</v>
      </c>
      <c r="AB1138" s="26" t="s">
        <v>411</v>
      </c>
      <c r="AC1138" s="26" t="s">
        <v>38</v>
      </c>
      <c r="AD1138" s="26" t="s">
        <v>42</v>
      </c>
      <c r="AE1138" s="27">
        <v>2.5</v>
      </c>
      <c r="AF1138" s="36">
        <v>0.33333333333333331</v>
      </c>
      <c r="AG1138" s="31">
        <v>0</v>
      </c>
      <c r="AH1138" t="s">
        <v>44</v>
      </c>
    </row>
    <row r="1139" spans="1:35">
      <c r="A1139" s="15" t="s">
        <v>1207</v>
      </c>
      <c r="B1139" s="8" t="s">
        <v>1135</v>
      </c>
      <c r="C1139" s="41" t="s">
        <v>37</v>
      </c>
      <c r="D1139" s="1" t="s">
        <v>38</v>
      </c>
      <c r="E1139" s="26" t="s">
        <v>39</v>
      </c>
      <c r="F1139" s="27">
        <v>0.95238095238095233</v>
      </c>
      <c r="G1139" s="33">
        <v>0.33333333333333331</v>
      </c>
      <c r="H1139" s="41" t="s">
        <v>408</v>
      </c>
      <c r="I1139" s="1" t="s">
        <v>409</v>
      </c>
      <c r="J1139" s="26" t="s">
        <v>39</v>
      </c>
      <c r="K1139" s="27">
        <v>0.94339622641509424</v>
      </c>
      <c r="L1139" s="33">
        <v>0.33333333333333331</v>
      </c>
      <c r="M1139" s="41" t="s">
        <v>410</v>
      </c>
      <c r="N1139" s="1" t="s">
        <v>38</v>
      </c>
      <c r="O1139" s="26" t="s">
        <v>42</v>
      </c>
      <c r="P1139" s="27">
        <v>3.2258064516129035</v>
      </c>
      <c r="Q1139" s="33">
        <v>0.33333333333333331</v>
      </c>
      <c r="R1139" s="55" t="s">
        <v>37</v>
      </c>
      <c r="S1139" s="26" t="s">
        <v>38</v>
      </c>
      <c r="T1139" s="26" t="s">
        <v>39</v>
      </c>
      <c r="U1139" s="27">
        <v>0.95238095238095233</v>
      </c>
      <c r="V1139" s="33">
        <v>0.33333333333333331</v>
      </c>
      <c r="W1139" s="26" t="s">
        <v>408</v>
      </c>
      <c r="X1139" s="26" t="s">
        <v>409</v>
      </c>
      <c r="Y1139" s="26" t="s">
        <v>39</v>
      </c>
      <c r="Z1139" s="27">
        <v>0.94339622641509424</v>
      </c>
      <c r="AA1139" s="33">
        <v>0.33333333333333331</v>
      </c>
      <c r="AB1139" s="26" t="s">
        <v>411</v>
      </c>
      <c r="AC1139" s="26" t="s">
        <v>38</v>
      </c>
      <c r="AD1139" s="26" t="s">
        <v>42</v>
      </c>
      <c r="AE1139" s="27">
        <v>2.5</v>
      </c>
      <c r="AF1139" s="36">
        <v>0.33333333333333331</v>
      </c>
      <c r="AG1139" s="31">
        <v>0</v>
      </c>
      <c r="AH1139" t="s">
        <v>44</v>
      </c>
    </row>
    <row r="1140" spans="1:35">
      <c r="A1140" s="15" t="s">
        <v>1208</v>
      </c>
      <c r="B1140" s="8" t="s">
        <v>1135</v>
      </c>
      <c r="C1140" s="41" t="s">
        <v>37</v>
      </c>
      <c r="D1140" s="1" t="s">
        <v>38</v>
      </c>
      <c r="E1140" s="26" t="s">
        <v>39</v>
      </c>
      <c r="F1140" s="27">
        <v>0.95238095238095233</v>
      </c>
      <c r="G1140" s="33">
        <v>0.33333333333333331</v>
      </c>
      <c r="H1140" s="41" t="s">
        <v>408</v>
      </c>
      <c r="I1140" s="1" t="s">
        <v>409</v>
      </c>
      <c r="J1140" s="26" t="s">
        <v>39</v>
      </c>
      <c r="K1140" s="27">
        <v>0.94339622641509424</v>
      </c>
      <c r="L1140" s="33">
        <v>0.33333333333333331</v>
      </c>
      <c r="M1140" s="41" t="s">
        <v>410</v>
      </c>
      <c r="N1140" s="1" t="s">
        <v>38</v>
      </c>
      <c r="O1140" s="26" t="s">
        <v>42</v>
      </c>
      <c r="P1140" s="27">
        <v>3.2258064516129035</v>
      </c>
      <c r="Q1140" s="33">
        <v>0.33333333333333331</v>
      </c>
      <c r="R1140" s="55" t="s">
        <v>37</v>
      </c>
      <c r="S1140" s="26" t="s">
        <v>38</v>
      </c>
      <c r="T1140" s="26" t="s">
        <v>39</v>
      </c>
      <c r="U1140" s="27">
        <v>0.95238095238095233</v>
      </c>
      <c r="V1140" s="33">
        <v>0.33333333333333331</v>
      </c>
      <c r="W1140" s="26" t="s">
        <v>408</v>
      </c>
      <c r="X1140" s="26" t="s">
        <v>409</v>
      </c>
      <c r="Y1140" s="26" t="s">
        <v>39</v>
      </c>
      <c r="Z1140" s="27">
        <v>0.94339622641509424</v>
      </c>
      <c r="AA1140" s="33">
        <v>0.33333333333333331</v>
      </c>
      <c r="AB1140" s="26" t="s">
        <v>411</v>
      </c>
      <c r="AC1140" s="26" t="s">
        <v>38</v>
      </c>
      <c r="AD1140" s="26" t="s">
        <v>42</v>
      </c>
      <c r="AE1140" s="27">
        <v>2.5</v>
      </c>
      <c r="AF1140" s="36">
        <v>0.33333333333333331</v>
      </c>
      <c r="AG1140" s="31">
        <v>0</v>
      </c>
      <c r="AH1140" t="s">
        <v>44</v>
      </c>
    </row>
    <row r="1141" spans="1:35">
      <c r="A1141" s="15" t="s">
        <v>1209</v>
      </c>
      <c r="B1141" s="8" t="s">
        <v>1135</v>
      </c>
      <c r="C1141" s="41" t="s">
        <v>37</v>
      </c>
      <c r="D1141" s="1" t="s">
        <v>38</v>
      </c>
      <c r="E1141" s="26" t="s">
        <v>39</v>
      </c>
      <c r="F1141" s="27">
        <v>0.95238095238095233</v>
      </c>
      <c r="G1141" s="33">
        <v>0.33333333333333331</v>
      </c>
      <c r="H1141" s="41" t="s">
        <v>408</v>
      </c>
      <c r="I1141" s="1" t="s">
        <v>409</v>
      </c>
      <c r="J1141" s="26" t="s">
        <v>39</v>
      </c>
      <c r="K1141" s="27">
        <v>0.94339622641509424</v>
      </c>
      <c r="L1141" s="33">
        <v>0.33333333333333331</v>
      </c>
      <c r="M1141" s="41" t="s">
        <v>410</v>
      </c>
      <c r="N1141" s="1" t="s">
        <v>38</v>
      </c>
      <c r="O1141" s="26" t="s">
        <v>42</v>
      </c>
      <c r="P1141" s="27">
        <v>3.2258064516129035</v>
      </c>
      <c r="Q1141" s="33">
        <v>0.33333333333333331</v>
      </c>
      <c r="R1141" s="55" t="s">
        <v>37</v>
      </c>
      <c r="S1141" s="26" t="s">
        <v>38</v>
      </c>
      <c r="T1141" s="26" t="s">
        <v>39</v>
      </c>
      <c r="U1141" s="27">
        <v>0.95238095238095233</v>
      </c>
      <c r="V1141" s="33">
        <v>0.33333333333333331</v>
      </c>
      <c r="W1141" s="26" t="s">
        <v>408</v>
      </c>
      <c r="X1141" s="26" t="s">
        <v>409</v>
      </c>
      <c r="Y1141" s="26" t="s">
        <v>39</v>
      </c>
      <c r="Z1141" s="27">
        <v>0.94339622641509424</v>
      </c>
      <c r="AA1141" s="33">
        <v>0.33333333333333331</v>
      </c>
      <c r="AB1141" s="26" t="s">
        <v>411</v>
      </c>
      <c r="AC1141" s="26" t="s">
        <v>38</v>
      </c>
      <c r="AD1141" s="26" t="s">
        <v>42</v>
      </c>
      <c r="AE1141" s="27">
        <v>2.5</v>
      </c>
      <c r="AF1141" s="36">
        <v>0.33333333333333331</v>
      </c>
      <c r="AG1141" s="31">
        <v>0</v>
      </c>
      <c r="AH1141" t="s">
        <v>44</v>
      </c>
    </row>
    <row r="1142" spans="1:35">
      <c r="A1142" s="15" t="s">
        <v>1210</v>
      </c>
      <c r="B1142" s="8" t="s">
        <v>1135</v>
      </c>
      <c r="C1142" s="41" t="s">
        <v>37</v>
      </c>
      <c r="D1142" s="1" t="s">
        <v>38</v>
      </c>
      <c r="E1142" s="26" t="s">
        <v>39</v>
      </c>
      <c r="F1142" s="27">
        <v>0.95238095238095233</v>
      </c>
      <c r="G1142" s="33">
        <v>0.33333333333333331</v>
      </c>
      <c r="H1142" s="41" t="s">
        <v>408</v>
      </c>
      <c r="I1142" s="1" t="s">
        <v>409</v>
      </c>
      <c r="J1142" s="26" t="s">
        <v>39</v>
      </c>
      <c r="K1142" s="27">
        <v>0.94339622641509424</v>
      </c>
      <c r="L1142" s="33">
        <v>0.33333333333333331</v>
      </c>
      <c r="M1142" s="41" t="s">
        <v>410</v>
      </c>
      <c r="N1142" s="1" t="s">
        <v>38</v>
      </c>
      <c r="O1142" s="26" t="s">
        <v>42</v>
      </c>
      <c r="P1142" s="27">
        <v>3.2258064516129035</v>
      </c>
      <c r="Q1142" s="33">
        <v>0.33333333333333331</v>
      </c>
      <c r="R1142" s="55" t="s">
        <v>37</v>
      </c>
      <c r="S1142" s="26" t="s">
        <v>38</v>
      </c>
      <c r="T1142" s="26" t="s">
        <v>39</v>
      </c>
      <c r="U1142" s="27">
        <v>0.95238095238095233</v>
      </c>
      <c r="V1142" s="33">
        <v>0.33333333333333331</v>
      </c>
      <c r="W1142" s="26" t="s">
        <v>408</v>
      </c>
      <c r="X1142" s="26" t="s">
        <v>409</v>
      </c>
      <c r="Y1142" s="26" t="s">
        <v>39</v>
      </c>
      <c r="Z1142" s="27">
        <v>0.94339622641509424</v>
      </c>
      <c r="AA1142" s="33">
        <v>0.33333333333333331</v>
      </c>
      <c r="AB1142" s="26" t="s">
        <v>411</v>
      </c>
      <c r="AC1142" s="26" t="s">
        <v>38</v>
      </c>
      <c r="AD1142" s="26" t="s">
        <v>42</v>
      </c>
      <c r="AE1142" s="27">
        <v>2.5</v>
      </c>
      <c r="AF1142" s="36">
        <v>0.33333333333333331</v>
      </c>
      <c r="AG1142" s="31">
        <v>0</v>
      </c>
      <c r="AH1142" t="s">
        <v>44</v>
      </c>
    </row>
    <row r="1143" spans="1:35">
      <c r="A1143" s="15" t="s">
        <v>1211</v>
      </c>
      <c r="B1143" s="8" t="s">
        <v>1135</v>
      </c>
      <c r="C1143" s="41" t="s">
        <v>37</v>
      </c>
      <c r="D1143" s="1" t="s">
        <v>38</v>
      </c>
      <c r="E1143" s="26" t="s">
        <v>39</v>
      </c>
      <c r="F1143" s="27">
        <v>0.95238095238095233</v>
      </c>
      <c r="G1143" s="33">
        <v>0.33333333333333331</v>
      </c>
      <c r="H1143" s="41" t="s">
        <v>408</v>
      </c>
      <c r="I1143" s="1" t="s">
        <v>409</v>
      </c>
      <c r="J1143" s="26" t="s">
        <v>39</v>
      </c>
      <c r="K1143" s="27">
        <v>0.94339622641509424</v>
      </c>
      <c r="L1143" s="33">
        <v>0.33333333333333331</v>
      </c>
      <c r="M1143" s="41" t="s">
        <v>410</v>
      </c>
      <c r="N1143" s="1" t="s">
        <v>38</v>
      </c>
      <c r="O1143" s="26" t="s">
        <v>42</v>
      </c>
      <c r="P1143" s="27">
        <v>3.2258064516129035</v>
      </c>
      <c r="Q1143" s="33">
        <v>0.33333333333333331</v>
      </c>
      <c r="R1143" s="55" t="s">
        <v>37</v>
      </c>
      <c r="S1143" s="26" t="s">
        <v>38</v>
      </c>
      <c r="T1143" s="26" t="s">
        <v>39</v>
      </c>
      <c r="U1143" s="27">
        <v>0.95238095238095233</v>
      </c>
      <c r="V1143" s="33">
        <v>0.33333333333333331</v>
      </c>
      <c r="W1143" s="26" t="s">
        <v>408</v>
      </c>
      <c r="X1143" s="26" t="s">
        <v>409</v>
      </c>
      <c r="Y1143" s="26" t="s">
        <v>39</v>
      </c>
      <c r="Z1143" s="27">
        <v>0.94339622641509424</v>
      </c>
      <c r="AA1143" s="33">
        <v>0.33333333333333331</v>
      </c>
      <c r="AB1143" s="26" t="s">
        <v>411</v>
      </c>
      <c r="AC1143" s="26" t="s">
        <v>38</v>
      </c>
      <c r="AD1143" s="26" t="s">
        <v>42</v>
      </c>
      <c r="AE1143" s="27">
        <v>2.5</v>
      </c>
      <c r="AF1143" s="36">
        <v>0.33333333333333331</v>
      </c>
      <c r="AG1143" s="31">
        <v>0</v>
      </c>
      <c r="AH1143" t="s">
        <v>44</v>
      </c>
    </row>
    <row r="1144" spans="1:35">
      <c r="A1144" s="15" t="s">
        <v>1212</v>
      </c>
      <c r="B1144" s="8" t="s">
        <v>1135</v>
      </c>
      <c r="C1144" s="41" t="s">
        <v>37</v>
      </c>
      <c r="D1144" s="1" t="s">
        <v>38</v>
      </c>
      <c r="E1144" s="26" t="s">
        <v>39</v>
      </c>
      <c r="F1144" s="27">
        <v>0.95238095238095233</v>
      </c>
      <c r="G1144" s="33">
        <v>0.33333333333333331</v>
      </c>
      <c r="H1144" s="41" t="s">
        <v>408</v>
      </c>
      <c r="I1144" s="1" t="s">
        <v>409</v>
      </c>
      <c r="J1144" s="26" t="s">
        <v>39</v>
      </c>
      <c r="K1144" s="27">
        <v>0.94339622641509424</v>
      </c>
      <c r="L1144" s="33">
        <v>0.33333333333333331</v>
      </c>
      <c r="M1144" s="41" t="s">
        <v>410</v>
      </c>
      <c r="N1144" s="1" t="s">
        <v>38</v>
      </c>
      <c r="O1144" s="26" t="s">
        <v>42</v>
      </c>
      <c r="P1144" s="27">
        <v>3.2258064516129035</v>
      </c>
      <c r="Q1144" s="33">
        <v>0.33333333333333331</v>
      </c>
      <c r="R1144" s="55" t="s">
        <v>37</v>
      </c>
      <c r="S1144" s="26" t="s">
        <v>38</v>
      </c>
      <c r="T1144" s="26" t="s">
        <v>39</v>
      </c>
      <c r="U1144" s="27">
        <v>0.95238095238095233</v>
      </c>
      <c r="V1144" s="33">
        <v>0.33333333333333331</v>
      </c>
      <c r="W1144" s="26" t="s">
        <v>408</v>
      </c>
      <c r="X1144" s="26" t="s">
        <v>409</v>
      </c>
      <c r="Y1144" s="26" t="s">
        <v>39</v>
      </c>
      <c r="Z1144" s="27">
        <v>0.94339622641509424</v>
      </c>
      <c r="AA1144" s="33">
        <v>0.33333333333333331</v>
      </c>
      <c r="AB1144" s="26" t="s">
        <v>411</v>
      </c>
      <c r="AC1144" s="26" t="s">
        <v>38</v>
      </c>
      <c r="AD1144" s="26" t="s">
        <v>42</v>
      </c>
      <c r="AE1144" s="27">
        <v>2.5</v>
      </c>
      <c r="AF1144" s="36">
        <v>0.33333333333333331</v>
      </c>
      <c r="AG1144" s="31">
        <v>0</v>
      </c>
      <c r="AH1144" t="s">
        <v>44</v>
      </c>
    </row>
    <row r="1145" spans="1:35">
      <c r="A1145" s="15" t="s">
        <v>1213</v>
      </c>
      <c r="B1145" s="8" t="s">
        <v>1135</v>
      </c>
      <c r="C1145" s="41" t="s">
        <v>37</v>
      </c>
      <c r="D1145" s="1" t="s">
        <v>38</v>
      </c>
      <c r="E1145" s="26" t="s">
        <v>39</v>
      </c>
      <c r="F1145" s="27">
        <v>0.95238095238095233</v>
      </c>
      <c r="G1145" s="33">
        <v>0.33333333333333331</v>
      </c>
      <c r="H1145" s="41" t="s">
        <v>408</v>
      </c>
      <c r="I1145" s="1" t="s">
        <v>409</v>
      </c>
      <c r="J1145" s="26" t="s">
        <v>39</v>
      </c>
      <c r="K1145" s="27">
        <v>0.94339622641509424</v>
      </c>
      <c r="L1145" s="33">
        <v>0.33333333333333331</v>
      </c>
      <c r="M1145" s="41" t="s">
        <v>410</v>
      </c>
      <c r="N1145" s="1" t="s">
        <v>38</v>
      </c>
      <c r="O1145" s="26" t="s">
        <v>42</v>
      </c>
      <c r="P1145" s="27">
        <v>3.2258064516129035</v>
      </c>
      <c r="Q1145" s="33">
        <v>0.33333333333333331</v>
      </c>
      <c r="R1145" s="55" t="s">
        <v>37</v>
      </c>
      <c r="S1145" s="26" t="s">
        <v>38</v>
      </c>
      <c r="T1145" s="26" t="s">
        <v>39</v>
      </c>
      <c r="U1145" s="27">
        <v>0.95238095238095233</v>
      </c>
      <c r="V1145" s="33">
        <v>0.33333333333333331</v>
      </c>
      <c r="W1145" s="26" t="s">
        <v>408</v>
      </c>
      <c r="X1145" s="26" t="s">
        <v>409</v>
      </c>
      <c r="Y1145" s="26" t="s">
        <v>39</v>
      </c>
      <c r="Z1145" s="27">
        <v>0.94339622641509424</v>
      </c>
      <c r="AA1145" s="33">
        <v>0.33333333333333331</v>
      </c>
      <c r="AB1145" s="26" t="s">
        <v>411</v>
      </c>
      <c r="AC1145" s="26" t="s">
        <v>38</v>
      </c>
      <c r="AD1145" s="26" t="s">
        <v>42</v>
      </c>
      <c r="AE1145" s="27">
        <v>2.5</v>
      </c>
      <c r="AF1145" s="36">
        <v>0.33333333333333331</v>
      </c>
      <c r="AG1145" s="31">
        <v>0</v>
      </c>
      <c r="AH1145" t="s">
        <v>44</v>
      </c>
    </row>
    <row r="1146" spans="1:35">
      <c r="A1146" s="15" t="s">
        <v>1214</v>
      </c>
      <c r="B1146" s="8" t="s">
        <v>1135</v>
      </c>
      <c r="C1146" s="41" t="s">
        <v>37</v>
      </c>
      <c r="D1146" s="1" t="s">
        <v>38</v>
      </c>
      <c r="E1146" s="26" t="s">
        <v>39</v>
      </c>
      <c r="F1146" s="27">
        <v>0.95238095238095233</v>
      </c>
      <c r="G1146" s="33">
        <v>0.33333333333333331</v>
      </c>
      <c r="H1146" s="41" t="s">
        <v>408</v>
      </c>
      <c r="I1146" s="1" t="s">
        <v>409</v>
      </c>
      <c r="J1146" s="26" t="s">
        <v>39</v>
      </c>
      <c r="K1146" s="27">
        <v>0.94339622641509424</v>
      </c>
      <c r="L1146" s="33">
        <v>0.33333333333333331</v>
      </c>
      <c r="M1146" s="41" t="s">
        <v>410</v>
      </c>
      <c r="N1146" s="1" t="s">
        <v>38</v>
      </c>
      <c r="O1146" s="26" t="s">
        <v>42</v>
      </c>
      <c r="P1146" s="27">
        <v>3.2258064516129035</v>
      </c>
      <c r="Q1146" s="33">
        <v>0.33333333333333331</v>
      </c>
      <c r="R1146" s="55" t="s">
        <v>37</v>
      </c>
      <c r="S1146" s="26" t="s">
        <v>38</v>
      </c>
      <c r="T1146" s="26" t="s">
        <v>39</v>
      </c>
      <c r="U1146" s="27">
        <v>0.95238095238095233</v>
      </c>
      <c r="V1146" s="33">
        <v>0.33333333333333331</v>
      </c>
      <c r="W1146" s="26" t="s">
        <v>408</v>
      </c>
      <c r="X1146" s="26" t="s">
        <v>409</v>
      </c>
      <c r="Y1146" s="26" t="s">
        <v>39</v>
      </c>
      <c r="Z1146" s="27">
        <v>0.94339622641509424</v>
      </c>
      <c r="AA1146" s="33">
        <v>0.33333333333333331</v>
      </c>
      <c r="AB1146" s="26" t="s">
        <v>411</v>
      </c>
      <c r="AC1146" s="26" t="s">
        <v>38</v>
      </c>
      <c r="AD1146" s="26" t="s">
        <v>42</v>
      </c>
      <c r="AE1146" s="27">
        <v>2.5</v>
      </c>
      <c r="AF1146" s="36">
        <v>0.33333333333333331</v>
      </c>
      <c r="AG1146" s="31">
        <v>0</v>
      </c>
      <c r="AH1146" t="s">
        <v>44</v>
      </c>
    </row>
    <row r="1147" spans="1:35">
      <c r="A1147" s="15" t="s">
        <v>1215</v>
      </c>
      <c r="B1147" s="8" t="s">
        <v>1135</v>
      </c>
      <c r="C1147" s="41" t="s">
        <v>37</v>
      </c>
      <c r="D1147" s="1" t="s">
        <v>38</v>
      </c>
      <c r="E1147" s="26" t="s">
        <v>39</v>
      </c>
      <c r="F1147" s="27">
        <v>0.95238095238095233</v>
      </c>
      <c r="G1147" s="33">
        <v>0.33333333333333331</v>
      </c>
      <c r="H1147" s="41" t="s">
        <v>408</v>
      </c>
      <c r="I1147" s="1" t="s">
        <v>409</v>
      </c>
      <c r="J1147" s="26" t="s">
        <v>39</v>
      </c>
      <c r="K1147" s="27">
        <v>0.94339622641509424</v>
      </c>
      <c r="L1147" s="33">
        <v>0.33333333333333331</v>
      </c>
      <c r="M1147" s="41" t="s">
        <v>410</v>
      </c>
      <c r="N1147" s="1" t="s">
        <v>38</v>
      </c>
      <c r="O1147" s="26" t="s">
        <v>42</v>
      </c>
      <c r="P1147" s="27">
        <v>3.2258064516129035</v>
      </c>
      <c r="Q1147" s="33">
        <v>0.33333333333333331</v>
      </c>
      <c r="R1147" s="55" t="s">
        <v>37</v>
      </c>
      <c r="S1147" s="26" t="s">
        <v>38</v>
      </c>
      <c r="T1147" s="26" t="s">
        <v>39</v>
      </c>
      <c r="U1147" s="27">
        <v>0.95238095238095233</v>
      </c>
      <c r="V1147" s="33">
        <v>0.33333333333333331</v>
      </c>
      <c r="W1147" s="26" t="s">
        <v>408</v>
      </c>
      <c r="X1147" s="26" t="s">
        <v>409</v>
      </c>
      <c r="Y1147" s="26" t="s">
        <v>39</v>
      </c>
      <c r="Z1147" s="27">
        <v>0.94339622641509424</v>
      </c>
      <c r="AA1147" s="33">
        <v>0.33333333333333331</v>
      </c>
      <c r="AB1147" s="26" t="s">
        <v>411</v>
      </c>
      <c r="AC1147" s="26" t="s">
        <v>38</v>
      </c>
      <c r="AD1147" s="26" t="s">
        <v>42</v>
      </c>
      <c r="AE1147" s="27">
        <v>2.5</v>
      </c>
      <c r="AF1147" s="36">
        <v>0.33333333333333331</v>
      </c>
      <c r="AG1147" s="31">
        <v>0</v>
      </c>
      <c r="AH1147" t="s">
        <v>44</v>
      </c>
    </row>
    <row r="1148" spans="1:35">
      <c r="A1148" s="15" t="s">
        <v>1216</v>
      </c>
      <c r="B1148" s="8" t="s">
        <v>1135</v>
      </c>
      <c r="C1148" s="41" t="s">
        <v>37</v>
      </c>
      <c r="D1148" s="1" t="s">
        <v>38</v>
      </c>
      <c r="E1148" s="26" t="s">
        <v>39</v>
      </c>
      <c r="F1148" s="27">
        <v>0.95238095238095233</v>
      </c>
      <c r="G1148" s="33">
        <v>0.33333333333333331</v>
      </c>
      <c r="H1148" s="41" t="s">
        <v>408</v>
      </c>
      <c r="I1148" s="1" t="s">
        <v>409</v>
      </c>
      <c r="J1148" s="26" t="s">
        <v>39</v>
      </c>
      <c r="K1148" s="27">
        <v>0.94339622641509424</v>
      </c>
      <c r="L1148" s="33">
        <v>0.33333333333333331</v>
      </c>
      <c r="M1148" s="41" t="s">
        <v>410</v>
      </c>
      <c r="N1148" s="1" t="s">
        <v>38</v>
      </c>
      <c r="O1148" s="26" t="s">
        <v>42</v>
      </c>
      <c r="P1148" s="27">
        <v>3.2258064516129035</v>
      </c>
      <c r="Q1148" s="33">
        <v>0.33333333333333331</v>
      </c>
      <c r="R1148" s="55" t="s">
        <v>37</v>
      </c>
      <c r="S1148" s="26" t="s">
        <v>38</v>
      </c>
      <c r="T1148" s="26" t="s">
        <v>39</v>
      </c>
      <c r="U1148" s="27">
        <v>0.95238095238095233</v>
      </c>
      <c r="V1148" s="33">
        <v>0.33333333333333331</v>
      </c>
      <c r="W1148" s="26" t="s">
        <v>408</v>
      </c>
      <c r="X1148" s="26" t="s">
        <v>409</v>
      </c>
      <c r="Y1148" s="26" t="s">
        <v>39</v>
      </c>
      <c r="Z1148" s="27">
        <v>0.94339622641509424</v>
      </c>
      <c r="AA1148" s="33">
        <v>0.33333333333333331</v>
      </c>
      <c r="AB1148" s="26" t="s">
        <v>411</v>
      </c>
      <c r="AC1148" s="26" t="s">
        <v>38</v>
      </c>
      <c r="AD1148" s="26" t="s">
        <v>42</v>
      </c>
      <c r="AE1148" s="27">
        <v>2.5</v>
      </c>
      <c r="AF1148" s="36">
        <v>0.33333333333333331</v>
      </c>
      <c r="AG1148" s="31">
        <v>0</v>
      </c>
      <c r="AH1148" t="s">
        <v>44</v>
      </c>
    </row>
    <row r="1149" spans="1:35">
      <c r="A1149" s="15" t="s">
        <v>1217</v>
      </c>
      <c r="B1149" s="8" t="s">
        <v>1135</v>
      </c>
      <c r="C1149" s="41" t="s">
        <v>37</v>
      </c>
      <c r="D1149" s="1" t="s">
        <v>38</v>
      </c>
      <c r="E1149" s="26" t="s">
        <v>39</v>
      </c>
      <c r="F1149" s="27">
        <v>0.95238095238095233</v>
      </c>
      <c r="G1149" s="33">
        <v>0.33333333333333331</v>
      </c>
      <c r="H1149" s="41" t="s">
        <v>408</v>
      </c>
      <c r="I1149" s="1" t="s">
        <v>409</v>
      </c>
      <c r="J1149" s="26" t="s">
        <v>39</v>
      </c>
      <c r="K1149" s="27">
        <v>0.94339622641509424</v>
      </c>
      <c r="L1149" s="33">
        <v>0.33333333333333331</v>
      </c>
      <c r="M1149" s="41" t="s">
        <v>410</v>
      </c>
      <c r="N1149" s="1" t="s">
        <v>38</v>
      </c>
      <c r="O1149" s="26" t="s">
        <v>42</v>
      </c>
      <c r="P1149" s="27">
        <v>3.2258064516129035</v>
      </c>
      <c r="Q1149" s="33">
        <v>0.33333333333333331</v>
      </c>
      <c r="R1149" s="55" t="s">
        <v>37</v>
      </c>
      <c r="S1149" s="26" t="s">
        <v>38</v>
      </c>
      <c r="T1149" s="26" t="s">
        <v>39</v>
      </c>
      <c r="U1149" s="27">
        <v>0.95238095238095233</v>
      </c>
      <c r="V1149" s="33">
        <v>0.33333333333333331</v>
      </c>
      <c r="W1149" s="26" t="s">
        <v>408</v>
      </c>
      <c r="X1149" s="26" t="s">
        <v>409</v>
      </c>
      <c r="Y1149" s="26" t="s">
        <v>39</v>
      </c>
      <c r="Z1149" s="27">
        <v>0.94339622641509424</v>
      </c>
      <c r="AA1149" s="33">
        <v>0.33333333333333331</v>
      </c>
      <c r="AB1149" s="26" t="s">
        <v>411</v>
      </c>
      <c r="AC1149" s="26" t="s">
        <v>38</v>
      </c>
      <c r="AD1149" s="26" t="s">
        <v>42</v>
      </c>
      <c r="AE1149" s="27">
        <v>2.5</v>
      </c>
      <c r="AF1149" s="36">
        <v>0.33333333333333331</v>
      </c>
      <c r="AG1149" s="31">
        <v>0</v>
      </c>
      <c r="AH1149" t="s">
        <v>44</v>
      </c>
    </row>
    <row r="1150" spans="1:35" s="65" customFormat="1">
      <c r="A1150" s="16" t="s">
        <v>1218</v>
      </c>
      <c r="B1150" s="57" t="s">
        <v>1135</v>
      </c>
      <c r="C1150" s="58" t="s">
        <v>37</v>
      </c>
      <c r="D1150" s="59" t="s">
        <v>38</v>
      </c>
      <c r="E1150" s="60" t="s">
        <v>39</v>
      </c>
      <c r="F1150" s="61">
        <v>0.95238095238095233</v>
      </c>
      <c r="G1150" s="62">
        <v>0.33333333333333331</v>
      </c>
      <c r="H1150" s="58" t="s">
        <v>408</v>
      </c>
      <c r="I1150" s="59" t="s">
        <v>409</v>
      </c>
      <c r="J1150" s="60" t="s">
        <v>39</v>
      </c>
      <c r="K1150" s="61">
        <v>0.94339622641509424</v>
      </c>
      <c r="L1150" s="62">
        <v>0.33333333333333331</v>
      </c>
      <c r="M1150" s="58" t="s">
        <v>410</v>
      </c>
      <c r="N1150" s="59" t="s">
        <v>38</v>
      </c>
      <c r="O1150" s="60" t="s">
        <v>42</v>
      </c>
      <c r="P1150" s="61">
        <v>3.2258064516129035</v>
      </c>
      <c r="Q1150" s="62">
        <v>0.33333333333333331</v>
      </c>
      <c r="R1150" s="89" t="s">
        <v>37</v>
      </c>
      <c r="S1150" s="60" t="s">
        <v>38</v>
      </c>
      <c r="T1150" s="60" t="s">
        <v>39</v>
      </c>
      <c r="U1150" s="61">
        <v>0.95238095238095233</v>
      </c>
      <c r="V1150" s="62">
        <v>0.33333333333333331</v>
      </c>
      <c r="W1150" s="60" t="s">
        <v>408</v>
      </c>
      <c r="X1150" s="60" t="s">
        <v>409</v>
      </c>
      <c r="Y1150" s="60" t="s">
        <v>39</v>
      </c>
      <c r="Z1150" s="61">
        <v>0.94339622641509424</v>
      </c>
      <c r="AA1150" s="62">
        <v>0.33333333333333331</v>
      </c>
      <c r="AB1150" s="60" t="s">
        <v>411</v>
      </c>
      <c r="AC1150" s="60" t="s">
        <v>38</v>
      </c>
      <c r="AD1150" s="60" t="s">
        <v>42</v>
      </c>
      <c r="AE1150" s="61">
        <v>2.5</v>
      </c>
      <c r="AF1150" s="66">
        <v>0.33333333333333331</v>
      </c>
      <c r="AG1150" s="93">
        <v>0</v>
      </c>
      <c r="AH1150" s="65" t="s">
        <v>44</v>
      </c>
    </row>
    <row r="1151" spans="1:35">
      <c r="A1151" s="15" t="s">
        <v>1219</v>
      </c>
      <c r="B1151" s="8" t="s">
        <v>1220</v>
      </c>
      <c r="C1151" s="41" t="s">
        <v>37</v>
      </c>
      <c r="D1151" s="1" t="s">
        <v>38</v>
      </c>
      <c r="E1151" s="26" t="s">
        <v>39</v>
      </c>
      <c r="F1151" s="27">
        <v>0.94339622641509424</v>
      </c>
      <c r="G1151" s="33">
        <v>0.5</v>
      </c>
      <c r="H1151" s="26" t="s">
        <v>40</v>
      </c>
      <c r="I1151" s="26" t="s">
        <v>41</v>
      </c>
      <c r="J1151" s="26" t="s">
        <v>42</v>
      </c>
      <c r="K1151" s="27">
        <v>2.3255813953488373</v>
      </c>
      <c r="L1151" s="27">
        <v>0.5</v>
      </c>
      <c r="M1151" s="70"/>
      <c r="N1151" s="26"/>
      <c r="O1151" s="26"/>
      <c r="P1151" s="27"/>
      <c r="Q1151" s="36"/>
      <c r="R1151" s="26" t="s">
        <v>43</v>
      </c>
      <c r="S1151" s="26" t="s">
        <v>38</v>
      </c>
      <c r="T1151" s="26" t="s">
        <v>39</v>
      </c>
      <c r="U1151" s="27">
        <v>0.84745762711864414</v>
      </c>
      <c r="V1151" s="33">
        <v>1</v>
      </c>
      <c r="W1151" s="26"/>
      <c r="X1151" s="26"/>
      <c r="Y1151" s="26"/>
      <c r="Z1151" s="27"/>
      <c r="AA1151" s="26"/>
      <c r="AB1151" s="70"/>
      <c r="AC1151" s="26"/>
      <c r="AD1151" s="26"/>
      <c r="AE1151" s="26"/>
      <c r="AF1151" s="37"/>
      <c r="AG1151" s="27">
        <v>0</v>
      </c>
      <c r="AH1151" s="1" t="s">
        <v>44</v>
      </c>
      <c r="AI1151" s="1"/>
    </row>
    <row r="1152" spans="1:35">
      <c r="A1152" s="15" t="s">
        <v>1221</v>
      </c>
      <c r="B1152" s="8" t="s">
        <v>1220</v>
      </c>
      <c r="C1152" s="41" t="s">
        <v>37</v>
      </c>
      <c r="D1152" s="1" t="s">
        <v>38</v>
      </c>
      <c r="E1152" s="26" t="s">
        <v>39</v>
      </c>
      <c r="F1152" s="27">
        <v>0.94339622641509424</v>
      </c>
      <c r="G1152" s="33">
        <v>0.5</v>
      </c>
      <c r="H1152" s="26" t="s">
        <v>40</v>
      </c>
      <c r="I1152" s="26" t="s">
        <v>41</v>
      </c>
      <c r="J1152" s="26" t="s">
        <v>42</v>
      </c>
      <c r="K1152" s="27">
        <v>2.3255813953488373</v>
      </c>
      <c r="L1152" s="27">
        <v>0.5</v>
      </c>
      <c r="M1152" s="70"/>
      <c r="N1152" s="26"/>
      <c r="O1152" s="26"/>
      <c r="P1152" s="27"/>
      <c r="Q1152" s="36"/>
      <c r="R1152" s="26" t="s">
        <v>43</v>
      </c>
      <c r="S1152" s="26" t="s">
        <v>38</v>
      </c>
      <c r="T1152" s="26" t="s">
        <v>39</v>
      </c>
      <c r="U1152" s="27">
        <v>0.84745762711864414</v>
      </c>
      <c r="V1152" s="33">
        <v>1</v>
      </c>
      <c r="AG1152" s="31">
        <v>0</v>
      </c>
      <c r="AH1152" s="1" t="s">
        <v>44</v>
      </c>
    </row>
    <row r="1153" spans="1:34">
      <c r="A1153" s="15" t="s">
        <v>1222</v>
      </c>
      <c r="B1153" s="8" t="s">
        <v>1220</v>
      </c>
      <c r="C1153" s="41" t="s">
        <v>37</v>
      </c>
      <c r="D1153" s="1" t="s">
        <v>38</v>
      </c>
      <c r="E1153" s="26" t="s">
        <v>39</v>
      </c>
      <c r="F1153" s="27">
        <v>0.94339622641509424</v>
      </c>
      <c r="G1153" s="33">
        <v>0.5</v>
      </c>
      <c r="H1153" s="26" t="s">
        <v>40</v>
      </c>
      <c r="I1153" s="26" t="s">
        <v>41</v>
      </c>
      <c r="J1153" s="26" t="s">
        <v>42</v>
      </c>
      <c r="K1153" s="27">
        <v>2.3255813953488373</v>
      </c>
      <c r="L1153" s="27">
        <v>0.5</v>
      </c>
      <c r="M1153" s="70"/>
      <c r="N1153" s="26"/>
      <c r="O1153" s="26"/>
      <c r="P1153" s="27"/>
      <c r="Q1153" s="36"/>
      <c r="R1153" s="26" t="s">
        <v>43</v>
      </c>
      <c r="S1153" s="26" t="s">
        <v>38</v>
      </c>
      <c r="T1153" s="26" t="s">
        <v>39</v>
      </c>
      <c r="U1153" s="27">
        <v>0.84745762711864414</v>
      </c>
      <c r="V1153" s="33">
        <v>1</v>
      </c>
      <c r="AG1153" s="31">
        <v>0</v>
      </c>
      <c r="AH1153" s="1" t="s">
        <v>44</v>
      </c>
    </row>
    <row r="1154" spans="1:34">
      <c r="A1154" s="15" t="s">
        <v>1223</v>
      </c>
      <c r="B1154" s="8" t="s">
        <v>1220</v>
      </c>
      <c r="C1154" s="41" t="s">
        <v>37</v>
      </c>
      <c r="D1154" s="1" t="s">
        <v>38</v>
      </c>
      <c r="E1154" s="26" t="s">
        <v>39</v>
      </c>
      <c r="F1154" s="27">
        <v>0.94339622641509424</v>
      </c>
      <c r="G1154" s="33">
        <v>0.5</v>
      </c>
      <c r="H1154" s="26" t="s">
        <v>40</v>
      </c>
      <c r="I1154" s="26" t="s">
        <v>41</v>
      </c>
      <c r="J1154" s="26" t="s">
        <v>42</v>
      </c>
      <c r="K1154" s="27">
        <v>2.3255813953488373</v>
      </c>
      <c r="L1154" s="27">
        <v>0.5</v>
      </c>
      <c r="M1154" s="70"/>
      <c r="N1154" s="26"/>
      <c r="O1154" s="26"/>
      <c r="P1154" s="27"/>
      <c r="Q1154" s="36"/>
      <c r="R1154" s="26" t="s">
        <v>43</v>
      </c>
      <c r="S1154" s="26" t="s">
        <v>38</v>
      </c>
      <c r="T1154" s="26" t="s">
        <v>39</v>
      </c>
      <c r="U1154" s="27">
        <v>0.84745762711864414</v>
      </c>
      <c r="V1154" s="33">
        <v>1</v>
      </c>
      <c r="AG1154" s="31">
        <v>0</v>
      </c>
      <c r="AH1154" s="1" t="s">
        <v>44</v>
      </c>
    </row>
    <row r="1155" spans="1:34">
      <c r="A1155" s="15" t="s">
        <v>1224</v>
      </c>
      <c r="B1155" s="8" t="s">
        <v>1220</v>
      </c>
      <c r="C1155" s="41" t="s">
        <v>37</v>
      </c>
      <c r="D1155" s="1" t="s">
        <v>38</v>
      </c>
      <c r="E1155" s="26" t="s">
        <v>39</v>
      </c>
      <c r="F1155" s="27">
        <v>0.94339622641509424</v>
      </c>
      <c r="G1155" s="33">
        <v>0.5</v>
      </c>
      <c r="H1155" s="26" t="s">
        <v>40</v>
      </c>
      <c r="I1155" s="26" t="s">
        <v>41</v>
      </c>
      <c r="J1155" s="26" t="s">
        <v>42</v>
      </c>
      <c r="K1155" s="27">
        <v>2.3255813953488373</v>
      </c>
      <c r="L1155" s="27">
        <v>0.5</v>
      </c>
      <c r="M1155" s="70"/>
      <c r="N1155" s="26"/>
      <c r="O1155" s="26"/>
      <c r="P1155" s="27"/>
      <c r="Q1155" s="36"/>
      <c r="R1155" s="26" t="s">
        <v>43</v>
      </c>
      <c r="S1155" s="26" t="s">
        <v>38</v>
      </c>
      <c r="T1155" s="26" t="s">
        <v>39</v>
      </c>
      <c r="U1155" s="27">
        <v>0.84745762711864414</v>
      </c>
      <c r="V1155" s="33">
        <v>1</v>
      </c>
      <c r="AG1155" s="31">
        <v>0</v>
      </c>
      <c r="AH1155" s="1" t="s">
        <v>44</v>
      </c>
    </row>
    <row r="1156" spans="1:34">
      <c r="A1156" s="15" t="s">
        <v>1225</v>
      </c>
      <c r="B1156" s="8" t="s">
        <v>1220</v>
      </c>
      <c r="C1156" s="41" t="s">
        <v>37</v>
      </c>
      <c r="D1156" s="1" t="s">
        <v>38</v>
      </c>
      <c r="E1156" s="26" t="s">
        <v>39</v>
      </c>
      <c r="F1156" s="27">
        <v>0.94339622641509424</v>
      </c>
      <c r="G1156" s="33">
        <v>0.5</v>
      </c>
      <c r="H1156" s="26" t="s">
        <v>40</v>
      </c>
      <c r="I1156" s="26" t="s">
        <v>41</v>
      </c>
      <c r="J1156" s="26" t="s">
        <v>42</v>
      </c>
      <c r="K1156" s="27">
        <v>2.3255813953488373</v>
      </c>
      <c r="L1156" s="27">
        <v>0.5</v>
      </c>
      <c r="M1156" s="70"/>
      <c r="N1156" s="26"/>
      <c r="O1156" s="26"/>
      <c r="P1156" s="27"/>
      <c r="Q1156" s="36"/>
      <c r="R1156" s="26" t="s">
        <v>43</v>
      </c>
      <c r="S1156" s="26" t="s">
        <v>38</v>
      </c>
      <c r="T1156" s="26" t="s">
        <v>39</v>
      </c>
      <c r="U1156" s="27">
        <v>0.84745762711864414</v>
      </c>
      <c r="V1156" s="33">
        <v>1</v>
      </c>
      <c r="AG1156" s="31">
        <v>0</v>
      </c>
      <c r="AH1156" s="1" t="s">
        <v>44</v>
      </c>
    </row>
    <row r="1157" spans="1:34">
      <c r="A1157" s="15" t="s">
        <v>1226</v>
      </c>
      <c r="B1157" s="8" t="s">
        <v>1220</v>
      </c>
      <c r="C1157" s="41" t="s">
        <v>37</v>
      </c>
      <c r="D1157" s="1" t="s">
        <v>38</v>
      </c>
      <c r="E1157" s="26" t="s">
        <v>39</v>
      </c>
      <c r="F1157" s="27">
        <v>0.94339622641509424</v>
      </c>
      <c r="G1157" s="33">
        <v>0.5</v>
      </c>
      <c r="H1157" s="26" t="s">
        <v>40</v>
      </c>
      <c r="I1157" s="26" t="s">
        <v>41</v>
      </c>
      <c r="J1157" s="26" t="s">
        <v>42</v>
      </c>
      <c r="K1157" s="27">
        <v>2.3255813953488373</v>
      </c>
      <c r="L1157" s="27">
        <v>0.5</v>
      </c>
      <c r="M1157" s="70"/>
      <c r="N1157" s="26"/>
      <c r="O1157" s="26"/>
      <c r="P1157" s="27"/>
      <c r="Q1157" s="36"/>
      <c r="R1157" s="26" t="s">
        <v>43</v>
      </c>
      <c r="S1157" s="26" t="s">
        <v>38</v>
      </c>
      <c r="T1157" s="26" t="s">
        <v>39</v>
      </c>
      <c r="U1157" s="27">
        <v>0.84745762711864414</v>
      </c>
      <c r="V1157" s="33">
        <v>1</v>
      </c>
      <c r="AG1157" s="31">
        <v>0</v>
      </c>
      <c r="AH1157" s="1" t="s">
        <v>44</v>
      </c>
    </row>
    <row r="1158" spans="1:34">
      <c r="A1158" s="15" t="s">
        <v>1227</v>
      </c>
      <c r="B1158" s="8" t="s">
        <v>1220</v>
      </c>
      <c r="C1158" s="41" t="s">
        <v>37</v>
      </c>
      <c r="D1158" s="1" t="s">
        <v>38</v>
      </c>
      <c r="E1158" s="26" t="s">
        <v>39</v>
      </c>
      <c r="F1158" s="27">
        <v>0.94339622641509424</v>
      </c>
      <c r="G1158" s="33">
        <v>0.5</v>
      </c>
      <c r="H1158" s="26" t="s">
        <v>40</v>
      </c>
      <c r="I1158" s="26" t="s">
        <v>41</v>
      </c>
      <c r="J1158" s="26" t="s">
        <v>42</v>
      </c>
      <c r="K1158" s="27">
        <v>2.3255813953488373</v>
      </c>
      <c r="L1158" s="27">
        <v>0.5</v>
      </c>
      <c r="M1158" s="70"/>
      <c r="N1158" s="26"/>
      <c r="O1158" s="26"/>
      <c r="P1158" s="27"/>
      <c r="Q1158" s="36"/>
      <c r="R1158" s="26" t="s">
        <v>43</v>
      </c>
      <c r="S1158" s="26" t="s">
        <v>38</v>
      </c>
      <c r="T1158" s="26" t="s">
        <v>39</v>
      </c>
      <c r="U1158" s="27">
        <v>0.84745762711864414</v>
      </c>
      <c r="V1158" s="33">
        <v>1</v>
      </c>
      <c r="AG1158" s="31">
        <v>0</v>
      </c>
      <c r="AH1158" s="1" t="s">
        <v>44</v>
      </c>
    </row>
    <row r="1159" spans="1:34">
      <c r="A1159" s="15" t="s">
        <v>1228</v>
      </c>
      <c r="B1159" s="8" t="s">
        <v>1220</v>
      </c>
      <c r="C1159" s="41" t="s">
        <v>37</v>
      </c>
      <c r="D1159" s="1" t="s">
        <v>38</v>
      </c>
      <c r="E1159" s="26" t="s">
        <v>39</v>
      </c>
      <c r="F1159" s="27">
        <v>0.94339622641509424</v>
      </c>
      <c r="G1159" s="33">
        <v>0.5</v>
      </c>
      <c r="H1159" s="26" t="s">
        <v>40</v>
      </c>
      <c r="I1159" s="26" t="s">
        <v>41</v>
      </c>
      <c r="J1159" s="26" t="s">
        <v>42</v>
      </c>
      <c r="K1159" s="27">
        <v>2.3255813953488373</v>
      </c>
      <c r="L1159" s="27">
        <v>0.5</v>
      </c>
      <c r="M1159" s="70"/>
      <c r="N1159" s="26"/>
      <c r="O1159" s="26"/>
      <c r="P1159" s="27"/>
      <c r="Q1159" s="36"/>
      <c r="R1159" s="26" t="s">
        <v>43</v>
      </c>
      <c r="S1159" s="26" t="s">
        <v>38</v>
      </c>
      <c r="T1159" s="26" t="s">
        <v>39</v>
      </c>
      <c r="U1159" s="27">
        <v>0.84745762711864414</v>
      </c>
      <c r="V1159" s="33">
        <v>1</v>
      </c>
      <c r="AG1159" s="31">
        <v>0</v>
      </c>
      <c r="AH1159" s="1" t="s">
        <v>44</v>
      </c>
    </row>
    <row r="1160" spans="1:34">
      <c r="A1160" s="15" t="s">
        <v>1229</v>
      </c>
      <c r="B1160" s="8" t="s">
        <v>1220</v>
      </c>
      <c r="C1160" s="41" t="s">
        <v>37</v>
      </c>
      <c r="D1160" s="1" t="s">
        <v>38</v>
      </c>
      <c r="E1160" s="26" t="s">
        <v>39</v>
      </c>
      <c r="F1160" s="27">
        <v>0.94339622641509424</v>
      </c>
      <c r="G1160" s="33">
        <v>0.5</v>
      </c>
      <c r="H1160" s="26" t="s">
        <v>40</v>
      </c>
      <c r="I1160" s="26" t="s">
        <v>41</v>
      </c>
      <c r="J1160" s="26" t="s">
        <v>42</v>
      </c>
      <c r="K1160" s="27">
        <v>2.3255813953488373</v>
      </c>
      <c r="L1160" s="27">
        <v>0.5</v>
      </c>
      <c r="M1160" s="70"/>
      <c r="N1160" s="26"/>
      <c r="O1160" s="26"/>
      <c r="P1160" s="27"/>
      <c r="Q1160" s="36"/>
      <c r="R1160" s="26" t="s">
        <v>43</v>
      </c>
      <c r="S1160" s="26" t="s">
        <v>38</v>
      </c>
      <c r="T1160" s="26" t="s">
        <v>39</v>
      </c>
      <c r="U1160" s="27">
        <v>0.84745762711864414</v>
      </c>
      <c r="V1160" s="33">
        <v>1</v>
      </c>
      <c r="AG1160" s="31">
        <v>0</v>
      </c>
      <c r="AH1160" s="1" t="s">
        <v>44</v>
      </c>
    </row>
    <row r="1161" spans="1:34">
      <c r="A1161" s="15" t="s">
        <v>1230</v>
      </c>
      <c r="B1161" s="8" t="s">
        <v>1220</v>
      </c>
      <c r="C1161" s="41" t="s">
        <v>37</v>
      </c>
      <c r="D1161" s="1" t="s">
        <v>38</v>
      </c>
      <c r="E1161" s="26" t="s">
        <v>39</v>
      </c>
      <c r="F1161" s="27">
        <v>0.94339622641509424</v>
      </c>
      <c r="G1161" s="33">
        <v>0.5</v>
      </c>
      <c r="H1161" s="26" t="s">
        <v>40</v>
      </c>
      <c r="I1161" s="26" t="s">
        <v>41</v>
      </c>
      <c r="J1161" s="26" t="s">
        <v>42</v>
      </c>
      <c r="K1161" s="27">
        <v>2.3255813953488373</v>
      </c>
      <c r="L1161" s="27">
        <v>0.5</v>
      </c>
      <c r="M1161" s="70"/>
      <c r="N1161" s="26"/>
      <c r="O1161" s="26"/>
      <c r="P1161" s="27"/>
      <c r="Q1161" s="36"/>
      <c r="R1161" s="26" t="s">
        <v>43</v>
      </c>
      <c r="S1161" s="26" t="s">
        <v>38</v>
      </c>
      <c r="T1161" s="26" t="s">
        <v>39</v>
      </c>
      <c r="U1161" s="27">
        <v>0.84745762711864414</v>
      </c>
      <c r="V1161" s="33">
        <v>1</v>
      </c>
      <c r="AG1161" s="31">
        <v>0</v>
      </c>
      <c r="AH1161" s="1" t="s">
        <v>44</v>
      </c>
    </row>
    <row r="1162" spans="1:34">
      <c r="A1162" s="15" t="s">
        <v>1231</v>
      </c>
      <c r="B1162" s="8" t="s">
        <v>1220</v>
      </c>
      <c r="C1162" s="41" t="s">
        <v>37</v>
      </c>
      <c r="D1162" s="1" t="s">
        <v>38</v>
      </c>
      <c r="E1162" s="26" t="s">
        <v>39</v>
      </c>
      <c r="F1162" s="27">
        <v>0.94339622641509424</v>
      </c>
      <c r="G1162" s="33">
        <v>0.5</v>
      </c>
      <c r="H1162" s="26" t="s">
        <v>40</v>
      </c>
      <c r="I1162" s="26" t="s">
        <v>41</v>
      </c>
      <c r="J1162" s="26" t="s">
        <v>42</v>
      </c>
      <c r="K1162" s="27">
        <v>2.3255813953488373</v>
      </c>
      <c r="L1162" s="27">
        <v>0.5</v>
      </c>
      <c r="M1162" s="70"/>
      <c r="N1162" s="26"/>
      <c r="O1162" s="26"/>
      <c r="P1162" s="27"/>
      <c r="Q1162" s="36"/>
      <c r="R1162" s="26" t="s">
        <v>43</v>
      </c>
      <c r="S1162" s="26" t="s">
        <v>38</v>
      </c>
      <c r="T1162" s="26" t="s">
        <v>39</v>
      </c>
      <c r="U1162" s="27">
        <v>0.84745762711864414</v>
      </c>
      <c r="V1162" s="33">
        <v>1</v>
      </c>
      <c r="AG1162" s="31">
        <v>0</v>
      </c>
      <c r="AH1162" s="1" t="s">
        <v>44</v>
      </c>
    </row>
    <row r="1163" spans="1:34">
      <c r="A1163" s="15" t="s">
        <v>1232</v>
      </c>
      <c r="B1163" s="8" t="s">
        <v>1220</v>
      </c>
      <c r="C1163" s="41" t="s">
        <v>37</v>
      </c>
      <c r="D1163" s="1" t="s">
        <v>38</v>
      </c>
      <c r="E1163" s="26" t="s">
        <v>39</v>
      </c>
      <c r="F1163" s="27">
        <v>0.94339622641509424</v>
      </c>
      <c r="G1163" s="33">
        <v>0.5</v>
      </c>
      <c r="H1163" s="26" t="s">
        <v>40</v>
      </c>
      <c r="I1163" s="26" t="s">
        <v>41</v>
      </c>
      <c r="J1163" s="26" t="s">
        <v>42</v>
      </c>
      <c r="K1163" s="27">
        <v>2.3255813953488373</v>
      </c>
      <c r="L1163" s="27">
        <v>0.5</v>
      </c>
      <c r="M1163" s="70"/>
      <c r="N1163" s="26"/>
      <c r="O1163" s="26"/>
      <c r="P1163" s="27"/>
      <c r="Q1163" s="36"/>
      <c r="R1163" s="26" t="s">
        <v>43</v>
      </c>
      <c r="S1163" s="26" t="s">
        <v>38</v>
      </c>
      <c r="T1163" s="26" t="s">
        <v>39</v>
      </c>
      <c r="U1163" s="27">
        <v>0.84745762711864414</v>
      </c>
      <c r="V1163" s="33">
        <v>1</v>
      </c>
      <c r="AG1163" s="31">
        <v>0</v>
      </c>
      <c r="AH1163" s="1" t="s">
        <v>44</v>
      </c>
    </row>
    <row r="1164" spans="1:34">
      <c r="A1164" s="15" t="s">
        <v>1233</v>
      </c>
      <c r="B1164" s="8" t="s">
        <v>1220</v>
      </c>
      <c r="C1164" s="41" t="s">
        <v>37</v>
      </c>
      <c r="D1164" s="1" t="s">
        <v>38</v>
      </c>
      <c r="E1164" s="26" t="s">
        <v>39</v>
      </c>
      <c r="F1164" s="27">
        <v>0.94339622641509424</v>
      </c>
      <c r="G1164" s="33">
        <v>0.5</v>
      </c>
      <c r="H1164" s="26" t="s">
        <v>40</v>
      </c>
      <c r="I1164" s="26" t="s">
        <v>41</v>
      </c>
      <c r="J1164" s="26" t="s">
        <v>42</v>
      </c>
      <c r="K1164" s="27">
        <v>2.3255813953488373</v>
      </c>
      <c r="L1164" s="27">
        <v>0.5</v>
      </c>
      <c r="M1164" s="70"/>
      <c r="N1164" s="26"/>
      <c r="O1164" s="26"/>
      <c r="P1164" s="27"/>
      <c r="Q1164" s="36"/>
      <c r="R1164" s="26" t="s">
        <v>43</v>
      </c>
      <c r="S1164" s="26" t="s">
        <v>38</v>
      </c>
      <c r="T1164" s="26" t="s">
        <v>39</v>
      </c>
      <c r="U1164" s="27">
        <v>0.84745762711864414</v>
      </c>
      <c r="V1164" s="33">
        <v>1</v>
      </c>
      <c r="AG1164" s="31">
        <v>0</v>
      </c>
      <c r="AH1164" s="1" t="s">
        <v>44</v>
      </c>
    </row>
    <row r="1165" spans="1:34">
      <c r="A1165" s="15" t="s">
        <v>1234</v>
      </c>
      <c r="B1165" s="8" t="s">
        <v>1220</v>
      </c>
      <c r="C1165" s="41" t="s">
        <v>37</v>
      </c>
      <c r="D1165" s="1" t="s">
        <v>38</v>
      </c>
      <c r="E1165" s="26" t="s">
        <v>39</v>
      </c>
      <c r="F1165" s="27">
        <v>0.94339622641509424</v>
      </c>
      <c r="G1165" s="33">
        <v>0.5</v>
      </c>
      <c r="H1165" s="26" t="s">
        <v>40</v>
      </c>
      <c r="I1165" s="26" t="s">
        <v>41</v>
      </c>
      <c r="J1165" s="26" t="s">
        <v>42</v>
      </c>
      <c r="K1165" s="27">
        <v>2.3255813953488373</v>
      </c>
      <c r="L1165" s="27">
        <v>0.5</v>
      </c>
      <c r="M1165" s="70"/>
      <c r="N1165" s="26"/>
      <c r="O1165" s="26"/>
      <c r="P1165" s="27"/>
      <c r="Q1165" s="36"/>
      <c r="R1165" s="26" t="s">
        <v>43</v>
      </c>
      <c r="S1165" s="26" t="s">
        <v>38</v>
      </c>
      <c r="T1165" s="26" t="s">
        <v>39</v>
      </c>
      <c r="U1165" s="27">
        <v>0.84745762711864414</v>
      </c>
      <c r="V1165" s="33">
        <v>1</v>
      </c>
      <c r="AG1165" s="31">
        <v>0</v>
      </c>
      <c r="AH1165" s="1" t="s">
        <v>44</v>
      </c>
    </row>
    <row r="1166" spans="1:34">
      <c r="A1166" s="15" t="s">
        <v>1235</v>
      </c>
      <c r="B1166" s="8" t="s">
        <v>1220</v>
      </c>
      <c r="C1166" s="41" t="s">
        <v>37</v>
      </c>
      <c r="D1166" s="1" t="s">
        <v>38</v>
      </c>
      <c r="E1166" s="26" t="s">
        <v>39</v>
      </c>
      <c r="F1166" s="27">
        <v>0.94339622641509424</v>
      </c>
      <c r="G1166" s="33">
        <v>0.5</v>
      </c>
      <c r="H1166" s="26" t="s">
        <v>40</v>
      </c>
      <c r="I1166" s="26" t="s">
        <v>41</v>
      </c>
      <c r="J1166" s="26" t="s">
        <v>42</v>
      </c>
      <c r="K1166" s="27">
        <v>2.3255813953488373</v>
      </c>
      <c r="L1166" s="27">
        <v>0.5</v>
      </c>
      <c r="M1166" s="70"/>
      <c r="N1166" s="26"/>
      <c r="O1166" s="26"/>
      <c r="P1166" s="27"/>
      <c r="Q1166" s="36"/>
      <c r="R1166" s="26" t="s">
        <v>43</v>
      </c>
      <c r="S1166" s="26" t="s">
        <v>38</v>
      </c>
      <c r="T1166" s="26" t="s">
        <v>39</v>
      </c>
      <c r="U1166" s="27">
        <v>0.84745762711864414</v>
      </c>
      <c r="V1166" s="33">
        <v>1</v>
      </c>
      <c r="AG1166" s="31">
        <v>0</v>
      </c>
      <c r="AH1166" s="1" t="s">
        <v>44</v>
      </c>
    </row>
    <row r="1167" spans="1:34">
      <c r="A1167" s="15" t="s">
        <v>1236</v>
      </c>
      <c r="B1167" s="8" t="s">
        <v>1220</v>
      </c>
      <c r="C1167" s="41" t="s">
        <v>37</v>
      </c>
      <c r="D1167" s="1" t="s">
        <v>38</v>
      </c>
      <c r="E1167" s="26" t="s">
        <v>39</v>
      </c>
      <c r="F1167" s="27">
        <v>0.94339622641509424</v>
      </c>
      <c r="G1167" s="33">
        <v>0.5</v>
      </c>
      <c r="H1167" s="26" t="s">
        <v>40</v>
      </c>
      <c r="I1167" s="26" t="s">
        <v>41</v>
      </c>
      <c r="J1167" s="26" t="s">
        <v>42</v>
      </c>
      <c r="K1167" s="27">
        <v>2.3255813953488373</v>
      </c>
      <c r="L1167" s="27">
        <v>0.5</v>
      </c>
      <c r="M1167" s="70"/>
      <c r="N1167" s="26"/>
      <c r="O1167" s="26"/>
      <c r="P1167" s="27"/>
      <c r="Q1167" s="36"/>
      <c r="R1167" s="26" t="s">
        <v>43</v>
      </c>
      <c r="S1167" s="26" t="s">
        <v>38</v>
      </c>
      <c r="T1167" s="26" t="s">
        <v>39</v>
      </c>
      <c r="U1167" s="27">
        <v>0.84745762711864414</v>
      </c>
      <c r="V1167" s="33">
        <v>1</v>
      </c>
      <c r="AG1167" s="31">
        <v>0</v>
      </c>
      <c r="AH1167" s="1" t="s">
        <v>44</v>
      </c>
    </row>
    <row r="1168" spans="1:34">
      <c r="A1168" s="15" t="s">
        <v>1237</v>
      </c>
      <c r="B1168" s="8" t="s">
        <v>1220</v>
      </c>
      <c r="C1168" s="41" t="s">
        <v>37</v>
      </c>
      <c r="D1168" s="1" t="s">
        <v>38</v>
      </c>
      <c r="E1168" s="26" t="s">
        <v>39</v>
      </c>
      <c r="F1168" s="27">
        <v>0.94339622641509424</v>
      </c>
      <c r="G1168" s="33">
        <v>0.5</v>
      </c>
      <c r="H1168" s="26" t="s">
        <v>40</v>
      </c>
      <c r="I1168" s="26" t="s">
        <v>41</v>
      </c>
      <c r="J1168" s="26" t="s">
        <v>42</v>
      </c>
      <c r="K1168" s="27">
        <v>2.3255813953488373</v>
      </c>
      <c r="L1168" s="27">
        <v>0.5</v>
      </c>
      <c r="M1168" s="70"/>
      <c r="N1168" s="26"/>
      <c r="O1168" s="26"/>
      <c r="P1168" s="27"/>
      <c r="Q1168" s="36"/>
      <c r="R1168" s="26" t="s">
        <v>43</v>
      </c>
      <c r="S1168" s="26" t="s">
        <v>38</v>
      </c>
      <c r="T1168" s="26" t="s">
        <v>39</v>
      </c>
      <c r="U1168" s="27">
        <v>0.84745762711864414</v>
      </c>
      <c r="V1168" s="33">
        <v>1</v>
      </c>
      <c r="AG1168" s="31">
        <v>0</v>
      </c>
      <c r="AH1168" s="1" t="s">
        <v>44</v>
      </c>
    </row>
    <row r="1169" spans="1:34">
      <c r="A1169" s="15" t="s">
        <v>1238</v>
      </c>
      <c r="B1169" s="8" t="s">
        <v>1220</v>
      </c>
      <c r="C1169" s="41" t="s">
        <v>37</v>
      </c>
      <c r="D1169" s="1" t="s">
        <v>38</v>
      </c>
      <c r="E1169" s="26" t="s">
        <v>39</v>
      </c>
      <c r="F1169" s="27">
        <v>0.94339622641509424</v>
      </c>
      <c r="G1169" s="33">
        <v>0.5</v>
      </c>
      <c r="H1169" s="26" t="s">
        <v>40</v>
      </c>
      <c r="I1169" s="26" t="s">
        <v>41</v>
      </c>
      <c r="J1169" s="26" t="s">
        <v>42</v>
      </c>
      <c r="K1169" s="27">
        <v>2.3255813953488373</v>
      </c>
      <c r="L1169" s="27">
        <v>0.5</v>
      </c>
      <c r="M1169" s="70"/>
      <c r="N1169" s="26"/>
      <c r="O1169" s="26"/>
      <c r="P1169" s="27"/>
      <c r="Q1169" s="36"/>
      <c r="R1169" s="26" t="s">
        <v>43</v>
      </c>
      <c r="S1169" s="26" t="s">
        <v>38</v>
      </c>
      <c r="T1169" s="26" t="s">
        <v>39</v>
      </c>
      <c r="U1169" s="27">
        <v>0.84745762711864414</v>
      </c>
      <c r="V1169" s="33">
        <v>1</v>
      </c>
      <c r="AG1169" s="31">
        <v>0</v>
      </c>
      <c r="AH1169" s="1" t="s">
        <v>44</v>
      </c>
    </row>
    <row r="1170" spans="1:34">
      <c r="A1170" s="15" t="s">
        <v>1239</v>
      </c>
      <c r="B1170" s="8" t="s">
        <v>1220</v>
      </c>
      <c r="C1170" s="41" t="s">
        <v>37</v>
      </c>
      <c r="D1170" s="1" t="s">
        <v>38</v>
      </c>
      <c r="E1170" s="26" t="s">
        <v>39</v>
      </c>
      <c r="F1170" s="27">
        <v>0.94339622641509424</v>
      </c>
      <c r="G1170" s="33">
        <v>0.5</v>
      </c>
      <c r="H1170" s="26" t="s">
        <v>40</v>
      </c>
      <c r="I1170" s="26" t="s">
        <v>41</v>
      </c>
      <c r="J1170" s="26" t="s">
        <v>42</v>
      </c>
      <c r="K1170" s="27">
        <v>2.3255813953488373</v>
      </c>
      <c r="L1170" s="27">
        <v>0.5</v>
      </c>
      <c r="M1170" s="70"/>
      <c r="N1170" s="26"/>
      <c r="O1170" s="26"/>
      <c r="P1170" s="27"/>
      <c r="Q1170" s="36"/>
      <c r="R1170" s="26" t="s">
        <v>43</v>
      </c>
      <c r="S1170" s="26" t="s">
        <v>38</v>
      </c>
      <c r="T1170" s="26" t="s">
        <v>39</v>
      </c>
      <c r="U1170" s="27">
        <v>0.84745762711864414</v>
      </c>
      <c r="V1170" s="33">
        <v>1</v>
      </c>
      <c r="AG1170" s="31">
        <v>0</v>
      </c>
      <c r="AH1170" s="1" t="s">
        <v>44</v>
      </c>
    </row>
    <row r="1171" spans="1:34">
      <c r="A1171" s="15" t="s">
        <v>1240</v>
      </c>
      <c r="B1171" s="8" t="s">
        <v>1220</v>
      </c>
      <c r="C1171" s="41" t="s">
        <v>37</v>
      </c>
      <c r="D1171" s="1" t="s">
        <v>38</v>
      </c>
      <c r="E1171" s="26" t="s">
        <v>39</v>
      </c>
      <c r="F1171" s="27">
        <v>0.94339622641509424</v>
      </c>
      <c r="G1171" s="33">
        <v>0.5</v>
      </c>
      <c r="H1171" s="26" t="s">
        <v>40</v>
      </c>
      <c r="I1171" s="26" t="s">
        <v>41</v>
      </c>
      <c r="J1171" s="26" t="s">
        <v>42</v>
      </c>
      <c r="K1171" s="27">
        <v>2.3255813953488373</v>
      </c>
      <c r="L1171" s="27">
        <v>0.5</v>
      </c>
      <c r="M1171" s="70"/>
      <c r="N1171" s="26"/>
      <c r="O1171" s="26"/>
      <c r="P1171" s="27"/>
      <c r="Q1171" s="36"/>
      <c r="R1171" s="26" t="s">
        <v>43</v>
      </c>
      <c r="S1171" s="26" t="s">
        <v>38</v>
      </c>
      <c r="T1171" s="26" t="s">
        <v>39</v>
      </c>
      <c r="U1171" s="27">
        <v>0.84745762711864414</v>
      </c>
      <c r="V1171" s="33">
        <v>1</v>
      </c>
      <c r="AG1171" s="31">
        <v>0</v>
      </c>
      <c r="AH1171" s="1" t="s">
        <v>44</v>
      </c>
    </row>
    <row r="1172" spans="1:34">
      <c r="A1172" s="15" t="s">
        <v>1241</v>
      </c>
      <c r="B1172" s="8" t="s">
        <v>1220</v>
      </c>
      <c r="C1172" s="41" t="s">
        <v>37</v>
      </c>
      <c r="D1172" s="1" t="s">
        <v>38</v>
      </c>
      <c r="E1172" s="26" t="s">
        <v>39</v>
      </c>
      <c r="F1172" s="27">
        <v>0.94339622641509424</v>
      </c>
      <c r="G1172" s="33">
        <v>0.5</v>
      </c>
      <c r="H1172" s="26" t="s">
        <v>40</v>
      </c>
      <c r="I1172" s="26" t="s">
        <v>41</v>
      </c>
      <c r="J1172" s="26" t="s">
        <v>42</v>
      </c>
      <c r="K1172" s="27">
        <v>2.3255813953488373</v>
      </c>
      <c r="L1172" s="27">
        <v>0.5</v>
      </c>
      <c r="M1172" s="70"/>
      <c r="N1172" s="26"/>
      <c r="O1172" s="26"/>
      <c r="P1172" s="27"/>
      <c r="Q1172" s="36"/>
      <c r="R1172" s="26" t="s">
        <v>43</v>
      </c>
      <c r="S1172" s="26" t="s">
        <v>38</v>
      </c>
      <c r="T1172" s="26" t="s">
        <v>39</v>
      </c>
      <c r="U1172" s="27">
        <v>0.84745762711864414</v>
      </c>
      <c r="V1172" s="33">
        <v>1</v>
      </c>
      <c r="AG1172" s="31">
        <v>0</v>
      </c>
      <c r="AH1172" s="1" t="s">
        <v>44</v>
      </c>
    </row>
    <row r="1173" spans="1:34">
      <c r="A1173" s="15" t="s">
        <v>1242</v>
      </c>
      <c r="B1173" s="8" t="s">
        <v>1220</v>
      </c>
      <c r="C1173" s="41" t="s">
        <v>37</v>
      </c>
      <c r="D1173" s="1" t="s">
        <v>38</v>
      </c>
      <c r="E1173" s="26" t="s">
        <v>39</v>
      </c>
      <c r="F1173" s="27">
        <v>0.94339622641509424</v>
      </c>
      <c r="G1173" s="33">
        <v>0.5</v>
      </c>
      <c r="H1173" s="26" t="s">
        <v>40</v>
      </c>
      <c r="I1173" s="26" t="s">
        <v>41</v>
      </c>
      <c r="J1173" s="26" t="s">
        <v>42</v>
      </c>
      <c r="K1173" s="27">
        <v>2.3255813953488373</v>
      </c>
      <c r="L1173" s="27">
        <v>0.5</v>
      </c>
      <c r="M1173" s="70"/>
      <c r="N1173" s="26"/>
      <c r="O1173" s="26"/>
      <c r="P1173" s="27"/>
      <c r="Q1173" s="36"/>
      <c r="R1173" s="26" t="s">
        <v>43</v>
      </c>
      <c r="S1173" s="26" t="s">
        <v>38</v>
      </c>
      <c r="T1173" s="26" t="s">
        <v>39</v>
      </c>
      <c r="U1173" s="27">
        <v>0.84745762711864414</v>
      </c>
      <c r="V1173" s="33">
        <v>1</v>
      </c>
      <c r="AG1173" s="31">
        <v>0</v>
      </c>
      <c r="AH1173" s="1" t="s">
        <v>44</v>
      </c>
    </row>
    <row r="1174" spans="1:34">
      <c r="A1174" s="15" t="s">
        <v>1243</v>
      </c>
      <c r="B1174" s="8" t="s">
        <v>1220</v>
      </c>
      <c r="C1174" s="41" t="s">
        <v>37</v>
      </c>
      <c r="D1174" s="1" t="s">
        <v>38</v>
      </c>
      <c r="E1174" s="26" t="s">
        <v>39</v>
      </c>
      <c r="F1174" s="27">
        <v>0.94339622641509424</v>
      </c>
      <c r="G1174" s="33">
        <v>0.5</v>
      </c>
      <c r="H1174" s="26" t="s">
        <v>40</v>
      </c>
      <c r="I1174" s="26" t="s">
        <v>41</v>
      </c>
      <c r="J1174" s="26" t="s">
        <v>42</v>
      </c>
      <c r="K1174" s="27">
        <v>2.3255813953488373</v>
      </c>
      <c r="L1174" s="27">
        <v>0.5</v>
      </c>
      <c r="M1174" s="70"/>
      <c r="N1174" s="26"/>
      <c r="O1174" s="26"/>
      <c r="P1174" s="27"/>
      <c r="Q1174" s="36"/>
      <c r="R1174" s="26" t="s">
        <v>43</v>
      </c>
      <c r="S1174" s="26" t="s">
        <v>38</v>
      </c>
      <c r="T1174" s="26" t="s">
        <v>39</v>
      </c>
      <c r="U1174" s="27">
        <v>0.84745762711864414</v>
      </c>
      <c r="V1174" s="33">
        <v>1</v>
      </c>
      <c r="AG1174" s="31">
        <v>0</v>
      </c>
      <c r="AH1174" s="1" t="s">
        <v>44</v>
      </c>
    </row>
    <row r="1175" spans="1:34">
      <c r="A1175" s="15" t="s">
        <v>1244</v>
      </c>
      <c r="B1175" s="8" t="s">
        <v>1220</v>
      </c>
      <c r="C1175" s="41" t="s">
        <v>37</v>
      </c>
      <c r="D1175" s="1" t="s">
        <v>38</v>
      </c>
      <c r="E1175" s="26" t="s">
        <v>39</v>
      </c>
      <c r="F1175" s="27">
        <v>0.94339622641509424</v>
      </c>
      <c r="G1175" s="33">
        <v>0.5</v>
      </c>
      <c r="H1175" s="26" t="s">
        <v>40</v>
      </c>
      <c r="I1175" s="26" t="s">
        <v>41</v>
      </c>
      <c r="J1175" s="26" t="s">
        <v>42</v>
      </c>
      <c r="K1175" s="27">
        <v>2.3255813953488373</v>
      </c>
      <c r="L1175" s="27">
        <v>0.5</v>
      </c>
      <c r="M1175" s="70"/>
      <c r="N1175" s="26"/>
      <c r="O1175" s="26"/>
      <c r="P1175" s="27"/>
      <c r="Q1175" s="36"/>
      <c r="R1175" s="26" t="s">
        <v>43</v>
      </c>
      <c r="S1175" s="26" t="s">
        <v>38</v>
      </c>
      <c r="T1175" s="26" t="s">
        <v>39</v>
      </c>
      <c r="U1175" s="27">
        <v>0.84745762711864414</v>
      </c>
      <c r="V1175" s="33">
        <v>1</v>
      </c>
      <c r="AG1175" s="31">
        <v>0</v>
      </c>
      <c r="AH1175" s="1" t="s">
        <v>44</v>
      </c>
    </row>
    <row r="1176" spans="1:34">
      <c r="A1176" s="15" t="s">
        <v>1245</v>
      </c>
      <c r="B1176" s="8" t="s">
        <v>1220</v>
      </c>
      <c r="C1176" s="41" t="s">
        <v>37</v>
      </c>
      <c r="D1176" s="1" t="s">
        <v>38</v>
      </c>
      <c r="E1176" s="26" t="s">
        <v>39</v>
      </c>
      <c r="F1176" s="27">
        <v>0.94339622641509424</v>
      </c>
      <c r="G1176" s="33">
        <v>0.5</v>
      </c>
      <c r="H1176" s="26" t="s">
        <v>40</v>
      </c>
      <c r="I1176" s="26" t="s">
        <v>41</v>
      </c>
      <c r="J1176" s="26" t="s">
        <v>42</v>
      </c>
      <c r="K1176" s="27">
        <v>2.3255813953488373</v>
      </c>
      <c r="L1176" s="27">
        <v>0.5</v>
      </c>
      <c r="M1176" s="70"/>
      <c r="N1176" s="26"/>
      <c r="O1176" s="26"/>
      <c r="P1176" s="27"/>
      <c r="Q1176" s="36"/>
      <c r="R1176" s="26" t="s">
        <v>43</v>
      </c>
      <c r="S1176" s="26" t="s">
        <v>38</v>
      </c>
      <c r="T1176" s="26" t="s">
        <v>39</v>
      </c>
      <c r="U1176" s="27">
        <v>0.84745762711864414</v>
      </c>
      <c r="V1176" s="33">
        <v>1</v>
      </c>
      <c r="AG1176" s="31">
        <v>0</v>
      </c>
      <c r="AH1176" s="1" t="s">
        <v>44</v>
      </c>
    </row>
    <row r="1177" spans="1:34">
      <c r="A1177" s="15" t="s">
        <v>1246</v>
      </c>
      <c r="B1177" s="8" t="s">
        <v>1220</v>
      </c>
      <c r="C1177" s="41" t="s">
        <v>37</v>
      </c>
      <c r="D1177" s="1" t="s">
        <v>38</v>
      </c>
      <c r="E1177" s="26" t="s">
        <v>39</v>
      </c>
      <c r="F1177" s="27">
        <v>0.94339622641509424</v>
      </c>
      <c r="G1177" s="33">
        <v>0.5</v>
      </c>
      <c r="H1177" s="26" t="s">
        <v>40</v>
      </c>
      <c r="I1177" s="26" t="s">
        <v>41</v>
      </c>
      <c r="J1177" s="26" t="s">
        <v>42</v>
      </c>
      <c r="K1177" s="27">
        <v>2.3255813953488373</v>
      </c>
      <c r="L1177" s="27">
        <v>0.5</v>
      </c>
      <c r="M1177" s="70"/>
      <c r="N1177" s="26"/>
      <c r="O1177" s="26"/>
      <c r="P1177" s="27"/>
      <c r="Q1177" s="36"/>
      <c r="R1177" s="26" t="s">
        <v>43</v>
      </c>
      <c r="S1177" s="26" t="s">
        <v>38</v>
      </c>
      <c r="T1177" s="26" t="s">
        <v>39</v>
      </c>
      <c r="U1177" s="27">
        <v>0.84745762711864414</v>
      </c>
      <c r="V1177" s="33">
        <v>1</v>
      </c>
      <c r="AG1177" s="31">
        <v>0</v>
      </c>
      <c r="AH1177" s="1" t="s">
        <v>44</v>
      </c>
    </row>
    <row r="1178" spans="1:34">
      <c r="A1178" s="15" t="s">
        <v>1247</v>
      </c>
      <c r="B1178" s="8" t="s">
        <v>1220</v>
      </c>
      <c r="C1178" s="41" t="s">
        <v>37</v>
      </c>
      <c r="D1178" s="1" t="s">
        <v>38</v>
      </c>
      <c r="E1178" s="26" t="s">
        <v>39</v>
      </c>
      <c r="F1178" s="27">
        <v>0.94339622641509424</v>
      </c>
      <c r="G1178" s="33">
        <v>0.5</v>
      </c>
      <c r="H1178" s="26" t="s">
        <v>40</v>
      </c>
      <c r="I1178" s="26" t="s">
        <v>41</v>
      </c>
      <c r="J1178" s="26" t="s">
        <v>42</v>
      </c>
      <c r="K1178" s="27">
        <v>2.3255813953488373</v>
      </c>
      <c r="L1178" s="27">
        <v>0.5</v>
      </c>
      <c r="M1178" s="70"/>
      <c r="N1178" s="26"/>
      <c r="O1178" s="26"/>
      <c r="P1178" s="27"/>
      <c r="Q1178" s="36"/>
      <c r="R1178" s="26" t="s">
        <v>43</v>
      </c>
      <c r="S1178" s="26" t="s">
        <v>38</v>
      </c>
      <c r="T1178" s="26" t="s">
        <v>39</v>
      </c>
      <c r="U1178" s="27">
        <v>0.84745762711864414</v>
      </c>
      <c r="V1178" s="33">
        <v>1</v>
      </c>
      <c r="AG1178" s="31">
        <v>0</v>
      </c>
      <c r="AH1178" s="1" t="s">
        <v>44</v>
      </c>
    </row>
    <row r="1179" spans="1:34">
      <c r="A1179" s="15" t="s">
        <v>1248</v>
      </c>
      <c r="B1179" s="8" t="s">
        <v>1220</v>
      </c>
      <c r="C1179" s="41" t="s">
        <v>37</v>
      </c>
      <c r="D1179" s="1" t="s">
        <v>38</v>
      </c>
      <c r="E1179" s="26" t="s">
        <v>39</v>
      </c>
      <c r="F1179" s="27">
        <v>0.94339622641509424</v>
      </c>
      <c r="G1179" s="33">
        <v>0.5</v>
      </c>
      <c r="H1179" s="26" t="s">
        <v>40</v>
      </c>
      <c r="I1179" s="26" t="s">
        <v>41</v>
      </c>
      <c r="J1179" s="26" t="s">
        <v>42</v>
      </c>
      <c r="K1179" s="27">
        <v>2.3255813953488373</v>
      </c>
      <c r="L1179" s="27">
        <v>0.5</v>
      </c>
      <c r="M1179" s="70"/>
      <c r="N1179" s="26"/>
      <c r="O1179" s="26"/>
      <c r="P1179" s="27"/>
      <c r="Q1179" s="36"/>
      <c r="R1179" s="26" t="s">
        <v>43</v>
      </c>
      <c r="S1179" s="26" t="s">
        <v>38</v>
      </c>
      <c r="T1179" s="26" t="s">
        <v>39</v>
      </c>
      <c r="U1179" s="27">
        <v>0.84745762711864414</v>
      </c>
      <c r="V1179" s="33">
        <v>1</v>
      </c>
      <c r="AG1179" s="31">
        <v>1</v>
      </c>
      <c r="AH1179" s="1" t="s">
        <v>73</v>
      </c>
    </row>
    <row r="1180" spans="1:34">
      <c r="A1180" s="15" t="s">
        <v>1249</v>
      </c>
      <c r="B1180" s="8" t="s">
        <v>1220</v>
      </c>
      <c r="C1180" s="41" t="s">
        <v>37</v>
      </c>
      <c r="D1180" s="1" t="s">
        <v>38</v>
      </c>
      <c r="E1180" s="26" t="s">
        <v>39</v>
      </c>
      <c r="F1180" s="27">
        <v>0.94339622641509424</v>
      </c>
      <c r="G1180" s="33">
        <v>0.5</v>
      </c>
      <c r="H1180" s="26" t="s">
        <v>40</v>
      </c>
      <c r="I1180" s="26" t="s">
        <v>41</v>
      </c>
      <c r="J1180" s="26" t="s">
        <v>42</v>
      </c>
      <c r="K1180" s="27">
        <v>2.3255813953488373</v>
      </c>
      <c r="L1180" s="27">
        <v>0.5</v>
      </c>
      <c r="M1180" s="70"/>
      <c r="N1180" s="26"/>
      <c r="O1180" s="26"/>
      <c r="P1180" s="27"/>
      <c r="Q1180" s="36"/>
      <c r="R1180" s="26" t="s">
        <v>43</v>
      </c>
      <c r="S1180" s="26" t="s">
        <v>38</v>
      </c>
      <c r="T1180" s="26" t="s">
        <v>39</v>
      </c>
      <c r="U1180" s="27">
        <v>0.84745762711864414</v>
      </c>
      <c r="V1180" s="33">
        <v>1</v>
      </c>
      <c r="AG1180" s="31">
        <v>1</v>
      </c>
      <c r="AH1180" s="1" t="s">
        <v>73</v>
      </c>
    </row>
    <row r="1181" spans="1:34">
      <c r="A1181" s="15" t="s">
        <v>1250</v>
      </c>
      <c r="B1181" s="8" t="s">
        <v>1220</v>
      </c>
      <c r="C1181" s="41" t="s">
        <v>37</v>
      </c>
      <c r="D1181" s="1" t="s">
        <v>38</v>
      </c>
      <c r="E1181" s="26" t="s">
        <v>39</v>
      </c>
      <c r="F1181" s="27">
        <v>0.94339622641509424</v>
      </c>
      <c r="G1181" s="33">
        <v>0.5</v>
      </c>
      <c r="H1181" s="26" t="s">
        <v>40</v>
      </c>
      <c r="I1181" s="26" t="s">
        <v>41</v>
      </c>
      <c r="J1181" s="26" t="s">
        <v>42</v>
      </c>
      <c r="K1181" s="27">
        <v>2.3255813953488373</v>
      </c>
      <c r="L1181" s="27">
        <v>0.5</v>
      </c>
      <c r="M1181" s="70"/>
      <c r="N1181" s="26"/>
      <c r="O1181" s="26"/>
      <c r="P1181" s="27"/>
      <c r="Q1181" s="36"/>
      <c r="R1181" s="26" t="s">
        <v>43</v>
      </c>
      <c r="S1181" s="26" t="s">
        <v>38</v>
      </c>
      <c r="T1181" s="26" t="s">
        <v>39</v>
      </c>
      <c r="U1181" s="27">
        <v>0.84745762711864414</v>
      </c>
      <c r="V1181" s="33">
        <v>1</v>
      </c>
      <c r="AG1181" s="31">
        <v>1</v>
      </c>
      <c r="AH1181" s="1" t="s">
        <v>73</v>
      </c>
    </row>
    <row r="1182" spans="1:34">
      <c r="A1182" s="15" t="s">
        <v>1251</v>
      </c>
      <c r="B1182" s="8" t="s">
        <v>1220</v>
      </c>
      <c r="C1182" s="41" t="s">
        <v>37</v>
      </c>
      <c r="D1182" s="1" t="s">
        <v>38</v>
      </c>
      <c r="E1182" s="26" t="s">
        <v>39</v>
      </c>
      <c r="F1182" s="27">
        <v>0.94339622641509424</v>
      </c>
      <c r="G1182" s="33">
        <v>0.5</v>
      </c>
      <c r="H1182" s="26" t="s">
        <v>40</v>
      </c>
      <c r="I1182" s="26" t="s">
        <v>41</v>
      </c>
      <c r="J1182" s="26" t="s">
        <v>42</v>
      </c>
      <c r="K1182" s="27">
        <v>2.3255813953488373</v>
      </c>
      <c r="L1182" s="27">
        <v>0.5</v>
      </c>
      <c r="M1182" s="70"/>
      <c r="N1182" s="26"/>
      <c r="O1182" s="26"/>
      <c r="P1182" s="27"/>
      <c r="Q1182" s="36"/>
      <c r="R1182" s="26" t="s">
        <v>43</v>
      </c>
      <c r="S1182" s="26" t="s">
        <v>38</v>
      </c>
      <c r="T1182" s="26" t="s">
        <v>39</v>
      </c>
      <c r="U1182" s="27">
        <v>0.84745762711864414</v>
      </c>
      <c r="V1182" s="33">
        <v>1</v>
      </c>
      <c r="AG1182" s="31">
        <v>1</v>
      </c>
      <c r="AH1182" s="1" t="s">
        <v>73</v>
      </c>
    </row>
    <row r="1183" spans="1:34">
      <c r="A1183" s="15" t="s">
        <v>1252</v>
      </c>
      <c r="B1183" s="8" t="s">
        <v>1220</v>
      </c>
      <c r="C1183" s="41" t="s">
        <v>37</v>
      </c>
      <c r="D1183" s="1" t="s">
        <v>38</v>
      </c>
      <c r="E1183" s="26" t="s">
        <v>39</v>
      </c>
      <c r="F1183" s="27">
        <v>0.94339622641509424</v>
      </c>
      <c r="G1183" s="33">
        <v>0.5</v>
      </c>
      <c r="H1183" s="26" t="s">
        <v>40</v>
      </c>
      <c r="I1183" s="26" t="s">
        <v>41</v>
      </c>
      <c r="J1183" s="26" t="s">
        <v>42</v>
      </c>
      <c r="K1183" s="27">
        <v>2.3255813953488373</v>
      </c>
      <c r="L1183" s="27">
        <v>0.5</v>
      </c>
      <c r="M1183" s="70"/>
      <c r="N1183" s="26"/>
      <c r="O1183" s="26"/>
      <c r="P1183" s="27"/>
      <c r="Q1183" s="36"/>
      <c r="R1183" s="26" t="s">
        <v>43</v>
      </c>
      <c r="S1183" s="26" t="s">
        <v>38</v>
      </c>
      <c r="T1183" s="26" t="s">
        <v>39</v>
      </c>
      <c r="U1183" s="27">
        <v>0.84745762711864414</v>
      </c>
      <c r="V1183" s="33">
        <v>1</v>
      </c>
      <c r="AG1183" s="31">
        <v>1</v>
      </c>
      <c r="AH1183" s="1" t="s">
        <v>73</v>
      </c>
    </row>
    <row r="1184" spans="1:34">
      <c r="A1184" s="15" t="s">
        <v>1253</v>
      </c>
      <c r="B1184" s="8" t="s">
        <v>1220</v>
      </c>
      <c r="C1184" s="41" t="s">
        <v>37</v>
      </c>
      <c r="D1184" s="1" t="s">
        <v>38</v>
      </c>
      <c r="E1184" s="26" t="s">
        <v>39</v>
      </c>
      <c r="F1184" s="27">
        <v>0.94339622641509424</v>
      </c>
      <c r="G1184" s="33">
        <v>0.5</v>
      </c>
      <c r="H1184" s="26" t="s">
        <v>40</v>
      </c>
      <c r="I1184" s="26" t="s">
        <v>41</v>
      </c>
      <c r="J1184" s="26" t="s">
        <v>42</v>
      </c>
      <c r="K1184" s="27">
        <v>2.3255813953488373</v>
      </c>
      <c r="L1184" s="27">
        <v>0.5</v>
      </c>
      <c r="M1184" s="70"/>
      <c r="N1184" s="26"/>
      <c r="O1184" s="26"/>
      <c r="P1184" s="27"/>
      <c r="Q1184" s="36"/>
      <c r="R1184" s="26" t="s">
        <v>43</v>
      </c>
      <c r="S1184" s="26" t="s">
        <v>38</v>
      </c>
      <c r="T1184" s="26" t="s">
        <v>39</v>
      </c>
      <c r="U1184" s="27">
        <v>0.84745762711864414</v>
      </c>
      <c r="V1184" s="33">
        <v>1</v>
      </c>
      <c r="AG1184" s="31">
        <v>1</v>
      </c>
      <c r="AH1184" s="1" t="s">
        <v>73</v>
      </c>
    </row>
    <row r="1185" spans="1:34">
      <c r="A1185" s="15" t="s">
        <v>1254</v>
      </c>
      <c r="B1185" s="8" t="s">
        <v>1220</v>
      </c>
      <c r="C1185" s="41" t="s">
        <v>37</v>
      </c>
      <c r="D1185" s="1" t="s">
        <v>38</v>
      </c>
      <c r="E1185" s="26" t="s">
        <v>39</v>
      </c>
      <c r="F1185" s="27">
        <v>0.94339622641509424</v>
      </c>
      <c r="G1185" s="33">
        <v>0.5</v>
      </c>
      <c r="H1185" s="26" t="s">
        <v>40</v>
      </c>
      <c r="I1185" s="26" t="s">
        <v>41</v>
      </c>
      <c r="J1185" s="26" t="s">
        <v>42</v>
      </c>
      <c r="K1185" s="27">
        <v>2.3255813953488373</v>
      </c>
      <c r="L1185" s="27">
        <v>0.5</v>
      </c>
      <c r="M1185" s="70"/>
      <c r="N1185" s="26"/>
      <c r="O1185" s="26"/>
      <c r="P1185" s="27"/>
      <c r="Q1185" s="36"/>
      <c r="R1185" s="26" t="s">
        <v>43</v>
      </c>
      <c r="S1185" s="26" t="s">
        <v>38</v>
      </c>
      <c r="T1185" s="26" t="s">
        <v>39</v>
      </c>
      <c r="U1185" s="27">
        <v>0.84745762711864414</v>
      </c>
      <c r="V1185" s="33">
        <v>1</v>
      </c>
      <c r="AG1185" s="31">
        <v>1</v>
      </c>
      <c r="AH1185" s="1" t="s">
        <v>73</v>
      </c>
    </row>
    <row r="1186" spans="1:34">
      <c r="A1186" s="15" t="s">
        <v>1255</v>
      </c>
      <c r="B1186" s="8" t="s">
        <v>1220</v>
      </c>
      <c r="C1186" s="41" t="s">
        <v>37</v>
      </c>
      <c r="D1186" s="1" t="s">
        <v>38</v>
      </c>
      <c r="E1186" s="26" t="s">
        <v>39</v>
      </c>
      <c r="F1186" s="27">
        <v>0.94339622641509424</v>
      </c>
      <c r="G1186" s="33">
        <v>0.5</v>
      </c>
      <c r="H1186" s="26" t="s">
        <v>40</v>
      </c>
      <c r="I1186" s="26" t="s">
        <v>41</v>
      </c>
      <c r="J1186" s="26" t="s">
        <v>42</v>
      </c>
      <c r="K1186" s="27">
        <v>2.3255813953488373</v>
      </c>
      <c r="L1186" s="27">
        <v>0.5</v>
      </c>
      <c r="M1186" s="70"/>
      <c r="N1186" s="26"/>
      <c r="O1186" s="26"/>
      <c r="P1186" s="27"/>
      <c r="Q1186" s="36"/>
      <c r="R1186" s="26" t="s">
        <v>43</v>
      </c>
      <c r="S1186" s="26" t="s">
        <v>38</v>
      </c>
      <c r="T1186" s="26" t="s">
        <v>39</v>
      </c>
      <c r="U1186" s="27">
        <v>0.84745762711864414</v>
      </c>
      <c r="V1186" s="33">
        <v>1</v>
      </c>
      <c r="AG1186" s="31">
        <v>0</v>
      </c>
      <c r="AH1186" s="1" t="s">
        <v>44</v>
      </c>
    </row>
    <row r="1187" spans="1:34">
      <c r="A1187" s="15" t="s">
        <v>1256</v>
      </c>
      <c r="B1187" s="8" t="s">
        <v>1220</v>
      </c>
      <c r="C1187" s="41" t="s">
        <v>37</v>
      </c>
      <c r="D1187" s="1" t="s">
        <v>38</v>
      </c>
      <c r="E1187" s="26" t="s">
        <v>39</v>
      </c>
      <c r="F1187" s="27">
        <v>0.94339622641509424</v>
      </c>
      <c r="G1187" s="33">
        <v>0.5</v>
      </c>
      <c r="H1187" s="26" t="s">
        <v>40</v>
      </c>
      <c r="I1187" s="26" t="s">
        <v>41</v>
      </c>
      <c r="J1187" s="26" t="s">
        <v>42</v>
      </c>
      <c r="K1187" s="27">
        <v>2.3255813953488373</v>
      </c>
      <c r="L1187" s="27">
        <v>0.5</v>
      </c>
      <c r="M1187" s="70"/>
      <c r="N1187" s="26"/>
      <c r="O1187" s="26"/>
      <c r="P1187" s="27"/>
      <c r="Q1187" s="36"/>
      <c r="R1187" s="26" t="s">
        <v>43</v>
      </c>
      <c r="S1187" s="26" t="s">
        <v>38</v>
      </c>
      <c r="T1187" s="26" t="s">
        <v>39</v>
      </c>
      <c r="U1187" s="27">
        <v>0.84745762711864414</v>
      </c>
      <c r="V1187" s="33">
        <v>1</v>
      </c>
      <c r="AG1187" s="31">
        <v>0</v>
      </c>
      <c r="AH1187" s="1" t="s">
        <v>44</v>
      </c>
    </row>
    <row r="1188" spans="1:34">
      <c r="A1188" s="15" t="s">
        <v>1257</v>
      </c>
      <c r="B1188" s="8" t="s">
        <v>1220</v>
      </c>
      <c r="C1188" s="41" t="s">
        <v>37</v>
      </c>
      <c r="D1188" s="1" t="s">
        <v>38</v>
      </c>
      <c r="E1188" s="26" t="s">
        <v>39</v>
      </c>
      <c r="F1188" s="27">
        <v>0.94339622641509424</v>
      </c>
      <c r="G1188" s="33">
        <v>0.5</v>
      </c>
      <c r="H1188" s="26" t="s">
        <v>40</v>
      </c>
      <c r="I1188" s="26" t="s">
        <v>41</v>
      </c>
      <c r="J1188" s="26" t="s">
        <v>42</v>
      </c>
      <c r="K1188" s="27">
        <v>2.3255813953488373</v>
      </c>
      <c r="L1188" s="27">
        <v>0.5</v>
      </c>
      <c r="M1188" s="70"/>
      <c r="N1188" s="26"/>
      <c r="O1188" s="26"/>
      <c r="P1188" s="27"/>
      <c r="Q1188" s="36"/>
      <c r="R1188" s="26" t="s">
        <v>43</v>
      </c>
      <c r="S1188" s="26" t="s">
        <v>38</v>
      </c>
      <c r="T1188" s="26" t="s">
        <v>39</v>
      </c>
      <c r="U1188" s="27">
        <v>0.84745762711864414</v>
      </c>
      <c r="V1188" s="33">
        <v>1</v>
      </c>
      <c r="AG1188" s="31">
        <v>0</v>
      </c>
      <c r="AH1188" s="1" t="s">
        <v>44</v>
      </c>
    </row>
    <row r="1189" spans="1:34">
      <c r="A1189" s="15" t="s">
        <v>1258</v>
      </c>
      <c r="B1189" s="8" t="s">
        <v>1220</v>
      </c>
      <c r="C1189" s="41" t="s">
        <v>37</v>
      </c>
      <c r="D1189" s="1" t="s">
        <v>38</v>
      </c>
      <c r="E1189" s="26" t="s">
        <v>39</v>
      </c>
      <c r="F1189" s="27">
        <v>0.94339622641509424</v>
      </c>
      <c r="G1189" s="33">
        <v>0.5</v>
      </c>
      <c r="H1189" s="26" t="s">
        <v>40</v>
      </c>
      <c r="I1189" s="26" t="s">
        <v>41</v>
      </c>
      <c r="J1189" s="26" t="s">
        <v>42</v>
      </c>
      <c r="K1189" s="27">
        <v>2.3255813953488373</v>
      </c>
      <c r="L1189" s="27">
        <v>0.5</v>
      </c>
      <c r="M1189" s="70"/>
      <c r="N1189" s="26"/>
      <c r="O1189" s="26"/>
      <c r="P1189" s="27"/>
      <c r="Q1189" s="36"/>
      <c r="R1189" s="26" t="s">
        <v>43</v>
      </c>
      <c r="S1189" s="26" t="s">
        <v>38</v>
      </c>
      <c r="T1189" s="26" t="s">
        <v>39</v>
      </c>
      <c r="U1189" s="27">
        <v>0.84745762711864414</v>
      </c>
      <c r="V1189" s="33">
        <v>1</v>
      </c>
      <c r="AG1189" s="31">
        <v>0</v>
      </c>
      <c r="AH1189" s="1" t="s">
        <v>44</v>
      </c>
    </row>
    <row r="1190" spans="1:34">
      <c r="A1190" s="15" t="s">
        <v>1259</v>
      </c>
      <c r="B1190" s="8" t="s">
        <v>1220</v>
      </c>
      <c r="C1190" s="41" t="s">
        <v>37</v>
      </c>
      <c r="D1190" s="1" t="s">
        <v>38</v>
      </c>
      <c r="E1190" s="26" t="s">
        <v>39</v>
      </c>
      <c r="F1190" s="27">
        <v>0.94339622641509424</v>
      </c>
      <c r="G1190" s="33">
        <v>0.5</v>
      </c>
      <c r="H1190" s="26" t="s">
        <v>40</v>
      </c>
      <c r="I1190" s="26" t="s">
        <v>41</v>
      </c>
      <c r="J1190" s="26" t="s">
        <v>42</v>
      </c>
      <c r="K1190" s="27">
        <v>2.3255813953488373</v>
      </c>
      <c r="L1190" s="27">
        <v>0.5</v>
      </c>
      <c r="M1190" s="70"/>
      <c r="N1190" s="26"/>
      <c r="O1190" s="26"/>
      <c r="P1190" s="27"/>
      <c r="Q1190" s="36"/>
      <c r="R1190" s="26" t="s">
        <v>43</v>
      </c>
      <c r="S1190" s="26" t="s">
        <v>38</v>
      </c>
      <c r="T1190" s="26" t="s">
        <v>39</v>
      </c>
      <c r="U1190" s="27">
        <v>0.84745762711864414</v>
      </c>
      <c r="V1190" s="33">
        <v>1</v>
      </c>
      <c r="AG1190" s="31">
        <v>0</v>
      </c>
      <c r="AH1190" s="1" t="s">
        <v>44</v>
      </c>
    </row>
    <row r="1191" spans="1:34">
      <c r="A1191" s="15" t="s">
        <v>1260</v>
      </c>
      <c r="B1191" s="8" t="s">
        <v>1220</v>
      </c>
      <c r="C1191" s="41" t="s">
        <v>37</v>
      </c>
      <c r="D1191" s="1" t="s">
        <v>38</v>
      </c>
      <c r="E1191" s="26" t="s">
        <v>39</v>
      </c>
      <c r="F1191" s="27">
        <v>0.94339622641509424</v>
      </c>
      <c r="G1191" s="33">
        <v>0.5</v>
      </c>
      <c r="H1191" s="26" t="s">
        <v>40</v>
      </c>
      <c r="I1191" s="26" t="s">
        <v>41</v>
      </c>
      <c r="J1191" s="26" t="s">
        <v>42</v>
      </c>
      <c r="K1191" s="27">
        <v>2.3255813953488373</v>
      </c>
      <c r="L1191" s="27">
        <v>0.5</v>
      </c>
      <c r="M1191" s="70"/>
      <c r="N1191" s="26"/>
      <c r="O1191" s="26"/>
      <c r="P1191" s="27"/>
      <c r="Q1191" s="36"/>
      <c r="R1191" s="26" t="s">
        <v>43</v>
      </c>
      <c r="S1191" s="26" t="s">
        <v>38</v>
      </c>
      <c r="T1191" s="26" t="s">
        <v>39</v>
      </c>
      <c r="U1191" s="27">
        <v>0.84745762711864414</v>
      </c>
      <c r="V1191" s="33">
        <v>1</v>
      </c>
      <c r="AG1191" s="31">
        <v>0</v>
      </c>
      <c r="AH1191" s="1" t="s">
        <v>44</v>
      </c>
    </row>
    <row r="1192" spans="1:34">
      <c r="A1192" s="15" t="s">
        <v>1261</v>
      </c>
      <c r="B1192" s="8" t="s">
        <v>1220</v>
      </c>
      <c r="C1192" s="41" t="s">
        <v>37</v>
      </c>
      <c r="D1192" s="1" t="s">
        <v>38</v>
      </c>
      <c r="E1192" s="26" t="s">
        <v>39</v>
      </c>
      <c r="F1192" s="27">
        <v>0.94339622641509424</v>
      </c>
      <c r="G1192" s="33">
        <v>0.5</v>
      </c>
      <c r="H1192" s="26" t="s">
        <v>40</v>
      </c>
      <c r="I1192" s="26" t="s">
        <v>41</v>
      </c>
      <c r="J1192" s="26" t="s">
        <v>42</v>
      </c>
      <c r="K1192" s="27">
        <v>2.3255813953488373</v>
      </c>
      <c r="L1192" s="27">
        <v>0.5</v>
      </c>
      <c r="M1192" s="70"/>
      <c r="N1192" s="26"/>
      <c r="O1192" s="26"/>
      <c r="P1192" s="27"/>
      <c r="Q1192" s="36"/>
      <c r="R1192" s="26" t="s">
        <v>43</v>
      </c>
      <c r="S1192" s="26" t="s">
        <v>38</v>
      </c>
      <c r="T1192" s="26" t="s">
        <v>39</v>
      </c>
      <c r="U1192" s="27">
        <v>0.84745762711864414</v>
      </c>
      <c r="V1192" s="33">
        <v>1</v>
      </c>
      <c r="AG1192" s="31">
        <v>0</v>
      </c>
      <c r="AH1192" s="1" t="s">
        <v>44</v>
      </c>
    </row>
    <row r="1193" spans="1:34">
      <c r="A1193" s="15" t="s">
        <v>1262</v>
      </c>
      <c r="B1193" s="8" t="s">
        <v>1220</v>
      </c>
      <c r="C1193" s="41" t="s">
        <v>37</v>
      </c>
      <c r="D1193" s="1" t="s">
        <v>38</v>
      </c>
      <c r="E1193" s="26" t="s">
        <v>39</v>
      </c>
      <c r="F1193" s="27">
        <v>0.94339622641509424</v>
      </c>
      <c r="G1193" s="33">
        <v>0.5</v>
      </c>
      <c r="H1193" s="26" t="s">
        <v>40</v>
      </c>
      <c r="I1193" s="26" t="s">
        <v>41</v>
      </c>
      <c r="J1193" s="26" t="s">
        <v>42</v>
      </c>
      <c r="K1193" s="27">
        <v>2.3255813953488373</v>
      </c>
      <c r="L1193" s="27">
        <v>0.5</v>
      </c>
      <c r="M1193" s="70"/>
      <c r="N1193" s="26"/>
      <c r="O1193" s="26"/>
      <c r="P1193" s="27"/>
      <c r="Q1193" s="36"/>
      <c r="R1193" s="26" t="s">
        <v>43</v>
      </c>
      <c r="S1193" s="26" t="s">
        <v>38</v>
      </c>
      <c r="T1193" s="26" t="s">
        <v>39</v>
      </c>
      <c r="U1193" s="27">
        <v>0.84745762711864414</v>
      </c>
      <c r="V1193" s="33">
        <v>1</v>
      </c>
      <c r="AG1193" s="31">
        <v>0</v>
      </c>
      <c r="AH1193" s="1" t="s">
        <v>44</v>
      </c>
    </row>
    <row r="1194" spans="1:34">
      <c r="A1194" s="15" t="s">
        <v>1263</v>
      </c>
      <c r="B1194" s="8" t="s">
        <v>1220</v>
      </c>
      <c r="C1194" s="41" t="s">
        <v>37</v>
      </c>
      <c r="D1194" s="1" t="s">
        <v>38</v>
      </c>
      <c r="E1194" s="26" t="s">
        <v>39</v>
      </c>
      <c r="F1194" s="27">
        <v>0.94339622641509424</v>
      </c>
      <c r="G1194" s="33">
        <v>0.5</v>
      </c>
      <c r="H1194" s="26" t="s">
        <v>40</v>
      </c>
      <c r="I1194" s="26" t="s">
        <v>41</v>
      </c>
      <c r="J1194" s="26" t="s">
        <v>42</v>
      </c>
      <c r="K1194" s="27">
        <v>2.3255813953488373</v>
      </c>
      <c r="L1194" s="27">
        <v>0.5</v>
      </c>
      <c r="M1194" s="70"/>
      <c r="N1194" s="26"/>
      <c r="O1194" s="26"/>
      <c r="P1194" s="27"/>
      <c r="Q1194" s="36"/>
      <c r="R1194" s="26" t="s">
        <v>43</v>
      </c>
      <c r="S1194" s="26" t="s">
        <v>38</v>
      </c>
      <c r="T1194" s="26" t="s">
        <v>39</v>
      </c>
      <c r="U1194" s="27">
        <v>0.84745762711864414</v>
      </c>
      <c r="V1194" s="33">
        <v>1</v>
      </c>
      <c r="AG1194" s="31">
        <v>0</v>
      </c>
      <c r="AH1194" s="1" t="s">
        <v>44</v>
      </c>
    </row>
    <row r="1195" spans="1:34">
      <c r="A1195" s="15" t="s">
        <v>1264</v>
      </c>
      <c r="B1195" s="8" t="s">
        <v>1220</v>
      </c>
      <c r="C1195" s="41" t="s">
        <v>37</v>
      </c>
      <c r="D1195" s="1" t="s">
        <v>38</v>
      </c>
      <c r="E1195" s="26" t="s">
        <v>39</v>
      </c>
      <c r="F1195" s="27">
        <v>0.94339622641509424</v>
      </c>
      <c r="G1195" s="33">
        <v>0.5</v>
      </c>
      <c r="H1195" s="26" t="s">
        <v>40</v>
      </c>
      <c r="I1195" s="26" t="s">
        <v>41</v>
      </c>
      <c r="J1195" s="26" t="s">
        <v>42</v>
      </c>
      <c r="K1195" s="27">
        <v>2.3255813953488373</v>
      </c>
      <c r="L1195" s="27">
        <v>0.5</v>
      </c>
      <c r="M1195" s="70"/>
      <c r="N1195" s="26"/>
      <c r="O1195" s="26"/>
      <c r="P1195" s="27"/>
      <c r="Q1195" s="36"/>
      <c r="R1195" s="26" t="s">
        <v>43</v>
      </c>
      <c r="S1195" s="26" t="s">
        <v>38</v>
      </c>
      <c r="T1195" s="26" t="s">
        <v>39</v>
      </c>
      <c r="U1195" s="27">
        <v>0.84745762711864414</v>
      </c>
      <c r="V1195" s="33">
        <v>1</v>
      </c>
      <c r="AG1195" s="31">
        <v>0</v>
      </c>
      <c r="AH1195" s="1" t="s">
        <v>44</v>
      </c>
    </row>
    <row r="1196" spans="1:34">
      <c r="A1196" s="15" t="s">
        <v>1265</v>
      </c>
      <c r="B1196" s="8" t="s">
        <v>1220</v>
      </c>
      <c r="C1196" s="41" t="s">
        <v>37</v>
      </c>
      <c r="D1196" s="1" t="s">
        <v>38</v>
      </c>
      <c r="E1196" s="26" t="s">
        <v>39</v>
      </c>
      <c r="F1196" s="27">
        <v>0.94339622641509424</v>
      </c>
      <c r="G1196" s="33">
        <v>0.5</v>
      </c>
      <c r="H1196" s="26" t="s">
        <v>40</v>
      </c>
      <c r="I1196" s="26" t="s">
        <v>41</v>
      </c>
      <c r="J1196" s="26" t="s">
        <v>42</v>
      </c>
      <c r="K1196" s="27">
        <v>2.3255813953488373</v>
      </c>
      <c r="L1196" s="27">
        <v>0.5</v>
      </c>
      <c r="M1196" s="70"/>
      <c r="N1196" s="26"/>
      <c r="O1196" s="26"/>
      <c r="P1196" s="27"/>
      <c r="Q1196" s="36"/>
      <c r="R1196" s="26" t="s">
        <v>43</v>
      </c>
      <c r="S1196" s="26" t="s">
        <v>38</v>
      </c>
      <c r="T1196" s="26" t="s">
        <v>39</v>
      </c>
      <c r="U1196" s="27">
        <v>0.84745762711864414</v>
      </c>
      <c r="V1196" s="33">
        <v>1</v>
      </c>
      <c r="AG1196" s="31">
        <v>0</v>
      </c>
      <c r="AH1196" s="1" t="s">
        <v>44</v>
      </c>
    </row>
    <row r="1197" spans="1:34">
      <c r="A1197" s="15" t="s">
        <v>1266</v>
      </c>
      <c r="B1197" s="8" t="s">
        <v>1220</v>
      </c>
      <c r="C1197" s="41" t="s">
        <v>37</v>
      </c>
      <c r="D1197" s="1" t="s">
        <v>38</v>
      </c>
      <c r="E1197" s="26" t="s">
        <v>39</v>
      </c>
      <c r="F1197" s="27">
        <v>0.94339622641509424</v>
      </c>
      <c r="G1197" s="33">
        <v>0.5</v>
      </c>
      <c r="H1197" s="26" t="s">
        <v>40</v>
      </c>
      <c r="I1197" s="26" t="s">
        <v>41</v>
      </c>
      <c r="J1197" s="26" t="s">
        <v>42</v>
      </c>
      <c r="K1197" s="27">
        <v>2.3255813953488373</v>
      </c>
      <c r="L1197" s="27">
        <v>0.5</v>
      </c>
      <c r="M1197" s="70"/>
      <c r="N1197" s="26"/>
      <c r="O1197" s="26"/>
      <c r="P1197" s="27"/>
      <c r="Q1197" s="36"/>
      <c r="R1197" s="26" t="s">
        <v>43</v>
      </c>
      <c r="S1197" s="26" t="s">
        <v>38</v>
      </c>
      <c r="T1197" s="26" t="s">
        <v>39</v>
      </c>
      <c r="U1197" s="27">
        <v>0.84745762711864414</v>
      </c>
      <c r="V1197" s="33">
        <v>1</v>
      </c>
      <c r="AG1197" s="31">
        <v>0</v>
      </c>
      <c r="AH1197" s="1" t="s">
        <v>44</v>
      </c>
    </row>
    <row r="1198" spans="1:34">
      <c r="A1198" s="15" t="s">
        <v>1267</v>
      </c>
      <c r="B1198" s="8" t="s">
        <v>1220</v>
      </c>
      <c r="C1198" s="41" t="s">
        <v>37</v>
      </c>
      <c r="D1198" s="1" t="s">
        <v>38</v>
      </c>
      <c r="E1198" s="26" t="s">
        <v>39</v>
      </c>
      <c r="F1198" s="27">
        <v>0.94339622641509424</v>
      </c>
      <c r="G1198" s="33">
        <v>0.5</v>
      </c>
      <c r="H1198" s="26" t="s">
        <v>40</v>
      </c>
      <c r="I1198" s="26" t="s">
        <v>41</v>
      </c>
      <c r="J1198" s="26" t="s">
        <v>42</v>
      </c>
      <c r="K1198" s="27">
        <v>2.3255813953488373</v>
      </c>
      <c r="L1198" s="27">
        <v>0.5</v>
      </c>
      <c r="M1198" s="70"/>
      <c r="N1198" s="26"/>
      <c r="O1198" s="26"/>
      <c r="P1198" s="27"/>
      <c r="Q1198" s="36"/>
      <c r="R1198" s="26" t="s">
        <v>43</v>
      </c>
      <c r="S1198" s="26" t="s">
        <v>38</v>
      </c>
      <c r="T1198" s="26" t="s">
        <v>39</v>
      </c>
      <c r="U1198" s="27">
        <v>0.84745762711864414</v>
      </c>
      <c r="V1198" s="33">
        <v>1</v>
      </c>
      <c r="AG1198" s="31">
        <v>0</v>
      </c>
      <c r="AH1198" s="1" t="s">
        <v>44</v>
      </c>
    </row>
    <row r="1199" spans="1:34">
      <c r="A1199" s="15" t="s">
        <v>1268</v>
      </c>
      <c r="B1199" s="8" t="s">
        <v>1220</v>
      </c>
      <c r="C1199" s="41" t="s">
        <v>37</v>
      </c>
      <c r="D1199" s="1" t="s">
        <v>38</v>
      </c>
      <c r="E1199" s="26" t="s">
        <v>39</v>
      </c>
      <c r="F1199" s="27">
        <v>0.94339622641509424</v>
      </c>
      <c r="G1199" s="33">
        <v>0.5</v>
      </c>
      <c r="H1199" s="26" t="s">
        <v>40</v>
      </c>
      <c r="I1199" s="26" t="s">
        <v>41</v>
      </c>
      <c r="J1199" s="26" t="s">
        <v>42</v>
      </c>
      <c r="K1199" s="27">
        <v>2.3255813953488373</v>
      </c>
      <c r="L1199" s="27">
        <v>0.5</v>
      </c>
      <c r="M1199" s="70"/>
      <c r="N1199" s="26"/>
      <c r="O1199" s="26"/>
      <c r="P1199" s="27"/>
      <c r="Q1199" s="36"/>
      <c r="R1199" s="26" t="s">
        <v>43</v>
      </c>
      <c r="S1199" s="26" t="s">
        <v>38</v>
      </c>
      <c r="T1199" s="26" t="s">
        <v>39</v>
      </c>
      <c r="U1199" s="27">
        <v>0.84745762711864414</v>
      </c>
      <c r="V1199" s="33">
        <v>1</v>
      </c>
      <c r="AG1199" s="31">
        <v>0</v>
      </c>
      <c r="AH1199" s="1" t="s">
        <v>44</v>
      </c>
    </row>
    <row r="1200" spans="1:34">
      <c r="A1200" s="15" t="s">
        <v>1269</v>
      </c>
      <c r="B1200" s="8" t="s">
        <v>1220</v>
      </c>
      <c r="C1200" s="41" t="s">
        <v>37</v>
      </c>
      <c r="D1200" s="1" t="s">
        <v>38</v>
      </c>
      <c r="E1200" s="26" t="s">
        <v>39</v>
      </c>
      <c r="F1200" s="27">
        <v>0.94339622641509424</v>
      </c>
      <c r="G1200" s="33">
        <v>0.5</v>
      </c>
      <c r="H1200" s="26" t="s">
        <v>40</v>
      </c>
      <c r="I1200" s="26" t="s">
        <v>41</v>
      </c>
      <c r="J1200" s="26" t="s">
        <v>42</v>
      </c>
      <c r="K1200" s="27">
        <v>2.3255813953488373</v>
      </c>
      <c r="L1200" s="27">
        <v>0.5</v>
      </c>
      <c r="M1200" s="70"/>
      <c r="N1200" s="26"/>
      <c r="O1200" s="26"/>
      <c r="P1200" s="27"/>
      <c r="Q1200" s="36"/>
      <c r="R1200" s="26" t="s">
        <v>43</v>
      </c>
      <c r="S1200" s="26" t="s">
        <v>38</v>
      </c>
      <c r="T1200" s="26" t="s">
        <v>39</v>
      </c>
      <c r="U1200" s="27">
        <v>0.84745762711864414</v>
      </c>
      <c r="V1200" s="33">
        <v>1</v>
      </c>
      <c r="AG1200" s="31">
        <v>0</v>
      </c>
      <c r="AH1200" s="1" t="s">
        <v>44</v>
      </c>
    </row>
    <row r="1201" spans="1:35">
      <c r="A1201" s="15" t="s">
        <v>1270</v>
      </c>
      <c r="B1201" s="8" t="s">
        <v>1220</v>
      </c>
      <c r="C1201" s="41" t="s">
        <v>37</v>
      </c>
      <c r="D1201" s="1" t="s">
        <v>38</v>
      </c>
      <c r="E1201" s="26" t="s">
        <v>39</v>
      </c>
      <c r="F1201" s="27">
        <v>0.94339622641509424</v>
      </c>
      <c r="G1201" s="33">
        <v>0.5</v>
      </c>
      <c r="H1201" s="26" t="s">
        <v>40</v>
      </c>
      <c r="I1201" s="26" t="s">
        <v>41</v>
      </c>
      <c r="J1201" s="26" t="s">
        <v>42</v>
      </c>
      <c r="K1201" s="27">
        <v>2.3255813953488373</v>
      </c>
      <c r="L1201" s="27">
        <v>0.5</v>
      </c>
      <c r="M1201" s="70"/>
      <c r="N1201" s="26"/>
      <c r="O1201" s="26"/>
      <c r="P1201" s="27"/>
      <c r="Q1201" s="36"/>
      <c r="R1201" s="26" t="s">
        <v>43</v>
      </c>
      <c r="S1201" s="26" t="s">
        <v>38</v>
      </c>
      <c r="T1201" s="26" t="s">
        <v>39</v>
      </c>
      <c r="U1201" s="27">
        <v>0.84745762711864414</v>
      </c>
      <c r="V1201" s="33">
        <v>1</v>
      </c>
      <c r="AG1201" s="31">
        <v>0</v>
      </c>
      <c r="AH1201" s="1" t="s">
        <v>44</v>
      </c>
    </row>
    <row r="1202" spans="1:35">
      <c r="A1202" s="15" t="s">
        <v>1271</v>
      </c>
      <c r="B1202" s="8" t="s">
        <v>1220</v>
      </c>
      <c r="C1202" s="41" t="s">
        <v>37</v>
      </c>
      <c r="D1202" s="1" t="s">
        <v>38</v>
      </c>
      <c r="E1202" s="26" t="s">
        <v>39</v>
      </c>
      <c r="F1202" s="27">
        <v>0.94339622641509424</v>
      </c>
      <c r="G1202" s="33">
        <v>0.5</v>
      </c>
      <c r="H1202" s="26" t="s">
        <v>40</v>
      </c>
      <c r="I1202" s="26" t="s">
        <v>41</v>
      </c>
      <c r="J1202" s="26" t="s">
        <v>42</v>
      </c>
      <c r="K1202" s="27">
        <v>2.3255813953488373</v>
      </c>
      <c r="L1202" s="27">
        <v>0.5</v>
      </c>
      <c r="M1202" s="70"/>
      <c r="N1202" s="26"/>
      <c r="O1202" s="26"/>
      <c r="P1202" s="27"/>
      <c r="Q1202" s="36"/>
      <c r="R1202" s="26" t="s">
        <v>43</v>
      </c>
      <c r="S1202" s="26" t="s">
        <v>38</v>
      </c>
      <c r="T1202" s="26" t="s">
        <v>39</v>
      </c>
      <c r="U1202" s="27">
        <v>0.84745762711864414</v>
      </c>
      <c r="V1202" s="33">
        <v>1</v>
      </c>
      <c r="AG1202" s="31">
        <v>0</v>
      </c>
      <c r="AH1202" s="1" t="s">
        <v>44</v>
      </c>
    </row>
    <row r="1203" spans="1:35">
      <c r="A1203" s="15" t="s">
        <v>1272</v>
      </c>
      <c r="B1203" s="8" t="s">
        <v>1220</v>
      </c>
      <c r="C1203" s="41" t="s">
        <v>37</v>
      </c>
      <c r="D1203" s="1" t="s">
        <v>38</v>
      </c>
      <c r="E1203" s="26" t="s">
        <v>39</v>
      </c>
      <c r="F1203" s="27">
        <v>0.94339622641509424</v>
      </c>
      <c r="G1203" s="33">
        <v>0.5</v>
      </c>
      <c r="H1203" s="26" t="s">
        <v>40</v>
      </c>
      <c r="I1203" s="26" t="s">
        <v>41</v>
      </c>
      <c r="J1203" s="26" t="s">
        <v>42</v>
      </c>
      <c r="K1203" s="27">
        <v>2.3255813953488373</v>
      </c>
      <c r="L1203" s="27">
        <v>0.5</v>
      </c>
      <c r="M1203" s="70"/>
      <c r="N1203" s="26"/>
      <c r="O1203" s="26"/>
      <c r="P1203" s="27"/>
      <c r="Q1203" s="36"/>
      <c r="R1203" s="26" t="s">
        <v>43</v>
      </c>
      <c r="S1203" s="26" t="s">
        <v>38</v>
      </c>
      <c r="T1203" s="26" t="s">
        <v>39</v>
      </c>
      <c r="U1203" s="27">
        <v>0.84745762711864414</v>
      </c>
      <c r="V1203" s="33">
        <v>1</v>
      </c>
      <c r="AG1203" s="31">
        <v>0</v>
      </c>
      <c r="AH1203" s="1" t="s">
        <v>44</v>
      </c>
    </row>
    <row r="1204" spans="1:35">
      <c r="A1204" s="15" t="s">
        <v>1273</v>
      </c>
      <c r="B1204" s="8" t="s">
        <v>1220</v>
      </c>
      <c r="C1204" s="41" t="s">
        <v>37</v>
      </c>
      <c r="D1204" s="1" t="s">
        <v>38</v>
      </c>
      <c r="E1204" s="26" t="s">
        <v>39</v>
      </c>
      <c r="F1204" s="27">
        <v>0.94339622641509424</v>
      </c>
      <c r="G1204" s="33">
        <v>0.5</v>
      </c>
      <c r="H1204" s="26" t="s">
        <v>40</v>
      </c>
      <c r="I1204" s="26" t="s">
        <v>41</v>
      </c>
      <c r="J1204" s="26" t="s">
        <v>42</v>
      </c>
      <c r="K1204" s="27">
        <v>2.3255813953488373</v>
      </c>
      <c r="L1204" s="27">
        <v>0.5</v>
      </c>
      <c r="M1204" s="70"/>
      <c r="N1204" s="26"/>
      <c r="O1204" s="26"/>
      <c r="P1204" s="27"/>
      <c r="Q1204" s="36"/>
      <c r="R1204" s="26" t="s">
        <v>43</v>
      </c>
      <c r="S1204" s="26" t="s">
        <v>38</v>
      </c>
      <c r="T1204" s="26" t="s">
        <v>39</v>
      </c>
      <c r="U1204" s="27">
        <v>0.84745762711864414</v>
      </c>
      <c r="V1204" s="33">
        <v>1</v>
      </c>
      <c r="AG1204" s="31">
        <v>0</v>
      </c>
      <c r="AH1204" s="1" t="s">
        <v>44</v>
      </c>
    </row>
    <row r="1205" spans="1:35">
      <c r="A1205" s="15" t="s">
        <v>1274</v>
      </c>
      <c r="B1205" s="8" t="s">
        <v>1220</v>
      </c>
      <c r="C1205" s="41" t="s">
        <v>37</v>
      </c>
      <c r="D1205" s="1" t="s">
        <v>38</v>
      </c>
      <c r="E1205" s="26" t="s">
        <v>39</v>
      </c>
      <c r="F1205" s="27">
        <v>0.94339622641509424</v>
      </c>
      <c r="G1205" s="33">
        <v>0.5</v>
      </c>
      <c r="H1205" s="26" t="s">
        <v>40</v>
      </c>
      <c r="I1205" s="26" t="s">
        <v>41</v>
      </c>
      <c r="J1205" s="26" t="s">
        <v>42</v>
      </c>
      <c r="K1205" s="27">
        <v>2.3255813953488373</v>
      </c>
      <c r="L1205" s="27">
        <v>0.5</v>
      </c>
      <c r="M1205" s="70"/>
      <c r="N1205" s="26"/>
      <c r="O1205" s="26"/>
      <c r="P1205" s="27"/>
      <c r="Q1205" s="36"/>
      <c r="R1205" s="26" t="s">
        <v>43</v>
      </c>
      <c r="S1205" s="26" t="s">
        <v>38</v>
      </c>
      <c r="T1205" s="26" t="s">
        <v>39</v>
      </c>
      <c r="U1205" s="27">
        <v>0.84745762711864414</v>
      </c>
      <c r="V1205" s="33">
        <v>1</v>
      </c>
      <c r="AG1205" s="31">
        <v>0</v>
      </c>
      <c r="AH1205" s="1" t="s">
        <v>44</v>
      </c>
    </row>
    <row r="1206" spans="1:35">
      <c r="A1206" s="16" t="s">
        <v>1275</v>
      </c>
      <c r="B1206" s="8" t="s">
        <v>1220</v>
      </c>
      <c r="C1206" s="58" t="s">
        <v>37</v>
      </c>
      <c r="D1206" s="59" t="s">
        <v>38</v>
      </c>
      <c r="E1206" s="60" t="s">
        <v>39</v>
      </c>
      <c r="F1206" s="61">
        <v>0.94339622641509424</v>
      </c>
      <c r="G1206" s="62">
        <v>0.5</v>
      </c>
      <c r="H1206" s="60" t="s">
        <v>40</v>
      </c>
      <c r="I1206" s="60" t="s">
        <v>41</v>
      </c>
      <c r="J1206" s="60" t="s">
        <v>42</v>
      </c>
      <c r="K1206" s="61">
        <v>2.3255813953488373</v>
      </c>
      <c r="L1206" s="61">
        <v>0.5</v>
      </c>
      <c r="M1206" s="71"/>
      <c r="N1206" s="60"/>
      <c r="O1206" s="60"/>
      <c r="P1206" s="61"/>
      <c r="Q1206" s="66"/>
      <c r="R1206" s="60" t="s">
        <v>43</v>
      </c>
      <c r="S1206" s="60" t="s">
        <v>38</v>
      </c>
      <c r="T1206" s="60" t="s">
        <v>39</v>
      </c>
      <c r="U1206" s="61">
        <v>0.84745762711864414</v>
      </c>
      <c r="V1206" s="62">
        <v>1</v>
      </c>
      <c r="W1206" s="63"/>
      <c r="X1206" s="63"/>
      <c r="Y1206" s="63"/>
      <c r="Z1206" s="93"/>
      <c r="AA1206" s="63"/>
      <c r="AB1206" s="75"/>
      <c r="AC1206" s="63"/>
      <c r="AD1206" s="63"/>
      <c r="AE1206" s="63"/>
      <c r="AF1206" s="64"/>
      <c r="AG1206" s="93">
        <v>0</v>
      </c>
      <c r="AH1206" s="59" t="s">
        <v>44</v>
      </c>
      <c r="AI1206" s="65"/>
    </row>
    <row r="1207" spans="1:35" s="6" customFormat="1">
      <c r="A1207" s="15" t="s">
        <v>1276</v>
      </c>
      <c r="B1207" s="9" t="s">
        <v>1277</v>
      </c>
      <c r="C1207" s="45" t="s">
        <v>37</v>
      </c>
      <c r="D1207" s="46" t="s">
        <v>38</v>
      </c>
      <c r="E1207" s="47" t="s">
        <v>39</v>
      </c>
      <c r="F1207" s="48">
        <v>0.95238095238095233</v>
      </c>
      <c r="G1207" s="49">
        <v>0.33333333333333331</v>
      </c>
      <c r="H1207" s="45" t="s">
        <v>408</v>
      </c>
      <c r="I1207" s="46" t="s">
        <v>409</v>
      </c>
      <c r="J1207" s="47" t="s">
        <v>39</v>
      </c>
      <c r="K1207" s="48">
        <v>0.94339622641509424</v>
      </c>
      <c r="L1207" s="49">
        <v>0.33333333333333331</v>
      </c>
      <c r="M1207" s="45" t="s">
        <v>410</v>
      </c>
      <c r="N1207" s="46" t="s">
        <v>38</v>
      </c>
      <c r="O1207" s="47" t="s">
        <v>42</v>
      </c>
      <c r="P1207" s="48">
        <v>3.2258064516129035</v>
      </c>
      <c r="Q1207" s="49">
        <v>0.33333333333333331</v>
      </c>
      <c r="R1207" s="54" t="s">
        <v>37</v>
      </c>
      <c r="S1207" s="47" t="s">
        <v>38</v>
      </c>
      <c r="T1207" s="47" t="s">
        <v>39</v>
      </c>
      <c r="U1207" s="48">
        <v>0.95238095238095233</v>
      </c>
      <c r="V1207" s="49">
        <v>0.33333333333333331</v>
      </c>
      <c r="W1207" s="47" t="s">
        <v>408</v>
      </c>
      <c r="X1207" s="47" t="s">
        <v>409</v>
      </c>
      <c r="Y1207" s="47" t="s">
        <v>39</v>
      </c>
      <c r="Z1207" s="48">
        <v>0.94339622641509424</v>
      </c>
      <c r="AA1207" s="49">
        <v>0.33333333333333331</v>
      </c>
      <c r="AB1207" s="47" t="s">
        <v>411</v>
      </c>
      <c r="AC1207" s="47" t="s">
        <v>38</v>
      </c>
      <c r="AD1207" s="47" t="s">
        <v>42</v>
      </c>
      <c r="AE1207" s="48">
        <v>2.5</v>
      </c>
      <c r="AF1207" s="50">
        <v>0.33333333333333331</v>
      </c>
      <c r="AG1207" s="29">
        <v>0</v>
      </c>
      <c r="AH1207" s="6" t="s">
        <v>44</v>
      </c>
    </row>
    <row r="1208" spans="1:35">
      <c r="A1208" s="15" t="s">
        <v>1278</v>
      </c>
      <c r="B1208" s="8" t="s">
        <v>1277</v>
      </c>
      <c r="C1208" s="41" t="s">
        <v>37</v>
      </c>
      <c r="D1208" s="1" t="s">
        <v>38</v>
      </c>
      <c r="E1208" s="26" t="s">
        <v>39</v>
      </c>
      <c r="F1208" s="27">
        <v>0.95238095238095233</v>
      </c>
      <c r="G1208" s="33">
        <v>0.33333333333333331</v>
      </c>
      <c r="H1208" s="41" t="s">
        <v>408</v>
      </c>
      <c r="I1208" s="1" t="s">
        <v>409</v>
      </c>
      <c r="J1208" s="26" t="s">
        <v>39</v>
      </c>
      <c r="K1208" s="27">
        <v>0.94339622641509424</v>
      </c>
      <c r="L1208" s="33">
        <v>0.33333333333333331</v>
      </c>
      <c r="M1208" s="41" t="s">
        <v>410</v>
      </c>
      <c r="N1208" s="1" t="s">
        <v>38</v>
      </c>
      <c r="O1208" s="26" t="s">
        <v>42</v>
      </c>
      <c r="P1208" s="27">
        <v>3.2258064516129035</v>
      </c>
      <c r="Q1208" s="33">
        <v>0.33333333333333331</v>
      </c>
      <c r="R1208" s="55" t="s">
        <v>37</v>
      </c>
      <c r="S1208" s="26" t="s">
        <v>38</v>
      </c>
      <c r="T1208" s="26" t="s">
        <v>39</v>
      </c>
      <c r="U1208" s="27">
        <v>0.95238095238095233</v>
      </c>
      <c r="V1208" s="33">
        <v>0.33333333333333331</v>
      </c>
      <c r="W1208" s="26" t="s">
        <v>408</v>
      </c>
      <c r="X1208" s="26" t="s">
        <v>409</v>
      </c>
      <c r="Y1208" s="26" t="s">
        <v>39</v>
      </c>
      <c r="Z1208" s="27">
        <v>0.94339622641509424</v>
      </c>
      <c r="AA1208" s="33">
        <v>0.33333333333333331</v>
      </c>
      <c r="AB1208" s="26" t="s">
        <v>411</v>
      </c>
      <c r="AC1208" s="26" t="s">
        <v>38</v>
      </c>
      <c r="AD1208" s="26" t="s">
        <v>42</v>
      </c>
      <c r="AE1208" s="27">
        <v>2.5</v>
      </c>
      <c r="AF1208" s="36">
        <v>0.33333333333333331</v>
      </c>
      <c r="AG1208" s="31">
        <v>0</v>
      </c>
      <c r="AH1208" t="s">
        <v>44</v>
      </c>
    </row>
    <row r="1209" spans="1:35">
      <c r="A1209" s="15" t="s">
        <v>1279</v>
      </c>
      <c r="B1209" s="8" t="s">
        <v>1277</v>
      </c>
      <c r="C1209" s="41" t="s">
        <v>37</v>
      </c>
      <c r="D1209" s="1" t="s">
        <v>38</v>
      </c>
      <c r="E1209" s="26" t="s">
        <v>39</v>
      </c>
      <c r="F1209" s="27">
        <v>0.95238095238095233</v>
      </c>
      <c r="G1209" s="33">
        <v>0.33333333333333331</v>
      </c>
      <c r="H1209" s="41" t="s">
        <v>408</v>
      </c>
      <c r="I1209" s="1" t="s">
        <v>409</v>
      </c>
      <c r="J1209" s="26" t="s">
        <v>39</v>
      </c>
      <c r="K1209" s="27">
        <v>0.94339622641509424</v>
      </c>
      <c r="L1209" s="33">
        <v>0.33333333333333331</v>
      </c>
      <c r="M1209" s="41" t="s">
        <v>410</v>
      </c>
      <c r="N1209" s="1" t="s">
        <v>38</v>
      </c>
      <c r="O1209" s="26" t="s">
        <v>42</v>
      </c>
      <c r="P1209" s="27">
        <v>3.2258064516129035</v>
      </c>
      <c r="Q1209" s="33">
        <v>0.33333333333333331</v>
      </c>
      <c r="R1209" s="55" t="s">
        <v>37</v>
      </c>
      <c r="S1209" s="26" t="s">
        <v>38</v>
      </c>
      <c r="T1209" s="26" t="s">
        <v>39</v>
      </c>
      <c r="U1209" s="27">
        <v>0.95238095238095233</v>
      </c>
      <c r="V1209" s="33">
        <v>0.33333333333333331</v>
      </c>
      <c r="W1209" s="26" t="s">
        <v>408</v>
      </c>
      <c r="X1209" s="26" t="s">
        <v>409</v>
      </c>
      <c r="Y1209" s="26" t="s">
        <v>39</v>
      </c>
      <c r="Z1209" s="27">
        <v>0.94339622641509424</v>
      </c>
      <c r="AA1209" s="33">
        <v>0.33333333333333331</v>
      </c>
      <c r="AB1209" s="26" t="s">
        <v>411</v>
      </c>
      <c r="AC1209" s="26" t="s">
        <v>38</v>
      </c>
      <c r="AD1209" s="26" t="s">
        <v>42</v>
      </c>
      <c r="AE1209" s="27">
        <v>2.5</v>
      </c>
      <c r="AF1209" s="36">
        <v>0.33333333333333331</v>
      </c>
      <c r="AG1209" s="31">
        <v>0</v>
      </c>
      <c r="AH1209" t="s">
        <v>44</v>
      </c>
    </row>
    <row r="1210" spans="1:35">
      <c r="A1210" s="15" t="s">
        <v>1280</v>
      </c>
      <c r="B1210" s="8" t="s">
        <v>1277</v>
      </c>
      <c r="C1210" s="41" t="s">
        <v>37</v>
      </c>
      <c r="D1210" s="1" t="s">
        <v>38</v>
      </c>
      <c r="E1210" s="26" t="s">
        <v>39</v>
      </c>
      <c r="F1210" s="27">
        <v>0.95238095238095233</v>
      </c>
      <c r="G1210" s="33">
        <v>0.33333333333333331</v>
      </c>
      <c r="H1210" s="41" t="s">
        <v>408</v>
      </c>
      <c r="I1210" s="1" t="s">
        <v>409</v>
      </c>
      <c r="J1210" s="26" t="s">
        <v>39</v>
      </c>
      <c r="K1210" s="27">
        <v>0.94339622641509424</v>
      </c>
      <c r="L1210" s="33">
        <v>0.33333333333333331</v>
      </c>
      <c r="M1210" s="41" t="s">
        <v>410</v>
      </c>
      <c r="N1210" s="1" t="s">
        <v>38</v>
      </c>
      <c r="O1210" s="26" t="s">
        <v>42</v>
      </c>
      <c r="P1210" s="27">
        <v>3.2258064516129035</v>
      </c>
      <c r="Q1210" s="33">
        <v>0.33333333333333331</v>
      </c>
      <c r="R1210" s="55" t="s">
        <v>37</v>
      </c>
      <c r="S1210" s="26" t="s">
        <v>38</v>
      </c>
      <c r="T1210" s="26" t="s">
        <v>39</v>
      </c>
      <c r="U1210" s="27">
        <v>0.95238095238095233</v>
      </c>
      <c r="V1210" s="33">
        <v>0.33333333333333331</v>
      </c>
      <c r="W1210" s="26" t="s">
        <v>408</v>
      </c>
      <c r="X1210" s="26" t="s">
        <v>409</v>
      </c>
      <c r="Y1210" s="26" t="s">
        <v>39</v>
      </c>
      <c r="Z1210" s="27">
        <v>0.94339622641509424</v>
      </c>
      <c r="AA1210" s="33">
        <v>0.33333333333333331</v>
      </c>
      <c r="AB1210" s="26" t="s">
        <v>411</v>
      </c>
      <c r="AC1210" s="26" t="s">
        <v>38</v>
      </c>
      <c r="AD1210" s="26" t="s">
        <v>42</v>
      </c>
      <c r="AE1210" s="27">
        <v>2.5</v>
      </c>
      <c r="AF1210" s="36">
        <v>0.33333333333333331</v>
      </c>
      <c r="AG1210" s="31">
        <v>0</v>
      </c>
      <c r="AH1210" t="s">
        <v>44</v>
      </c>
    </row>
    <row r="1211" spans="1:35">
      <c r="A1211" s="15" t="s">
        <v>1281</v>
      </c>
      <c r="B1211" s="8" t="s">
        <v>1277</v>
      </c>
      <c r="C1211" s="41" t="s">
        <v>37</v>
      </c>
      <c r="D1211" s="1" t="s">
        <v>38</v>
      </c>
      <c r="E1211" s="26" t="s">
        <v>39</v>
      </c>
      <c r="F1211" s="27">
        <v>0.95238095238095233</v>
      </c>
      <c r="G1211" s="33">
        <v>0.33333333333333331</v>
      </c>
      <c r="H1211" s="41" t="s">
        <v>408</v>
      </c>
      <c r="I1211" s="1" t="s">
        <v>409</v>
      </c>
      <c r="J1211" s="26" t="s">
        <v>39</v>
      </c>
      <c r="K1211" s="27">
        <v>0.94339622641509424</v>
      </c>
      <c r="L1211" s="33">
        <v>0.33333333333333331</v>
      </c>
      <c r="M1211" s="41" t="s">
        <v>410</v>
      </c>
      <c r="N1211" s="1" t="s">
        <v>38</v>
      </c>
      <c r="O1211" s="26" t="s">
        <v>42</v>
      </c>
      <c r="P1211" s="27">
        <v>3.2258064516129035</v>
      </c>
      <c r="Q1211" s="33">
        <v>0.33333333333333331</v>
      </c>
      <c r="R1211" s="55" t="s">
        <v>37</v>
      </c>
      <c r="S1211" s="26" t="s">
        <v>38</v>
      </c>
      <c r="T1211" s="26" t="s">
        <v>39</v>
      </c>
      <c r="U1211" s="27">
        <v>0.95238095238095233</v>
      </c>
      <c r="V1211" s="33">
        <v>0.33333333333333331</v>
      </c>
      <c r="W1211" s="26" t="s">
        <v>408</v>
      </c>
      <c r="X1211" s="26" t="s">
        <v>409</v>
      </c>
      <c r="Y1211" s="26" t="s">
        <v>39</v>
      </c>
      <c r="Z1211" s="27">
        <v>0.94339622641509424</v>
      </c>
      <c r="AA1211" s="33">
        <v>0.33333333333333331</v>
      </c>
      <c r="AB1211" s="26" t="s">
        <v>411</v>
      </c>
      <c r="AC1211" s="26" t="s">
        <v>38</v>
      </c>
      <c r="AD1211" s="26" t="s">
        <v>42</v>
      </c>
      <c r="AE1211" s="27">
        <v>2.5</v>
      </c>
      <c r="AF1211" s="36">
        <v>0.33333333333333331</v>
      </c>
      <c r="AG1211" s="31">
        <v>0</v>
      </c>
      <c r="AH1211" t="s">
        <v>44</v>
      </c>
    </row>
    <row r="1212" spans="1:35">
      <c r="A1212" s="15" t="s">
        <v>1282</v>
      </c>
      <c r="B1212" s="8" t="s">
        <v>1277</v>
      </c>
      <c r="C1212" s="41" t="s">
        <v>37</v>
      </c>
      <c r="D1212" s="1" t="s">
        <v>38</v>
      </c>
      <c r="E1212" s="26" t="s">
        <v>39</v>
      </c>
      <c r="F1212" s="27">
        <v>0.95238095238095233</v>
      </c>
      <c r="G1212" s="33">
        <v>0.33333333333333331</v>
      </c>
      <c r="H1212" s="41" t="s">
        <v>408</v>
      </c>
      <c r="I1212" s="1" t="s">
        <v>409</v>
      </c>
      <c r="J1212" s="26" t="s">
        <v>39</v>
      </c>
      <c r="K1212" s="27">
        <v>0.94339622641509424</v>
      </c>
      <c r="L1212" s="33">
        <v>0.33333333333333331</v>
      </c>
      <c r="M1212" s="41" t="s">
        <v>410</v>
      </c>
      <c r="N1212" s="1" t="s">
        <v>38</v>
      </c>
      <c r="O1212" s="26" t="s">
        <v>42</v>
      </c>
      <c r="P1212" s="27">
        <v>3.2258064516129035</v>
      </c>
      <c r="Q1212" s="33">
        <v>0.33333333333333331</v>
      </c>
      <c r="R1212" s="55" t="s">
        <v>37</v>
      </c>
      <c r="S1212" s="26" t="s">
        <v>38</v>
      </c>
      <c r="T1212" s="26" t="s">
        <v>39</v>
      </c>
      <c r="U1212" s="27">
        <v>0.95238095238095233</v>
      </c>
      <c r="V1212" s="33">
        <v>0.33333333333333331</v>
      </c>
      <c r="W1212" s="26" t="s">
        <v>408</v>
      </c>
      <c r="X1212" s="26" t="s">
        <v>409</v>
      </c>
      <c r="Y1212" s="26" t="s">
        <v>39</v>
      </c>
      <c r="Z1212" s="27">
        <v>0.94339622641509424</v>
      </c>
      <c r="AA1212" s="33">
        <v>0.33333333333333331</v>
      </c>
      <c r="AB1212" s="26" t="s">
        <v>411</v>
      </c>
      <c r="AC1212" s="26" t="s">
        <v>38</v>
      </c>
      <c r="AD1212" s="26" t="s">
        <v>42</v>
      </c>
      <c r="AE1212" s="27">
        <v>2.5</v>
      </c>
      <c r="AF1212" s="36">
        <v>0.33333333333333331</v>
      </c>
      <c r="AG1212" s="31">
        <v>0</v>
      </c>
      <c r="AH1212" t="s">
        <v>44</v>
      </c>
    </row>
    <row r="1213" spans="1:35">
      <c r="A1213" s="15" t="s">
        <v>1283</v>
      </c>
      <c r="B1213" s="8" t="s">
        <v>1277</v>
      </c>
      <c r="C1213" s="41" t="s">
        <v>37</v>
      </c>
      <c r="D1213" s="1" t="s">
        <v>38</v>
      </c>
      <c r="E1213" s="26" t="s">
        <v>39</v>
      </c>
      <c r="F1213" s="27">
        <v>0.95238095238095233</v>
      </c>
      <c r="G1213" s="33">
        <v>0.33333333333333331</v>
      </c>
      <c r="H1213" s="41" t="s">
        <v>408</v>
      </c>
      <c r="I1213" s="1" t="s">
        <v>409</v>
      </c>
      <c r="J1213" s="26" t="s">
        <v>39</v>
      </c>
      <c r="K1213" s="27">
        <v>0.94339622641509424</v>
      </c>
      <c r="L1213" s="33">
        <v>0.33333333333333331</v>
      </c>
      <c r="M1213" s="41" t="s">
        <v>410</v>
      </c>
      <c r="N1213" s="1" t="s">
        <v>38</v>
      </c>
      <c r="O1213" s="26" t="s">
        <v>42</v>
      </c>
      <c r="P1213" s="27">
        <v>3.2258064516129035</v>
      </c>
      <c r="Q1213" s="33">
        <v>0.33333333333333331</v>
      </c>
      <c r="R1213" s="55" t="s">
        <v>37</v>
      </c>
      <c r="S1213" s="26" t="s">
        <v>38</v>
      </c>
      <c r="T1213" s="26" t="s">
        <v>39</v>
      </c>
      <c r="U1213" s="27">
        <v>0.95238095238095233</v>
      </c>
      <c r="V1213" s="33">
        <v>0.33333333333333331</v>
      </c>
      <c r="W1213" s="26" t="s">
        <v>408</v>
      </c>
      <c r="X1213" s="26" t="s">
        <v>409</v>
      </c>
      <c r="Y1213" s="26" t="s">
        <v>39</v>
      </c>
      <c r="Z1213" s="27">
        <v>0.94339622641509424</v>
      </c>
      <c r="AA1213" s="33">
        <v>0.33333333333333331</v>
      </c>
      <c r="AB1213" s="26" t="s">
        <v>411</v>
      </c>
      <c r="AC1213" s="26" t="s">
        <v>38</v>
      </c>
      <c r="AD1213" s="26" t="s">
        <v>42</v>
      </c>
      <c r="AE1213" s="27">
        <v>2.5</v>
      </c>
      <c r="AF1213" s="36">
        <v>0.33333333333333331</v>
      </c>
      <c r="AG1213" s="31">
        <v>0</v>
      </c>
      <c r="AH1213" t="s">
        <v>44</v>
      </c>
    </row>
    <row r="1214" spans="1:35">
      <c r="A1214" s="15" t="s">
        <v>1284</v>
      </c>
      <c r="B1214" s="8" t="s">
        <v>1277</v>
      </c>
      <c r="C1214" s="41" t="s">
        <v>37</v>
      </c>
      <c r="D1214" s="1" t="s">
        <v>38</v>
      </c>
      <c r="E1214" s="26" t="s">
        <v>39</v>
      </c>
      <c r="F1214" s="27">
        <v>0.95238095238095233</v>
      </c>
      <c r="G1214" s="33">
        <v>0.33333333333333331</v>
      </c>
      <c r="H1214" s="41" t="s">
        <v>408</v>
      </c>
      <c r="I1214" s="1" t="s">
        <v>409</v>
      </c>
      <c r="J1214" s="26" t="s">
        <v>39</v>
      </c>
      <c r="K1214" s="27">
        <v>0.94339622641509424</v>
      </c>
      <c r="L1214" s="33">
        <v>0.33333333333333331</v>
      </c>
      <c r="M1214" s="41" t="s">
        <v>410</v>
      </c>
      <c r="N1214" s="1" t="s">
        <v>38</v>
      </c>
      <c r="O1214" s="26" t="s">
        <v>42</v>
      </c>
      <c r="P1214" s="27">
        <v>3.2258064516129035</v>
      </c>
      <c r="Q1214" s="33">
        <v>0.33333333333333331</v>
      </c>
      <c r="R1214" s="55" t="s">
        <v>37</v>
      </c>
      <c r="S1214" s="26" t="s">
        <v>38</v>
      </c>
      <c r="T1214" s="26" t="s">
        <v>39</v>
      </c>
      <c r="U1214" s="27">
        <v>0.95238095238095233</v>
      </c>
      <c r="V1214" s="33">
        <v>0.33333333333333331</v>
      </c>
      <c r="W1214" s="26" t="s">
        <v>408</v>
      </c>
      <c r="X1214" s="26" t="s">
        <v>409</v>
      </c>
      <c r="Y1214" s="26" t="s">
        <v>39</v>
      </c>
      <c r="Z1214" s="27">
        <v>0.94339622641509424</v>
      </c>
      <c r="AA1214" s="33">
        <v>0.33333333333333331</v>
      </c>
      <c r="AB1214" s="26" t="s">
        <v>411</v>
      </c>
      <c r="AC1214" s="26" t="s">
        <v>38</v>
      </c>
      <c r="AD1214" s="26" t="s">
        <v>42</v>
      </c>
      <c r="AE1214" s="27">
        <v>2.5</v>
      </c>
      <c r="AF1214" s="36">
        <v>0.33333333333333331</v>
      </c>
      <c r="AG1214" s="31">
        <v>0</v>
      </c>
      <c r="AH1214" t="s">
        <v>44</v>
      </c>
    </row>
    <row r="1215" spans="1:35">
      <c r="A1215" s="15" t="s">
        <v>1285</v>
      </c>
      <c r="B1215" s="8" t="s">
        <v>1277</v>
      </c>
      <c r="C1215" s="41" t="s">
        <v>37</v>
      </c>
      <c r="D1215" s="1" t="s">
        <v>38</v>
      </c>
      <c r="E1215" s="26" t="s">
        <v>39</v>
      </c>
      <c r="F1215" s="27">
        <v>0.95238095238095233</v>
      </c>
      <c r="G1215" s="33">
        <v>0.33333333333333331</v>
      </c>
      <c r="H1215" s="41" t="s">
        <v>408</v>
      </c>
      <c r="I1215" s="1" t="s">
        <v>409</v>
      </c>
      <c r="J1215" s="26" t="s">
        <v>39</v>
      </c>
      <c r="K1215" s="27">
        <v>0.94339622641509424</v>
      </c>
      <c r="L1215" s="33">
        <v>0.33333333333333331</v>
      </c>
      <c r="M1215" s="41" t="s">
        <v>410</v>
      </c>
      <c r="N1215" s="1" t="s">
        <v>38</v>
      </c>
      <c r="O1215" s="26" t="s">
        <v>42</v>
      </c>
      <c r="P1215" s="27">
        <v>3.2258064516129035</v>
      </c>
      <c r="Q1215" s="33">
        <v>0.33333333333333331</v>
      </c>
      <c r="R1215" s="55" t="s">
        <v>37</v>
      </c>
      <c r="S1215" s="26" t="s">
        <v>38</v>
      </c>
      <c r="T1215" s="26" t="s">
        <v>39</v>
      </c>
      <c r="U1215" s="27">
        <v>0.95238095238095233</v>
      </c>
      <c r="V1215" s="33">
        <v>0.33333333333333331</v>
      </c>
      <c r="W1215" s="26" t="s">
        <v>408</v>
      </c>
      <c r="X1215" s="26" t="s">
        <v>409</v>
      </c>
      <c r="Y1215" s="26" t="s">
        <v>39</v>
      </c>
      <c r="Z1215" s="27">
        <v>0.94339622641509424</v>
      </c>
      <c r="AA1215" s="33">
        <v>0.33333333333333331</v>
      </c>
      <c r="AB1215" s="26" t="s">
        <v>411</v>
      </c>
      <c r="AC1215" s="26" t="s">
        <v>38</v>
      </c>
      <c r="AD1215" s="26" t="s">
        <v>42</v>
      </c>
      <c r="AE1215" s="27">
        <v>2.5</v>
      </c>
      <c r="AF1215" s="36">
        <v>0.33333333333333331</v>
      </c>
      <c r="AG1215" s="31">
        <v>0</v>
      </c>
      <c r="AH1215" t="s">
        <v>44</v>
      </c>
    </row>
    <row r="1216" spans="1:35">
      <c r="A1216" s="15" t="s">
        <v>1286</v>
      </c>
      <c r="B1216" s="8" t="s">
        <v>1277</v>
      </c>
      <c r="C1216" s="41" t="s">
        <v>37</v>
      </c>
      <c r="D1216" s="1" t="s">
        <v>38</v>
      </c>
      <c r="E1216" s="26" t="s">
        <v>39</v>
      </c>
      <c r="F1216" s="27">
        <v>0.95238095238095233</v>
      </c>
      <c r="G1216" s="33">
        <v>0.33333333333333331</v>
      </c>
      <c r="H1216" s="41" t="s">
        <v>408</v>
      </c>
      <c r="I1216" s="1" t="s">
        <v>409</v>
      </c>
      <c r="J1216" s="26" t="s">
        <v>39</v>
      </c>
      <c r="K1216" s="27">
        <v>0.94339622641509424</v>
      </c>
      <c r="L1216" s="33">
        <v>0.33333333333333331</v>
      </c>
      <c r="M1216" s="41" t="s">
        <v>410</v>
      </c>
      <c r="N1216" s="1" t="s">
        <v>38</v>
      </c>
      <c r="O1216" s="26" t="s">
        <v>42</v>
      </c>
      <c r="P1216" s="27">
        <v>3.2258064516129035</v>
      </c>
      <c r="Q1216" s="33">
        <v>0.33333333333333331</v>
      </c>
      <c r="R1216" s="55" t="s">
        <v>37</v>
      </c>
      <c r="S1216" s="26" t="s">
        <v>38</v>
      </c>
      <c r="T1216" s="26" t="s">
        <v>39</v>
      </c>
      <c r="U1216" s="27">
        <v>0.95238095238095233</v>
      </c>
      <c r="V1216" s="33">
        <v>0.33333333333333331</v>
      </c>
      <c r="W1216" s="26" t="s">
        <v>408</v>
      </c>
      <c r="X1216" s="26" t="s">
        <v>409</v>
      </c>
      <c r="Y1216" s="26" t="s">
        <v>39</v>
      </c>
      <c r="Z1216" s="27">
        <v>0.94339622641509424</v>
      </c>
      <c r="AA1216" s="33">
        <v>0.33333333333333331</v>
      </c>
      <c r="AB1216" s="26" t="s">
        <v>411</v>
      </c>
      <c r="AC1216" s="26" t="s">
        <v>38</v>
      </c>
      <c r="AD1216" s="26" t="s">
        <v>42</v>
      </c>
      <c r="AE1216" s="27">
        <v>2.5</v>
      </c>
      <c r="AF1216" s="36">
        <v>0.33333333333333331</v>
      </c>
      <c r="AG1216" s="31">
        <v>0</v>
      </c>
      <c r="AH1216" t="s">
        <v>44</v>
      </c>
    </row>
    <row r="1217" spans="1:34">
      <c r="A1217" s="15" t="s">
        <v>1287</v>
      </c>
      <c r="B1217" s="8" t="s">
        <v>1277</v>
      </c>
      <c r="C1217" s="41" t="s">
        <v>37</v>
      </c>
      <c r="D1217" s="1" t="s">
        <v>38</v>
      </c>
      <c r="E1217" s="26" t="s">
        <v>39</v>
      </c>
      <c r="F1217" s="27">
        <v>0.95238095238095233</v>
      </c>
      <c r="G1217" s="33">
        <v>0.33333333333333331</v>
      </c>
      <c r="H1217" s="41" t="s">
        <v>408</v>
      </c>
      <c r="I1217" s="1" t="s">
        <v>409</v>
      </c>
      <c r="J1217" s="26" t="s">
        <v>39</v>
      </c>
      <c r="K1217" s="27">
        <v>0.94339622641509424</v>
      </c>
      <c r="L1217" s="33">
        <v>0.33333333333333331</v>
      </c>
      <c r="M1217" s="41" t="s">
        <v>410</v>
      </c>
      <c r="N1217" s="1" t="s">
        <v>38</v>
      </c>
      <c r="O1217" s="26" t="s">
        <v>42</v>
      </c>
      <c r="P1217" s="27">
        <v>3.2258064516129035</v>
      </c>
      <c r="Q1217" s="33">
        <v>0.33333333333333331</v>
      </c>
      <c r="R1217" s="55" t="s">
        <v>37</v>
      </c>
      <c r="S1217" s="26" t="s">
        <v>38</v>
      </c>
      <c r="T1217" s="26" t="s">
        <v>39</v>
      </c>
      <c r="U1217" s="27">
        <v>0.95238095238095233</v>
      </c>
      <c r="V1217" s="33">
        <v>0.33333333333333331</v>
      </c>
      <c r="W1217" s="26" t="s">
        <v>408</v>
      </c>
      <c r="X1217" s="26" t="s">
        <v>409</v>
      </c>
      <c r="Y1217" s="26" t="s">
        <v>39</v>
      </c>
      <c r="Z1217" s="27">
        <v>0.94339622641509424</v>
      </c>
      <c r="AA1217" s="33">
        <v>0.33333333333333331</v>
      </c>
      <c r="AB1217" s="26" t="s">
        <v>411</v>
      </c>
      <c r="AC1217" s="26" t="s">
        <v>38</v>
      </c>
      <c r="AD1217" s="26" t="s">
        <v>42</v>
      </c>
      <c r="AE1217" s="27">
        <v>2.5</v>
      </c>
      <c r="AF1217" s="36">
        <v>0.33333333333333331</v>
      </c>
      <c r="AG1217" s="31">
        <v>0</v>
      </c>
      <c r="AH1217" t="s">
        <v>44</v>
      </c>
    </row>
    <row r="1218" spans="1:34">
      <c r="A1218" s="15" t="s">
        <v>1288</v>
      </c>
      <c r="B1218" s="8" t="s">
        <v>1277</v>
      </c>
      <c r="C1218" s="41" t="s">
        <v>37</v>
      </c>
      <c r="D1218" s="1" t="s">
        <v>38</v>
      </c>
      <c r="E1218" s="26" t="s">
        <v>39</v>
      </c>
      <c r="F1218" s="27">
        <v>0.95238095238095233</v>
      </c>
      <c r="G1218" s="33">
        <v>0.33333333333333331</v>
      </c>
      <c r="H1218" s="41" t="s">
        <v>408</v>
      </c>
      <c r="I1218" s="1" t="s">
        <v>409</v>
      </c>
      <c r="J1218" s="26" t="s">
        <v>39</v>
      </c>
      <c r="K1218" s="27">
        <v>0.94339622641509424</v>
      </c>
      <c r="L1218" s="33">
        <v>0.33333333333333331</v>
      </c>
      <c r="M1218" s="41" t="s">
        <v>410</v>
      </c>
      <c r="N1218" s="1" t="s">
        <v>38</v>
      </c>
      <c r="O1218" s="26" t="s">
        <v>42</v>
      </c>
      <c r="P1218" s="27">
        <v>3.2258064516129035</v>
      </c>
      <c r="Q1218" s="33">
        <v>0.33333333333333331</v>
      </c>
      <c r="R1218" s="55" t="s">
        <v>37</v>
      </c>
      <c r="S1218" s="26" t="s">
        <v>38</v>
      </c>
      <c r="T1218" s="26" t="s">
        <v>39</v>
      </c>
      <c r="U1218" s="27">
        <v>0.95238095238095233</v>
      </c>
      <c r="V1218" s="33">
        <v>0.33333333333333331</v>
      </c>
      <c r="W1218" s="26" t="s">
        <v>408</v>
      </c>
      <c r="X1218" s="26" t="s">
        <v>409</v>
      </c>
      <c r="Y1218" s="26" t="s">
        <v>39</v>
      </c>
      <c r="Z1218" s="27">
        <v>0.94339622641509424</v>
      </c>
      <c r="AA1218" s="33">
        <v>0.33333333333333331</v>
      </c>
      <c r="AB1218" s="26" t="s">
        <v>411</v>
      </c>
      <c r="AC1218" s="26" t="s">
        <v>38</v>
      </c>
      <c r="AD1218" s="26" t="s">
        <v>42</v>
      </c>
      <c r="AE1218" s="27">
        <v>2.5</v>
      </c>
      <c r="AF1218" s="36">
        <v>0.33333333333333331</v>
      </c>
      <c r="AG1218" s="31">
        <v>0</v>
      </c>
      <c r="AH1218" t="s">
        <v>44</v>
      </c>
    </row>
    <row r="1219" spans="1:34">
      <c r="A1219" s="15" t="s">
        <v>1289</v>
      </c>
      <c r="B1219" s="8" t="s">
        <v>1277</v>
      </c>
      <c r="C1219" s="41" t="s">
        <v>37</v>
      </c>
      <c r="D1219" s="1" t="s">
        <v>38</v>
      </c>
      <c r="E1219" s="26" t="s">
        <v>39</v>
      </c>
      <c r="F1219" s="27">
        <v>0.95238095238095233</v>
      </c>
      <c r="G1219" s="33">
        <v>0.33333333333333331</v>
      </c>
      <c r="H1219" s="41" t="s">
        <v>408</v>
      </c>
      <c r="I1219" s="1" t="s">
        <v>409</v>
      </c>
      <c r="J1219" s="26" t="s">
        <v>39</v>
      </c>
      <c r="K1219" s="27">
        <v>0.94339622641509424</v>
      </c>
      <c r="L1219" s="33">
        <v>0.33333333333333331</v>
      </c>
      <c r="M1219" s="41" t="s">
        <v>410</v>
      </c>
      <c r="N1219" s="1" t="s">
        <v>38</v>
      </c>
      <c r="O1219" s="26" t="s">
        <v>42</v>
      </c>
      <c r="P1219" s="27">
        <v>3.2258064516129035</v>
      </c>
      <c r="Q1219" s="33">
        <v>0.33333333333333331</v>
      </c>
      <c r="R1219" s="55" t="s">
        <v>37</v>
      </c>
      <c r="S1219" s="26" t="s">
        <v>38</v>
      </c>
      <c r="T1219" s="26" t="s">
        <v>39</v>
      </c>
      <c r="U1219" s="27">
        <v>0.95238095238095233</v>
      </c>
      <c r="V1219" s="33">
        <v>0.33333333333333331</v>
      </c>
      <c r="W1219" s="26" t="s">
        <v>408</v>
      </c>
      <c r="X1219" s="26" t="s">
        <v>409</v>
      </c>
      <c r="Y1219" s="26" t="s">
        <v>39</v>
      </c>
      <c r="Z1219" s="27">
        <v>0.94339622641509424</v>
      </c>
      <c r="AA1219" s="33">
        <v>0.33333333333333331</v>
      </c>
      <c r="AB1219" s="26" t="s">
        <v>411</v>
      </c>
      <c r="AC1219" s="26" t="s">
        <v>38</v>
      </c>
      <c r="AD1219" s="26" t="s">
        <v>42</v>
      </c>
      <c r="AE1219" s="27">
        <v>2.5</v>
      </c>
      <c r="AF1219" s="36">
        <v>0.33333333333333331</v>
      </c>
      <c r="AG1219" s="31">
        <v>0</v>
      </c>
      <c r="AH1219" t="s">
        <v>44</v>
      </c>
    </row>
    <row r="1220" spans="1:34">
      <c r="A1220" s="15" t="s">
        <v>1290</v>
      </c>
      <c r="B1220" s="8" t="s">
        <v>1277</v>
      </c>
      <c r="C1220" s="41" t="s">
        <v>37</v>
      </c>
      <c r="D1220" s="1" t="s">
        <v>38</v>
      </c>
      <c r="E1220" s="26" t="s">
        <v>39</v>
      </c>
      <c r="F1220" s="27">
        <v>0.95238095238095233</v>
      </c>
      <c r="G1220" s="33">
        <v>0.33333333333333331</v>
      </c>
      <c r="H1220" s="41" t="s">
        <v>408</v>
      </c>
      <c r="I1220" s="1" t="s">
        <v>409</v>
      </c>
      <c r="J1220" s="26" t="s">
        <v>39</v>
      </c>
      <c r="K1220" s="27">
        <v>0.94339622641509424</v>
      </c>
      <c r="L1220" s="33">
        <v>0.33333333333333331</v>
      </c>
      <c r="M1220" s="41" t="s">
        <v>410</v>
      </c>
      <c r="N1220" s="1" t="s">
        <v>38</v>
      </c>
      <c r="O1220" s="26" t="s">
        <v>42</v>
      </c>
      <c r="P1220" s="27">
        <v>3.2258064516129035</v>
      </c>
      <c r="Q1220" s="33">
        <v>0.33333333333333331</v>
      </c>
      <c r="R1220" s="55" t="s">
        <v>37</v>
      </c>
      <c r="S1220" s="26" t="s">
        <v>38</v>
      </c>
      <c r="T1220" s="26" t="s">
        <v>39</v>
      </c>
      <c r="U1220" s="27">
        <v>0.95238095238095233</v>
      </c>
      <c r="V1220" s="33">
        <v>0.33333333333333331</v>
      </c>
      <c r="W1220" s="26" t="s">
        <v>408</v>
      </c>
      <c r="X1220" s="26" t="s">
        <v>409</v>
      </c>
      <c r="Y1220" s="26" t="s">
        <v>39</v>
      </c>
      <c r="Z1220" s="27">
        <v>0.94339622641509424</v>
      </c>
      <c r="AA1220" s="33">
        <v>0.33333333333333331</v>
      </c>
      <c r="AB1220" s="26" t="s">
        <v>411</v>
      </c>
      <c r="AC1220" s="26" t="s">
        <v>38</v>
      </c>
      <c r="AD1220" s="26" t="s">
        <v>42</v>
      </c>
      <c r="AE1220" s="27">
        <v>2.5</v>
      </c>
      <c r="AF1220" s="36">
        <v>0.33333333333333331</v>
      </c>
      <c r="AG1220" s="31">
        <v>0</v>
      </c>
      <c r="AH1220" t="s">
        <v>44</v>
      </c>
    </row>
    <row r="1221" spans="1:34">
      <c r="A1221" s="15" t="s">
        <v>1291</v>
      </c>
      <c r="B1221" s="8" t="s">
        <v>1277</v>
      </c>
      <c r="C1221" s="41" t="s">
        <v>37</v>
      </c>
      <c r="D1221" s="1" t="s">
        <v>38</v>
      </c>
      <c r="E1221" s="26" t="s">
        <v>39</v>
      </c>
      <c r="F1221" s="27">
        <v>0.95238095238095233</v>
      </c>
      <c r="G1221" s="33">
        <v>0.33333333333333331</v>
      </c>
      <c r="H1221" s="41" t="s">
        <v>408</v>
      </c>
      <c r="I1221" s="1" t="s">
        <v>409</v>
      </c>
      <c r="J1221" s="26" t="s">
        <v>39</v>
      </c>
      <c r="K1221" s="27">
        <v>0.94339622641509424</v>
      </c>
      <c r="L1221" s="33">
        <v>0.33333333333333331</v>
      </c>
      <c r="M1221" s="41" t="s">
        <v>410</v>
      </c>
      <c r="N1221" s="1" t="s">
        <v>38</v>
      </c>
      <c r="O1221" s="26" t="s">
        <v>42</v>
      </c>
      <c r="P1221" s="27">
        <v>3.2258064516129035</v>
      </c>
      <c r="Q1221" s="33">
        <v>0.33333333333333331</v>
      </c>
      <c r="R1221" s="55" t="s">
        <v>37</v>
      </c>
      <c r="S1221" s="26" t="s">
        <v>38</v>
      </c>
      <c r="T1221" s="26" t="s">
        <v>39</v>
      </c>
      <c r="U1221" s="27">
        <v>0.95238095238095233</v>
      </c>
      <c r="V1221" s="33">
        <v>0.33333333333333331</v>
      </c>
      <c r="W1221" s="26" t="s">
        <v>408</v>
      </c>
      <c r="X1221" s="26" t="s">
        <v>409</v>
      </c>
      <c r="Y1221" s="26" t="s">
        <v>39</v>
      </c>
      <c r="Z1221" s="27">
        <v>0.94339622641509424</v>
      </c>
      <c r="AA1221" s="33">
        <v>0.33333333333333331</v>
      </c>
      <c r="AB1221" s="26" t="s">
        <v>411</v>
      </c>
      <c r="AC1221" s="26" t="s">
        <v>38</v>
      </c>
      <c r="AD1221" s="26" t="s">
        <v>42</v>
      </c>
      <c r="AE1221" s="27">
        <v>2.5</v>
      </c>
      <c r="AF1221" s="36">
        <v>0.33333333333333331</v>
      </c>
      <c r="AG1221" s="31">
        <v>0</v>
      </c>
      <c r="AH1221" t="s">
        <v>44</v>
      </c>
    </row>
    <row r="1222" spans="1:34">
      <c r="A1222" s="15" t="s">
        <v>1292</v>
      </c>
      <c r="B1222" s="8" t="s">
        <v>1277</v>
      </c>
      <c r="C1222" s="41" t="s">
        <v>37</v>
      </c>
      <c r="D1222" s="1" t="s">
        <v>38</v>
      </c>
      <c r="E1222" s="26" t="s">
        <v>39</v>
      </c>
      <c r="F1222" s="27">
        <v>0.95238095238095233</v>
      </c>
      <c r="G1222" s="33">
        <v>0.33333333333333331</v>
      </c>
      <c r="H1222" s="41" t="s">
        <v>408</v>
      </c>
      <c r="I1222" s="1" t="s">
        <v>409</v>
      </c>
      <c r="J1222" s="26" t="s">
        <v>39</v>
      </c>
      <c r="K1222" s="27">
        <v>0.94339622641509424</v>
      </c>
      <c r="L1222" s="33">
        <v>0.33333333333333331</v>
      </c>
      <c r="M1222" s="41" t="s">
        <v>410</v>
      </c>
      <c r="N1222" s="1" t="s">
        <v>38</v>
      </c>
      <c r="O1222" s="26" t="s">
        <v>42</v>
      </c>
      <c r="P1222" s="27">
        <v>3.2258064516129035</v>
      </c>
      <c r="Q1222" s="33">
        <v>0.33333333333333331</v>
      </c>
      <c r="R1222" s="55" t="s">
        <v>37</v>
      </c>
      <c r="S1222" s="26" t="s">
        <v>38</v>
      </c>
      <c r="T1222" s="26" t="s">
        <v>39</v>
      </c>
      <c r="U1222" s="27">
        <v>0.95238095238095233</v>
      </c>
      <c r="V1222" s="33">
        <v>0.33333333333333331</v>
      </c>
      <c r="W1222" s="26" t="s">
        <v>408</v>
      </c>
      <c r="X1222" s="26" t="s">
        <v>409</v>
      </c>
      <c r="Y1222" s="26" t="s">
        <v>39</v>
      </c>
      <c r="Z1222" s="27">
        <v>0.94339622641509424</v>
      </c>
      <c r="AA1222" s="33">
        <v>0.33333333333333331</v>
      </c>
      <c r="AB1222" s="26" t="s">
        <v>411</v>
      </c>
      <c r="AC1222" s="26" t="s">
        <v>38</v>
      </c>
      <c r="AD1222" s="26" t="s">
        <v>42</v>
      </c>
      <c r="AE1222" s="27">
        <v>2.5</v>
      </c>
      <c r="AF1222" s="36">
        <v>0.33333333333333331</v>
      </c>
      <c r="AG1222" s="31">
        <v>0</v>
      </c>
      <c r="AH1222" t="s">
        <v>44</v>
      </c>
    </row>
    <row r="1223" spans="1:34">
      <c r="A1223" s="15" t="s">
        <v>1293</v>
      </c>
      <c r="B1223" s="8" t="s">
        <v>1277</v>
      </c>
      <c r="C1223" s="41" t="s">
        <v>37</v>
      </c>
      <c r="D1223" s="1" t="s">
        <v>38</v>
      </c>
      <c r="E1223" s="26" t="s">
        <v>39</v>
      </c>
      <c r="F1223" s="27">
        <v>0.95238095238095233</v>
      </c>
      <c r="G1223" s="33">
        <v>0.33333333333333331</v>
      </c>
      <c r="H1223" s="41" t="s">
        <v>408</v>
      </c>
      <c r="I1223" s="1" t="s">
        <v>409</v>
      </c>
      <c r="J1223" s="26" t="s">
        <v>39</v>
      </c>
      <c r="K1223" s="27">
        <v>0.94339622641509424</v>
      </c>
      <c r="L1223" s="33">
        <v>0.33333333333333331</v>
      </c>
      <c r="M1223" s="41" t="s">
        <v>410</v>
      </c>
      <c r="N1223" s="1" t="s">
        <v>38</v>
      </c>
      <c r="O1223" s="26" t="s">
        <v>42</v>
      </c>
      <c r="P1223" s="27">
        <v>3.2258064516129035</v>
      </c>
      <c r="Q1223" s="33">
        <v>0.33333333333333331</v>
      </c>
      <c r="R1223" s="55" t="s">
        <v>37</v>
      </c>
      <c r="S1223" s="26" t="s">
        <v>38</v>
      </c>
      <c r="T1223" s="26" t="s">
        <v>39</v>
      </c>
      <c r="U1223" s="27">
        <v>0.95238095238095233</v>
      </c>
      <c r="V1223" s="33">
        <v>0.33333333333333331</v>
      </c>
      <c r="W1223" s="26" t="s">
        <v>408</v>
      </c>
      <c r="X1223" s="26" t="s">
        <v>409</v>
      </c>
      <c r="Y1223" s="26" t="s">
        <v>39</v>
      </c>
      <c r="Z1223" s="27">
        <v>0.94339622641509424</v>
      </c>
      <c r="AA1223" s="33">
        <v>0.33333333333333331</v>
      </c>
      <c r="AB1223" s="26" t="s">
        <v>411</v>
      </c>
      <c r="AC1223" s="26" t="s">
        <v>38</v>
      </c>
      <c r="AD1223" s="26" t="s">
        <v>42</v>
      </c>
      <c r="AE1223" s="27">
        <v>2.5</v>
      </c>
      <c r="AF1223" s="36">
        <v>0.33333333333333331</v>
      </c>
      <c r="AG1223" s="31">
        <v>0</v>
      </c>
      <c r="AH1223" t="s">
        <v>44</v>
      </c>
    </row>
    <row r="1224" spans="1:34">
      <c r="A1224" s="15" t="s">
        <v>1294</v>
      </c>
      <c r="B1224" s="8" t="s">
        <v>1277</v>
      </c>
      <c r="C1224" s="41" t="s">
        <v>37</v>
      </c>
      <c r="D1224" s="1" t="s">
        <v>38</v>
      </c>
      <c r="E1224" s="26" t="s">
        <v>39</v>
      </c>
      <c r="F1224" s="27">
        <v>0.95238095238095233</v>
      </c>
      <c r="G1224" s="33">
        <v>0.33333333333333331</v>
      </c>
      <c r="H1224" s="41" t="s">
        <v>408</v>
      </c>
      <c r="I1224" s="1" t="s">
        <v>409</v>
      </c>
      <c r="J1224" s="26" t="s">
        <v>39</v>
      </c>
      <c r="K1224" s="27">
        <v>0.94339622641509424</v>
      </c>
      <c r="L1224" s="33">
        <v>0.33333333333333331</v>
      </c>
      <c r="M1224" s="41" t="s">
        <v>410</v>
      </c>
      <c r="N1224" s="1" t="s">
        <v>38</v>
      </c>
      <c r="O1224" s="26" t="s">
        <v>42</v>
      </c>
      <c r="P1224" s="27">
        <v>3.2258064516129035</v>
      </c>
      <c r="Q1224" s="33">
        <v>0.33333333333333331</v>
      </c>
      <c r="R1224" s="55" t="s">
        <v>37</v>
      </c>
      <c r="S1224" s="26" t="s">
        <v>38</v>
      </c>
      <c r="T1224" s="26" t="s">
        <v>39</v>
      </c>
      <c r="U1224" s="27">
        <v>0.95238095238095233</v>
      </c>
      <c r="V1224" s="33">
        <v>0.33333333333333331</v>
      </c>
      <c r="W1224" s="26" t="s">
        <v>408</v>
      </c>
      <c r="X1224" s="26" t="s">
        <v>409</v>
      </c>
      <c r="Y1224" s="26" t="s">
        <v>39</v>
      </c>
      <c r="Z1224" s="27">
        <v>0.94339622641509424</v>
      </c>
      <c r="AA1224" s="33">
        <v>0.33333333333333331</v>
      </c>
      <c r="AB1224" s="26" t="s">
        <v>411</v>
      </c>
      <c r="AC1224" s="26" t="s">
        <v>38</v>
      </c>
      <c r="AD1224" s="26" t="s">
        <v>42</v>
      </c>
      <c r="AE1224" s="27">
        <v>2.5</v>
      </c>
      <c r="AF1224" s="36">
        <v>0.33333333333333331</v>
      </c>
      <c r="AG1224" s="31">
        <v>0</v>
      </c>
      <c r="AH1224" t="s">
        <v>44</v>
      </c>
    </row>
    <row r="1225" spans="1:34">
      <c r="A1225" s="15" t="s">
        <v>1295</v>
      </c>
      <c r="B1225" s="8" t="s">
        <v>1277</v>
      </c>
      <c r="C1225" s="41" t="s">
        <v>37</v>
      </c>
      <c r="D1225" s="1" t="s">
        <v>38</v>
      </c>
      <c r="E1225" s="26" t="s">
        <v>39</v>
      </c>
      <c r="F1225" s="27">
        <v>0.95238095238095233</v>
      </c>
      <c r="G1225" s="33">
        <v>0.33333333333333331</v>
      </c>
      <c r="H1225" s="41" t="s">
        <v>408</v>
      </c>
      <c r="I1225" s="1" t="s">
        <v>409</v>
      </c>
      <c r="J1225" s="26" t="s">
        <v>39</v>
      </c>
      <c r="K1225" s="27">
        <v>0.94339622641509424</v>
      </c>
      <c r="L1225" s="33">
        <v>0.33333333333333331</v>
      </c>
      <c r="M1225" s="41" t="s">
        <v>410</v>
      </c>
      <c r="N1225" s="1" t="s">
        <v>38</v>
      </c>
      <c r="O1225" s="26" t="s">
        <v>42</v>
      </c>
      <c r="P1225" s="27">
        <v>3.2258064516129035</v>
      </c>
      <c r="Q1225" s="33">
        <v>0.33333333333333331</v>
      </c>
      <c r="R1225" s="55" t="s">
        <v>37</v>
      </c>
      <c r="S1225" s="26" t="s">
        <v>38</v>
      </c>
      <c r="T1225" s="26" t="s">
        <v>39</v>
      </c>
      <c r="U1225" s="27">
        <v>0.95238095238095233</v>
      </c>
      <c r="V1225" s="33">
        <v>0.33333333333333331</v>
      </c>
      <c r="W1225" s="26" t="s">
        <v>408</v>
      </c>
      <c r="X1225" s="26" t="s">
        <v>409</v>
      </c>
      <c r="Y1225" s="26" t="s">
        <v>39</v>
      </c>
      <c r="Z1225" s="27">
        <v>0.94339622641509424</v>
      </c>
      <c r="AA1225" s="33">
        <v>0.33333333333333331</v>
      </c>
      <c r="AB1225" s="26" t="s">
        <v>411</v>
      </c>
      <c r="AC1225" s="26" t="s">
        <v>38</v>
      </c>
      <c r="AD1225" s="26" t="s">
        <v>42</v>
      </c>
      <c r="AE1225" s="27">
        <v>2.5</v>
      </c>
      <c r="AF1225" s="36">
        <v>0.33333333333333331</v>
      </c>
      <c r="AG1225" s="31">
        <v>0</v>
      </c>
      <c r="AH1225" t="s">
        <v>44</v>
      </c>
    </row>
    <row r="1226" spans="1:34">
      <c r="A1226" s="15" t="s">
        <v>1296</v>
      </c>
      <c r="B1226" s="8" t="s">
        <v>1277</v>
      </c>
      <c r="C1226" s="41" t="s">
        <v>37</v>
      </c>
      <c r="D1226" s="1" t="s">
        <v>38</v>
      </c>
      <c r="E1226" s="26" t="s">
        <v>39</v>
      </c>
      <c r="F1226" s="27">
        <v>0.95238095238095233</v>
      </c>
      <c r="G1226" s="33">
        <v>0.33333333333333331</v>
      </c>
      <c r="H1226" s="41" t="s">
        <v>408</v>
      </c>
      <c r="I1226" s="1" t="s">
        <v>409</v>
      </c>
      <c r="J1226" s="26" t="s">
        <v>39</v>
      </c>
      <c r="K1226" s="27">
        <v>0.94339622641509424</v>
      </c>
      <c r="L1226" s="33">
        <v>0.33333333333333331</v>
      </c>
      <c r="M1226" s="41" t="s">
        <v>410</v>
      </c>
      <c r="N1226" s="1" t="s">
        <v>38</v>
      </c>
      <c r="O1226" s="26" t="s">
        <v>42</v>
      </c>
      <c r="P1226" s="27">
        <v>3.2258064516129035</v>
      </c>
      <c r="Q1226" s="33">
        <v>0.33333333333333331</v>
      </c>
      <c r="R1226" s="55" t="s">
        <v>37</v>
      </c>
      <c r="S1226" s="26" t="s">
        <v>38</v>
      </c>
      <c r="T1226" s="26" t="s">
        <v>39</v>
      </c>
      <c r="U1226" s="27">
        <v>0.95238095238095233</v>
      </c>
      <c r="V1226" s="33">
        <v>0.33333333333333331</v>
      </c>
      <c r="W1226" s="26" t="s">
        <v>408</v>
      </c>
      <c r="X1226" s="26" t="s">
        <v>409</v>
      </c>
      <c r="Y1226" s="26" t="s">
        <v>39</v>
      </c>
      <c r="Z1226" s="27">
        <v>0.94339622641509424</v>
      </c>
      <c r="AA1226" s="33">
        <v>0.33333333333333331</v>
      </c>
      <c r="AB1226" s="26" t="s">
        <v>411</v>
      </c>
      <c r="AC1226" s="26" t="s">
        <v>38</v>
      </c>
      <c r="AD1226" s="26" t="s">
        <v>42</v>
      </c>
      <c r="AE1226" s="27">
        <v>2.5</v>
      </c>
      <c r="AF1226" s="36">
        <v>0.33333333333333331</v>
      </c>
      <c r="AG1226" s="31">
        <v>0</v>
      </c>
      <c r="AH1226" t="s">
        <v>44</v>
      </c>
    </row>
    <row r="1227" spans="1:34">
      <c r="A1227" s="15" t="s">
        <v>1297</v>
      </c>
      <c r="B1227" s="8" t="s">
        <v>1277</v>
      </c>
      <c r="C1227" s="41" t="s">
        <v>37</v>
      </c>
      <c r="D1227" s="1" t="s">
        <v>38</v>
      </c>
      <c r="E1227" s="26" t="s">
        <v>39</v>
      </c>
      <c r="F1227" s="27">
        <v>0.95238095238095233</v>
      </c>
      <c r="G1227" s="33">
        <v>0.33333333333333331</v>
      </c>
      <c r="H1227" s="41" t="s">
        <v>408</v>
      </c>
      <c r="I1227" s="1" t="s">
        <v>409</v>
      </c>
      <c r="J1227" s="26" t="s">
        <v>39</v>
      </c>
      <c r="K1227" s="27">
        <v>0.94339622641509424</v>
      </c>
      <c r="L1227" s="33">
        <v>0.33333333333333331</v>
      </c>
      <c r="M1227" s="41" t="s">
        <v>410</v>
      </c>
      <c r="N1227" s="1" t="s">
        <v>38</v>
      </c>
      <c r="O1227" s="26" t="s">
        <v>42</v>
      </c>
      <c r="P1227" s="27">
        <v>3.2258064516129035</v>
      </c>
      <c r="Q1227" s="33">
        <v>0.33333333333333331</v>
      </c>
      <c r="R1227" s="55" t="s">
        <v>37</v>
      </c>
      <c r="S1227" s="26" t="s">
        <v>38</v>
      </c>
      <c r="T1227" s="26" t="s">
        <v>39</v>
      </c>
      <c r="U1227" s="27">
        <v>0.95238095238095233</v>
      </c>
      <c r="V1227" s="33">
        <v>0.33333333333333331</v>
      </c>
      <c r="W1227" s="26" t="s">
        <v>408</v>
      </c>
      <c r="X1227" s="26" t="s">
        <v>409</v>
      </c>
      <c r="Y1227" s="26" t="s">
        <v>39</v>
      </c>
      <c r="Z1227" s="27">
        <v>0.94339622641509424</v>
      </c>
      <c r="AA1227" s="33">
        <v>0.33333333333333331</v>
      </c>
      <c r="AB1227" s="26" t="s">
        <v>411</v>
      </c>
      <c r="AC1227" s="26" t="s">
        <v>38</v>
      </c>
      <c r="AD1227" s="26" t="s">
        <v>42</v>
      </c>
      <c r="AE1227" s="27">
        <v>2.5</v>
      </c>
      <c r="AF1227" s="36">
        <v>0.33333333333333331</v>
      </c>
      <c r="AG1227" s="31">
        <v>0</v>
      </c>
      <c r="AH1227" t="s">
        <v>44</v>
      </c>
    </row>
    <row r="1228" spans="1:34">
      <c r="A1228" s="15" t="s">
        <v>1298</v>
      </c>
      <c r="B1228" s="8" t="s">
        <v>1277</v>
      </c>
      <c r="C1228" s="41" t="s">
        <v>37</v>
      </c>
      <c r="D1228" s="1" t="s">
        <v>38</v>
      </c>
      <c r="E1228" s="26" t="s">
        <v>39</v>
      </c>
      <c r="F1228" s="27">
        <v>0.95238095238095233</v>
      </c>
      <c r="G1228" s="33">
        <v>0.33333333333333331</v>
      </c>
      <c r="H1228" s="41" t="s">
        <v>408</v>
      </c>
      <c r="I1228" s="1" t="s">
        <v>409</v>
      </c>
      <c r="J1228" s="26" t="s">
        <v>39</v>
      </c>
      <c r="K1228" s="27">
        <v>0.94339622641509424</v>
      </c>
      <c r="L1228" s="33">
        <v>0.33333333333333331</v>
      </c>
      <c r="M1228" s="41" t="s">
        <v>410</v>
      </c>
      <c r="N1228" s="1" t="s">
        <v>38</v>
      </c>
      <c r="O1228" s="26" t="s">
        <v>42</v>
      </c>
      <c r="P1228" s="27">
        <v>3.2258064516129035</v>
      </c>
      <c r="Q1228" s="33">
        <v>0.33333333333333331</v>
      </c>
      <c r="R1228" s="55" t="s">
        <v>37</v>
      </c>
      <c r="S1228" s="26" t="s">
        <v>38</v>
      </c>
      <c r="T1228" s="26" t="s">
        <v>39</v>
      </c>
      <c r="U1228" s="27">
        <v>0.95238095238095233</v>
      </c>
      <c r="V1228" s="33">
        <v>0.33333333333333331</v>
      </c>
      <c r="W1228" s="26" t="s">
        <v>408</v>
      </c>
      <c r="X1228" s="26" t="s">
        <v>409</v>
      </c>
      <c r="Y1228" s="26" t="s">
        <v>39</v>
      </c>
      <c r="Z1228" s="27">
        <v>0.94339622641509424</v>
      </c>
      <c r="AA1228" s="33">
        <v>0.33333333333333331</v>
      </c>
      <c r="AB1228" s="26" t="s">
        <v>411</v>
      </c>
      <c r="AC1228" s="26" t="s">
        <v>38</v>
      </c>
      <c r="AD1228" s="26" t="s">
        <v>42</v>
      </c>
      <c r="AE1228" s="27">
        <v>2.5</v>
      </c>
      <c r="AF1228" s="36">
        <v>0.33333333333333331</v>
      </c>
      <c r="AG1228" s="31">
        <v>0</v>
      </c>
      <c r="AH1228" t="s">
        <v>44</v>
      </c>
    </row>
    <row r="1229" spans="1:34">
      <c r="A1229" s="15" t="s">
        <v>1299</v>
      </c>
      <c r="B1229" s="8" t="s">
        <v>1277</v>
      </c>
      <c r="C1229" s="41" t="s">
        <v>37</v>
      </c>
      <c r="D1229" s="1" t="s">
        <v>38</v>
      </c>
      <c r="E1229" s="26" t="s">
        <v>39</v>
      </c>
      <c r="F1229" s="27">
        <v>0.95238095238095233</v>
      </c>
      <c r="G1229" s="33">
        <v>0.33333333333333331</v>
      </c>
      <c r="H1229" s="41" t="s">
        <v>408</v>
      </c>
      <c r="I1229" s="1" t="s">
        <v>409</v>
      </c>
      <c r="J1229" s="26" t="s">
        <v>39</v>
      </c>
      <c r="K1229" s="27">
        <v>0.94339622641509424</v>
      </c>
      <c r="L1229" s="33">
        <v>0.33333333333333331</v>
      </c>
      <c r="M1229" s="41" t="s">
        <v>410</v>
      </c>
      <c r="N1229" s="1" t="s">
        <v>38</v>
      </c>
      <c r="O1229" s="26" t="s">
        <v>42</v>
      </c>
      <c r="P1229" s="27">
        <v>3.2258064516129035</v>
      </c>
      <c r="Q1229" s="33">
        <v>0.33333333333333331</v>
      </c>
      <c r="R1229" s="55" t="s">
        <v>37</v>
      </c>
      <c r="S1229" s="26" t="s">
        <v>38</v>
      </c>
      <c r="T1229" s="26" t="s">
        <v>39</v>
      </c>
      <c r="U1229" s="27">
        <v>0.95238095238095233</v>
      </c>
      <c r="V1229" s="33">
        <v>0.33333333333333331</v>
      </c>
      <c r="W1229" s="26" t="s">
        <v>408</v>
      </c>
      <c r="X1229" s="26" t="s">
        <v>409</v>
      </c>
      <c r="Y1229" s="26" t="s">
        <v>39</v>
      </c>
      <c r="Z1229" s="27">
        <v>0.94339622641509424</v>
      </c>
      <c r="AA1229" s="33">
        <v>0.33333333333333331</v>
      </c>
      <c r="AB1229" s="26" t="s">
        <v>411</v>
      </c>
      <c r="AC1229" s="26" t="s">
        <v>38</v>
      </c>
      <c r="AD1229" s="26" t="s">
        <v>42</v>
      </c>
      <c r="AE1229" s="27">
        <v>2.5</v>
      </c>
      <c r="AF1229" s="36">
        <v>0.33333333333333331</v>
      </c>
      <c r="AG1229" s="31">
        <v>0</v>
      </c>
      <c r="AH1229" t="s">
        <v>44</v>
      </c>
    </row>
    <row r="1230" spans="1:34">
      <c r="A1230" s="15" t="s">
        <v>1300</v>
      </c>
      <c r="B1230" s="8" t="s">
        <v>1277</v>
      </c>
      <c r="C1230" s="41" t="s">
        <v>37</v>
      </c>
      <c r="D1230" s="1" t="s">
        <v>38</v>
      </c>
      <c r="E1230" s="26" t="s">
        <v>39</v>
      </c>
      <c r="F1230" s="27">
        <v>0.95238095238095233</v>
      </c>
      <c r="G1230" s="33">
        <v>0.33333333333333331</v>
      </c>
      <c r="H1230" s="41" t="s">
        <v>408</v>
      </c>
      <c r="I1230" s="1" t="s">
        <v>409</v>
      </c>
      <c r="J1230" s="26" t="s">
        <v>39</v>
      </c>
      <c r="K1230" s="27">
        <v>0.94339622641509424</v>
      </c>
      <c r="L1230" s="33">
        <v>0.33333333333333331</v>
      </c>
      <c r="M1230" s="41" t="s">
        <v>410</v>
      </c>
      <c r="N1230" s="1" t="s">
        <v>38</v>
      </c>
      <c r="O1230" s="26" t="s">
        <v>42</v>
      </c>
      <c r="P1230" s="27">
        <v>3.2258064516129035</v>
      </c>
      <c r="Q1230" s="33">
        <v>0.33333333333333331</v>
      </c>
      <c r="R1230" s="55" t="s">
        <v>37</v>
      </c>
      <c r="S1230" s="26" t="s">
        <v>38</v>
      </c>
      <c r="T1230" s="26" t="s">
        <v>39</v>
      </c>
      <c r="U1230" s="27">
        <v>0.95238095238095233</v>
      </c>
      <c r="V1230" s="33">
        <v>0.33333333333333331</v>
      </c>
      <c r="W1230" s="26" t="s">
        <v>408</v>
      </c>
      <c r="X1230" s="26" t="s">
        <v>409</v>
      </c>
      <c r="Y1230" s="26" t="s">
        <v>39</v>
      </c>
      <c r="Z1230" s="27">
        <v>0.94339622641509424</v>
      </c>
      <c r="AA1230" s="33">
        <v>0.33333333333333331</v>
      </c>
      <c r="AB1230" s="26" t="s">
        <v>411</v>
      </c>
      <c r="AC1230" s="26" t="s">
        <v>38</v>
      </c>
      <c r="AD1230" s="26" t="s">
        <v>42</v>
      </c>
      <c r="AE1230" s="27">
        <v>2.5</v>
      </c>
      <c r="AF1230" s="36">
        <v>0.33333333333333331</v>
      </c>
      <c r="AG1230" s="31">
        <v>0</v>
      </c>
      <c r="AH1230" t="s">
        <v>44</v>
      </c>
    </row>
    <row r="1231" spans="1:34">
      <c r="A1231" s="15" t="s">
        <v>1301</v>
      </c>
      <c r="B1231" s="8" t="s">
        <v>1277</v>
      </c>
      <c r="C1231" s="41" t="s">
        <v>37</v>
      </c>
      <c r="D1231" s="1" t="s">
        <v>38</v>
      </c>
      <c r="E1231" s="26" t="s">
        <v>39</v>
      </c>
      <c r="F1231" s="27">
        <v>0.95238095238095233</v>
      </c>
      <c r="G1231" s="33">
        <v>0.33333333333333331</v>
      </c>
      <c r="H1231" s="41" t="s">
        <v>408</v>
      </c>
      <c r="I1231" s="1" t="s">
        <v>409</v>
      </c>
      <c r="J1231" s="26" t="s">
        <v>39</v>
      </c>
      <c r="K1231" s="27">
        <v>0.94339622641509424</v>
      </c>
      <c r="L1231" s="33">
        <v>0.33333333333333331</v>
      </c>
      <c r="M1231" s="41" t="s">
        <v>410</v>
      </c>
      <c r="N1231" s="1" t="s">
        <v>38</v>
      </c>
      <c r="O1231" s="26" t="s">
        <v>42</v>
      </c>
      <c r="P1231" s="27">
        <v>3.2258064516129035</v>
      </c>
      <c r="Q1231" s="33">
        <v>0.33333333333333331</v>
      </c>
      <c r="R1231" s="55" t="s">
        <v>37</v>
      </c>
      <c r="S1231" s="26" t="s">
        <v>38</v>
      </c>
      <c r="T1231" s="26" t="s">
        <v>39</v>
      </c>
      <c r="U1231" s="27">
        <v>0.95238095238095233</v>
      </c>
      <c r="V1231" s="33">
        <v>0.33333333333333331</v>
      </c>
      <c r="W1231" s="26" t="s">
        <v>408</v>
      </c>
      <c r="X1231" s="26" t="s">
        <v>409</v>
      </c>
      <c r="Y1231" s="26" t="s">
        <v>39</v>
      </c>
      <c r="Z1231" s="27">
        <v>0.94339622641509424</v>
      </c>
      <c r="AA1231" s="33">
        <v>0.33333333333333331</v>
      </c>
      <c r="AB1231" s="26" t="s">
        <v>411</v>
      </c>
      <c r="AC1231" s="26" t="s">
        <v>38</v>
      </c>
      <c r="AD1231" s="26" t="s">
        <v>42</v>
      </c>
      <c r="AE1231" s="27">
        <v>2.5</v>
      </c>
      <c r="AF1231" s="36">
        <v>0.33333333333333331</v>
      </c>
      <c r="AG1231" s="31">
        <v>0</v>
      </c>
      <c r="AH1231" t="s">
        <v>44</v>
      </c>
    </row>
    <row r="1232" spans="1:34">
      <c r="A1232" s="15" t="s">
        <v>1302</v>
      </c>
      <c r="B1232" s="8" t="s">
        <v>1277</v>
      </c>
      <c r="C1232" s="41" t="s">
        <v>37</v>
      </c>
      <c r="D1232" s="1" t="s">
        <v>38</v>
      </c>
      <c r="E1232" s="26" t="s">
        <v>39</v>
      </c>
      <c r="F1232" s="27">
        <v>0.95238095238095233</v>
      </c>
      <c r="G1232" s="33">
        <v>0.33333333333333331</v>
      </c>
      <c r="H1232" s="41" t="s">
        <v>408</v>
      </c>
      <c r="I1232" s="1" t="s">
        <v>409</v>
      </c>
      <c r="J1232" s="26" t="s">
        <v>39</v>
      </c>
      <c r="K1232" s="27">
        <v>0.94339622641509424</v>
      </c>
      <c r="L1232" s="33">
        <v>0.33333333333333331</v>
      </c>
      <c r="M1232" s="41" t="s">
        <v>410</v>
      </c>
      <c r="N1232" s="1" t="s">
        <v>38</v>
      </c>
      <c r="O1232" s="26" t="s">
        <v>42</v>
      </c>
      <c r="P1232" s="27">
        <v>3.2258064516129035</v>
      </c>
      <c r="Q1232" s="33">
        <v>0.33333333333333331</v>
      </c>
      <c r="R1232" s="55" t="s">
        <v>37</v>
      </c>
      <c r="S1232" s="26" t="s">
        <v>38</v>
      </c>
      <c r="T1232" s="26" t="s">
        <v>39</v>
      </c>
      <c r="U1232" s="27">
        <v>0.95238095238095233</v>
      </c>
      <c r="V1232" s="33">
        <v>0.33333333333333331</v>
      </c>
      <c r="W1232" s="26" t="s">
        <v>408</v>
      </c>
      <c r="X1232" s="26" t="s">
        <v>409</v>
      </c>
      <c r="Y1232" s="26" t="s">
        <v>39</v>
      </c>
      <c r="Z1232" s="27">
        <v>0.94339622641509424</v>
      </c>
      <c r="AA1232" s="33">
        <v>0.33333333333333331</v>
      </c>
      <c r="AB1232" s="26" t="s">
        <v>411</v>
      </c>
      <c r="AC1232" s="26" t="s">
        <v>38</v>
      </c>
      <c r="AD1232" s="26" t="s">
        <v>42</v>
      </c>
      <c r="AE1232" s="27">
        <v>2.5</v>
      </c>
      <c r="AF1232" s="36">
        <v>0.33333333333333331</v>
      </c>
      <c r="AG1232" s="31">
        <v>0</v>
      </c>
      <c r="AH1232" t="s">
        <v>44</v>
      </c>
    </row>
    <row r="1233" spans="1:34">
      <c r="A1233" s="15" t="s">
        <v>1303</v>
      </c>
      <c r="B1233" s="8" t="s">
        <v>1277</v>
      </c>
      <c r="C1233" s="41" t="s">
        <v>37</v>
      </c>
      <c r="D1233" s="1" t="s">
        <v>38</v>
      </c>
      <c r="E1233" s="26" t="s">
        <v>39</v>
      </c>
      <c r="F1233" s="27">
        <v>0.95238095238095233</v>
      </c>
      <c r="G1233" s="33">
        <v>0.33333333333333331</v>
      </c>
      <c r="H1233" s="41" t="s">
        <v>408</v>
      </c>
      <c r="I1233" s="1" t="s">
        <v>409</v>
      </c>
      <c r="J1233" s="26" t="s">
        <v>39</v>
      </c>
      <c r="K1233" s="27">
        <v>0.94339622641509424</v>
      </c>
      <c r="L1233" s="33">
        <v>0.33333333333333331</v>
      </c>
      <c r="M1233" s="41" t="s">
        <v>410</v>
      </c>
      <c r="N1233" s="1" t="s">
        <v>38</v>
      </c>
      <c r="O1233" s="26" t="s">
        <v>42</v>
      </c>
      <c r="P1233" s="27">
        <v>3.2258064516129035</v>
      </c>
      <c r="Q1233" s="33">
        <v>0.33333333333333331</v>
      </c>
      <c r="R1233" s="55" t="s">
        <v>37</v>
      </c>
      <c r="S1233" s="26" t="s">
        <v>38</v>
      </c>
      <c r="T1233" s="26" t="s">
        <v>39</v>
      </c>
      <c r="U1233" s="27">
        <v>0.95238095238095233</v>
      </c>
      <c r="V1233" s="33">
        <v>0.33333333333333331</v>
      </c>
      <c r="W1233" s="26" t="s">
        <v>408</v>
      </c>
      <c r="X1233" s="26" t="s">
        <v>409</v>
      </c>
      <c r="Y1233" s="26" t="s">
        <v>39</v>
      </c>
      <c r="Z1233" s="27">
        <v>0.94339622641509424</v>
      </c>
      <c r="AA1233" s="33">
        <v>0.33333333333333331</v>
      </c>
      <c r="AB1233" s="26" t="s">
        <v>411</v>
      </c>
      <c r="AC1233" s="26" t="s">
        <v>38</v>
      </c>
      <c r="AD1233" s="26" t="s">
        <v>42</v>
      </c>
      <c r="AE1233" s="27">
        <v>2.5</v>
      </c>
      <c r="AF1233" s="36">
        <v>0.33333333333333331</v>
      </c>
      <c r="AG1233" s="31">
        <v>0</v>
      </c>
      <c r="AH1233" t="s">
        <v>44</v>
      </c>
    </row>
    <row r="1234" spans="1:34">
      <c r="A1234" s="15" t="s">
        <v>1304</v>
      </c>
      <c r="B1234" s="8" t="s">
        <v>1277</v>
      </c>
      <c r="C1234" s="41" t="s">
        <v>37</v>
      </c>
      <c r="D1234" s="1" t="s">
        <v>38</v>
      </c>
      <c r="E1234" s="26" t="s">
        <v>39</v>
      </c>
      <c r="F1234" s="27">
        <v>0.95238095238095233</v>
      </c>
      <c r="G1234" s="33">
        <v>0.33333333333333331</v>
      </c>
      <c r="H1234" s="41" t="s">
        <v>408</v>
      </c>
      <c r="I1234" s="1" t="s">
        <v>409</v>
      </c>
      <c r="J1234" s="26" t="s">
        <v>39</v>
      </c>
      <c r="K1234" s="27">
        <v>0.94339622641509424</v>
      </c>
      <c r="L1234" s="33">
        <v>0.33333333333333331</v>
      </c>
      <c r="M1234" s="41" t="s">
        <v>410</v>
      </c>
      <c r="N1234" s="1" t="s">
        <v>38</v>
      </c>
      <c r="O1234" s="26" t="s">
        <v>42</v>
      </c>
      <c r="P1234" s="27">
        <v>3.2258064516129035</v>
      </c>
      <c r="Q1234" s="33">
        <v>0.33333333333333331</v>
      </c>
      <c r="R1234" s="55" t="s">
        <v>37</v>
      </c>
      <c r="S1234" s="26" t="s">
        <v>38</v>
      </c>
      <c r="T1234" s="26" t="s">
        <v>39</v>
      </c>
      <c r="U1234" s="27">
        <v>0.95238095238095233</v>
      </c>
      <c r="V1234" s="33">
        <v>0.33333333333333331</v>
      </c>
      <c r="W1234" s="26" t="s">
        <v>408</v>
      </c>
      <c r="X1234" s="26" t="s">
        <v>409</v>
      </c>
      <c r="Y1234" s="26" t="s">
        <v>39</v>
      </c>
      <c r="Z1234" s="27">
        <v>0.94339622641509424</v>
      </c>
      <c r="AA1234" s="33">
        <v>0.33333333333333331</v>
      </c>
      <c r="AB1234" s="26" t="s">
        <v>411</v>
      </c>
      <c r="AC1234" s="26" t="s">
        <v>38</v>
      </c>
      <c r="AD1234" s="26" t="s">
        <v>42</v>
      </c>
      <c r="AE1234" s="27">
        <v>2.5</v>
      </c>
      <c r="AF1234" s="36">
        <v>0.33333333333333331</v>
      </c>
      <c r="AG1234" s="31">
        <v>0</v>
      </c>
      <c r="AH1234" t="s">
        <v>44</v>
      </c>
    </row>
    <row r="1235" spans="1:34">
      <c r="A1235" s="15" t="s">
        <v>1305</v>
      </c>
      <c r="B1235" s="8" t="s">
        <v>1277</v>
      </c>
      <c r="C1235" s="41" t="s">
        <v>37</v>
      </c>
      <c r="D1235" s="1" t="s">
        <v>38</v>
      </c>
      <c r="E1235" s="26" t="s">
        <v>39</v>
      </c>
      <c r="F1235" s="27">
        <v>0.95238095238095233</v>
      </c>
      <c r="G1235" s="33">
        <v>0.33333333333333331</v>
      </c>
      <c r="H1235" s="41" t="s">
        <v>408</v>
      </c>
      <c r="I1235" s="1" t="s">
        <v>409</v>
      </c>
      <c r="J1235" s="26" t="s">
        <v>39</v>
      </c>
      <c r="K1235" s="27">
        <v>0.94339622641509424</v>
      </c>
      <c r="L1235" s="33">
        <v>0.33333333333333331</v>
      </c>
      <c r="M1235" s="41" t="s">
        <v>410</v>
      </c>
      <c r="N1235" s="1" t="s">
        <v>38</v>
      </c>
      <c r="O1235" s="26" t="s">
        <v>42</v>
      </c>
      <c r="P1235" s="27">
        <v>3.2258064516129035</v>
      </c>
      <c r="Q1235" s="33">
        <v>0.33333333333333331</v>
      </c>
      <c r="R1235" s="55" t="s">
        <v>37</v>
      </c>
      <c r="S1235" s="26" t="s">
        <v>38</v>
      </c>
      <c r="T1235" s="26" t="s">
        <v>39</v>
      </c>
      <c r="U1235" s="27">
        <v>0.95238095238095233</v>
      </c>
      <c r="V1235" s="33">
        <v>0.33333333333333331</v>
      </c>
      <c r="W1235" s="26" t="s">
        <v>408</v>
      </c>
      <c r="X1235" s="26" t="s">
        <v>409</v>
      </c>
      <c r="Y1235" s="26" t="s">
        <v>39</v>
      </c>
      <c r="Z1235" s="27">
        <v>0.94339622641509424</v>
      </c>
      <c r="AA1235" s="33">
        <v>0.33333333333333331</v>
      </c>
      <c r="AB1235" s="26" t="s">
        <v>411</v>
      </c>
      <c r="AC1235" s="26" t="s">
        <v>38</v>
      </c>
      <c r="AD1235" s="26" t="s">
        <v>42</v>
      </c>
      <c r="AE1235" s="27">
        <v>2.5</v>
      </c>
      <c r="AF1235" s="36">
        <v>0.33333333333333331</v>
      </c>
      <c r="AG1235" s="31">
        <v>0</v>
      </c>
      <c r="AH1235" t="s">
        <v>44</v>
      </c>
    </row>
    <row r="1236" spans="1:34">
      <c r="A1236" s="15" t="s">
        <v>1306</v>
      </c>
      <c r="B1236" s="8" t="s">
        <v>1277</v>
      </c>
      <c r="C1236" s="41" t="s">
        <v>37</v>
      </c>
      <c r="D1236" s="1" t="s">
        <v>38</v>
      </c>
      <c r="E1236" s="26" t="s">
        <v>39</v>
      </c>
      <c r="F1236" s="27">
        <v>0.95238095238095233</v>
      </c>
      <c r="G1236" s="33">
        <v>0.33333333333333331</v>
      </c>
      <c r="H1236" s="41" t="s">
        <v>408</v>
      </c>
      <c r="I1236" s="1" t="s">
        <v>409</v>
      </c>
      <c r="J1236" s="26" t="s">
        <v>39</v>
      </c>
      <c r="K1236" s="27">
        <v>0.94339622641509424</v>
      </c>
      <c r="L1236" s="33">
        <v>0.33333333333333331</v>
      </c>
      <c r="M1236" s="41" t="s">
        <v>410</v>
      </c>
      <c r="N1236" s="1" t="s">
        <v>38</v>
      </c>
      <c r="O1236" s="26" t="s">
        <v>42</v>
      </c>
      <c r="P1236" s="27">
        <v>3.2258064516129035</v>
      </c>
      <c r="Q1236" s="33">
        <v>0.33333333333333331</v>
      </c>
      <c r="R1236" s="55" t="s">
        <v>37</v>
      </c>
      <c r="S1236" s="26" t="s">
        <v>38</v>
      </c>
      <c r="T1236" s="26" t="s">
        <v>39</v>
      </c>
      <c r="U1236" s="27">
        <v>0.95238095238095233</v>
      </c>
      <c r="V1236" s="33">
        <v>0.33333333333333331</v>
      </c>
      <c r="W1236" s="26" t="s">
        <v>408</v>
      </c>
      <c r="X1236" s="26" t="s">
        <v>409</v>
      </c>
      <c r="Y1236" s="26" t="s">
        <v>39</v>
      </c>
      <c r="Z1236" s="27">
        <v>0.94339622641509424</v>
      </c>
      <c r="AA1236" s="33">
        <v>0.33333333333333331</v>
      </c>
      <c r="AB1236" s="26" t="s">
        <v>411</v>
      </c>
      <c r="AC1236" s="26" t="s">
        <v>38</v>
      </c>
      <c r="AD1236" s="26" t="s">
        <v>42</v>
      </c>
      <c r="AE1236" s="27">
        <v>2.5</v>
      </c>
      <c r="AF1236" s="36">
        <v>0.33333333333333331</v>
      </c>
      <c r="AG1236" s="31">
        <v>0</v>
      </c>
      <c r="AH1236" t="s">
        <v>44</v>
      </c>
    </row>
    <row r="1237" spans="1:34">
      <c r="A1237" s="15" t="s">
        <v>1307</v>
      </c>
      <c r="B1237" s="8" t="s">
        <v>1277</v>
      </c>
      <c r="C1237" s="41" t="s">
        <v>37</v>
      </c>
      <c r="D1237" s="1" t="s">
        <v>38</v>
      </c>
      <c r="E1237" s="26" t="s">
        <v>39</v>
      </c>
      <c r="F1237" s="27">
        <v>0.95238095238095233</v>
      </c>
      <c r="G1237" s="33">
        <v>0.33333333333333331</v>
      </c>
      <c r="H1237" s="41" t="s">
        <v>408</v>
      </c>
      <c r="I1237" s="1" t="s">
        <v>409</v>
      </c>
      <c r="J1237" s="26" t="s">
        <v>39</v>
      </c>
      <c r="K1237" s="27">
        <v>0.94339622641509424</v>
      </c>
      <c r="L1237" s="33">
        <v>0.33333333333333331</v>
      </c>
      <c r="M1237" s="41" t="s">
        <v>410</v>
      </c>
      <c r="N1237" s="1" t="s">
        <v>38</v>
      </c>
      <c r="O1237" s="26" t="s">
        <v>42</v>
      </c>
      <c r="P1237" s="27">
        <v>3.2258064516129035</v>
      </c>
      <c r="Q1237" s="33">
        <v>0.33333333333333331</v>
      </c>
      <c r="R1237" s="55" t="s">
        <v>37</v>
      </c>
      <c r="S1237" s="26" t="s">
        <v>38</v>
      </c>
      <c r="T1237" s="26" t="s">
        <v>39</v>
      </c>
      <c r="U1237" s="27">
        <v>0.95238095238095233</v>
      </c>
      <c r="V1237" s="33">
        <v>0.33333333333333331</v>
      </c>
      <c r="W1237" s="26" t="s">
        <v>408</v>
      </c>
      <c r="X1237" s="26" t="s">
        <v>409</v>
      </c>
      <c r="Y1237" s="26" t="s">
        <v>39</v>
      </c>
      <c r="Z1237" s="27">
        <v>0.94339622641509424</v>
      </c>
      <c r="AA1237" s="33">
        <v>0.33333333333333331</v>
      </c>
      <c r="AB1237" s="26" t="s">
        <v>411</v>
      </c>
      <c r="AC1237" s="26" t="s">
        <v>38</v>
      </c>
      <c r="AD1237" s="26" t="s">
        <v>42</v>
      </c>
      <c r="AE1237" s="27">
        <v>2.5</v>
      </c>
      <c r="AF1237" s="36">
        <v>0.33333333333333331</v>
      </c>
      <c r="AG1237" s="31">
        <v>0</v>
      </c>
      <c r="AH1237" t="s">
        <v>44</v>
      </c>
    </row>
    <row r="1238" spans="1:34">
      <c r="A1238" s="15" t="s">
        <v>1308</v>
      </c>
      <c r="B1238" s="8" t="s">
        <v>1277</v>
      </c>
      <c r="C1238" s="41" t="s">
        <v>37</v>
      </c>
      <c r="D1238" s="1" t="s">
        <v>38</v>
      </c>
      <c r="E1238" s="26" t="s">
        <v>39</v>
      </c>
      <c r="F1238" s="27">
        <v>0.95238095238095233</v>
      </c>
      <c r="G1238" s="33">
        <v>0.33333333333333331</v>
      </c>
      <c r="H1238" s="41" t="s">
        <v>408</v>
      </c>
      <c r="I1238" s="1" t="s">
        <v>409</v>
      </c>
      <c r="J1238" s="26" t="s">
        <v>39</v>
      </c>
      <c r="K1238" s="27">
        <v>0.94339622641509424</v>
      </c>
      <c r="L1238" s="33">
        <v>0.33333333333333331</v>
      </c>
      <c r="M1238" s="41" t="s">
        <v>410</v>
      </c>
      <c r="N1238" s="1" t="s">
        <v>38</v>
      </c>
      <c r="O1238" s="26" t="s">
        <v>42</v>
      </c>
      <c r="P1238" s="27">
        <v>3.2258064516129035</v>
      </c>
      <c r="Q1238" s="33">
        <v>0.33333333333333331</v>
      </c>
      <c r="R1238" s="55" t="s">
        <v>37</v>
      </c>
      <c r="S1238" s="26" t="s">
        <v>38</v>
      </c>
      <c r="T1238" s="26" t="s">
        <v>39</v>
      </c>
      <c r="U1238" s="27">
        <v>0.95238095238095233</v>
      </c>
      <c r="V1238" s="33">
        <v>0.33333333333333331</v>
      </c>
      <c r="W1238" s="26" t="s">
        <v>408</v>
      </c>
      <c r="X1238" s="26" t="s">
        <v>409</v>
      </c>
      <c r="Y1238" s="26" t="s">
        <v>39</v>
      </c>
      <c r="Z1238" s="27">
        <v>0.94339622641509424</v>
      </c>
      <c r="AA1238" s="33">
        <v>0.33333333333333331</v>
      </c>
      <c r="AB1238" s="26" t="s">
        <v>411</v>
      </c>
      <c r="AC1238" s="26" t="s">
        <v>38</v>
      </c>
      <c r="AD1238" s="26" t="s">
        <v>42</v>
      </c>
      <c r="AE1238" s="27">
        <v>2.5</v>
      </c>
      <c r="AF1238" s="36">
        <v>0.33333333333333331</v>
      </c>
      <c r="AG1238" s="31">
        <v>0</v>
      </c>
      <c r="AH1238" t="s">
        <v>44</v>
      </c>
    </row>
    <row r="1239" spans="1:34">
      <c r="A1239" s="15" t="s">
        <v>1309</v>
      </c>
      <c r="B1239" s="8" t="s">
        <v>1277</v>
      </c>
      <c r="C1239" s="41" t="s">
        <v>37</v>
      </c>
      <c r="D1239" s="1" t="s">
        <v>38</v>
      </c>
      <c r="E1239" s="26" t="s">
        <v>39</v>
      </c>
      <c r="F1239" s="27">
        <v>0.95238095238095233</v>
      </c>
      <c r="G1239" s="33">
        <v>0.33333333333333331</v>
      </c>
      <c r="H1239" s="41" t="s">
        <v>408</v>
      </c>
      <c r="I1239" s="1" t="s">
        <v>409</v>
      </c>
      <c r="J1239" s="26" t="s">
        <v>39</v>
      </c>
      <c r="K1239" s="27">
        <v>0.94339622641509424</v>
      </c>
      <c r="L1239" s="33">
        <v>0.33333333333333331</v>
      </c>
      <c r="M1239" s="41" t="s">
        <v>410</v>
      </c>
      <c r="N1239" s="1" t="s">
        <v>38</v>
      </c>
      <c r="O1239" s="26" t="s">
        <v>42</v>
      </c>
      <c r="P1239" s="27">
        <v>3.2258064516129035</v>
      </c>
      <c r="Q1239" s="33">
        <v>0.33333333333333331</v>
      </c>
      <c r="R1239" s="55" t="s">
        <v>37</v>
      </c>
      <c r="S1239" s="26" t="s">
        <v>38</v>
      </c>
      <c r="T1239" s="26" t="s">
        <v>39</v>
      </c>
      <c r="U1239" s="27">
        <v>0.95238095238095233</v>
      </c>
      <c r="V1239" s="33">
        <v>0.33333333333333331</v>
      </c>
      <c r="W1239" s="26" t="s">
        <v>408</v>
      </c>
      <c r="X1239" s="26" t="s">
        <v>409</v>
      </c>
      <c r="Y1239" s="26" t="s">
        <v>39</v>
      </c>
      <c r="Z1239" s="27">
        <v>0.94339622641509424</v>
      </c>
      <c r="AA1239" s="33">
        <v>0.33333333333333331</v>
      </c>
      <c r="AB1239" s="26" t="s">
        <v>411</v>
      </c>
      <c r="AC1239" s="26" t="s">
        <v>38</v>
      </c>
      <c r="AD1239" s="26" t="s">
        <v>42</v>
      </c>
      <c r="AE1239" s="27">
        <v>2.5</v>
      </c>
      <c r="AF1239" s="36">
        <v>0.33333333333333331</v>
      </c>
      <c r="AG1239" s="31">
        <v>0</v>
      </c>
      <c r="AH1239" t="s">
        <v>44</v>
      </c>
    </row>
    <row r="1240" spans="1:34">
      <c r="A1240" s="15" t="s">
        <v>1310</v>
      </c>
      <c r="B1240" s="8" t="s">
        <v>1277</v>
      </c>
      <c r="C1240" s="41" t="s">
        <v>37</v>
      </c>
      <c r="D1240" s="1" t="s">
        <v>38</v>
      </c>
      <c r="E1240" s="26" t="s">
        <v>39</v>
      </c>
      <c r="F1240" s="27">
        <v>0.95238095238095233</v>
      </c>
      <c r="G1240" s="33">
        <v>0.33333333333333331</v>
      </c>
      <c r="H1240" s="41" t="s">
        <v>408</v>
      </c>
      <c r="I1240" s="1" t="s">
        <v>409</v>
      </c>
      <c r="J1240" s="26" t="s">
        <v>39</v>
      </c>
      <c r="K1240" s="27">
        <v>0.94339622641509424</v>
      </c>
      <c r="L1240" s="33">
        <v>0.33333333333333331</v>
      </c>
      <c r="M1240" s="41" t="s">
        <v>410</v>
      </c>
      <c r="N1240" s="1" t="s">
        <v>38</v>
      </c>
      <c r="O1240" s="26" t="s">
        <v>42</v>
      </c>
      <c r="P1240" s="27">
        <v>3.2258064516129035</v>
      </c>
      <c r="Q1240" s="33">
        <v>0.33333333333333331</v>
      </c>
      <c r="R1240" s="55" t="s">
        <v>37</v>
      </c>
      <c r="S1240" s="26" t="s">
        <v>38</v>
      </c>
      <c r="T1240" s="26" t="s">
        <v>39</v>
      </c>
      <c r="U1240" s="27">
        <v>0.95238095238095233</v>
      </c>
      <c r="V1240" s="33">
        <v>0.33333333333333331</v>
      </c>
      <c r="W1240" s="26" t="s">
        <v>408</v>
      </c>
      <c r="X1240" s="26" t="s">
        <v>409</v>
      </c>
      <c r="Y1240" s="26" t="s">
        <v>39</v>
      </c>
      <c r="Z1240" s="27">
        <v>0.94339622641509424</v>
      </c>
      <c r="AA1240" s="33">
        <v>0.33333333333333331</v>
      </c>
      <c r="AB1240" s="26" t="s">
        <v>411</v>
      </c>
      <c r="AC1240" s="26" t="s">
        <v>38</v>
      </c>
      <c r="AD1240" s="26" t="s">
        <v>42</v>
      </c>
      <c r="AE1240" s="27">
        <v>2.5</v>
      </c>
      <c r="AF1240" s="36">
        <v>0.33333333333333331</v>
      </c>
      <c r="AG1240" s="31">
        <v>0</v>
      </c>
      <c r="AH1240" t="s">
        <v>44</v>
      </c>
    </row>
    <row r="1241" spans="1:34">
      <c r="A1241" s="15" t="s">
        <v>1311</v>
      </c>
      <c r="B1241" s="8" t="s">
        <v>1277</v>
      </c>
      <c r="C1241" s="41" t="s">
        <v>37</v>
      </c>
      <c r="D1241" s="1" t="s">
        <v>38</v>
      </c>
      <c r="E1241" s="26" t="s">
        <v>39</v>
      </c>
      <c r="F1241" s="27">
        <v>0.95238095238095233</v>
      </c>
      <c r="G1241" s="33">
        <v>0.33333333333333331</v>
      </c>
      <c r="H1241" s="41" t="s">
        <v>408</v>
      </c>
      <c r="I1241" s="1" t="s">
        <v>409</v>
      </c>
      <c r="J1241" s="26" t="s">
        <v>39</v>
      </c>
      <c r="K1241" s="27">
        <v>0.94339622641509424</v>
      </c>
      <c r="L1241" s="33">
        <v>0.33333333333333331</v>
      </c>
      <c r="M1241" s="41" t="s">
        <v>410</v>
      </c>
      <c r="N1241" s="1" t="s">
        <v>38</v>
      </c>
      <c r="O1241" s="26" t="s">
        <v>42</v>
      </c>
      <c r="P1241" s="27">
        <v>3.2258064516129035</v>
      </c>
      <c r="Q1241" s="33">
        <v>0.33333333333333331</v>
      </c>
      <c r="R1241" s="55" t="s">
        <v>37</v>
      </c>
      <c r="S1241" s="26" t="s">
        <v>38</v>
      </c>
      <c r="T1241" s="26" t="s">
        <v>39</v>
      </c>
      <c r="U1241" s="27">
        <v>0.95238095238095233</v>
      </c>
      <c r="V1241" s="33">
        <v>0.33333333333333331</v>
      </c>
      <c r="W1241" s="26" t="s">
        <v>408</v>
      </c>
      <c r="X1241" s="26" t="s">
        <v>409</v>
      </c>
      <c r="Y1241" s="26" t="s">
        <v>39</v>
      </c>
      <c r="Z1241" s="27">
        <v>0.94339622641509424</v>
      </c>
      <c r="AA1241" s="33">
        <v>0.33333333333333331</v>
      </c>
      <c r="AB1241" s="26" t="s">
        <v>411</v>
      </c>
      <c r="AC1241" s="26" t="s">
        <v>38</v>
      </c>
      <c r="AD1241" s="26" t="s">
        <v>42</v>
      </c>
      <c r="AE1241" s="27">
        <v>2.5</v>
      </c>
      <c r="AF1241" s="36">
        <v>0.33333333333333331</v>
      </c>
      <c r="AG1241" s="31">
        <v>0</v>
      </c>
      <c r="AH1241" t="s">
        <v>44</v>
      </c>
    </row>
    <row r="1242" spans="1:34">
      <c r="A1242" s="15" t="s">
        <v>1312</v>
      </c>
      <c r="B1242" s="8" t="s">
        <v>1277</v>
      </c>
      <c r="C1242" s="41" t="s">
        <v>37</v>
      </c>
      <c r="D1242" s="1" t="s">
        <v>38</v>
      </c>
      <c r="E1242" s="26" t="s">
        <v>39</v>
      </c>
      <c r="F1242" s="27">
        <v>0.95238095238095233</v>
      </c>
      <c r="G1242" s="33">
        <v>0.33333333333333331</v>
      </c>
      <c r="H1242" s="41" t="s">
        <v>408</v>
      </c>
      <c r="I1242" s="1" t="s">
        <v>409</v>
      </c>
      <c r="J1242" s="26" t="s">
        <v>39</v>
      </c>
      <c r="K1242" s="27">
        <v>0.94339622641509424</v>
      </c>
      <c r="L1242" s="33">
        <v>0.33333333333333331</v>
      </c>
      <c r="M1242" s="41" t="s">
        <v>410</v>
      </c>
      <c r="N1242" s="1" t="s">
        <v>38</v>
      </c>
      <c r="O1242" s="26" t="s">
        <v>42</v>
      </c>
      <c r="P1242" s="27">
        <v>3.2258064516129035</v>
      </c>
      <c r="Q1242" s="33">
        <v>0.33333333333333331</v>
      </c>
      <c r="R1242" s="55" t="s">
        <v>37</v>
      </c>
      <c r="S1242" s="26" t="s">
        <v>38</v>
      </c>
      <c r="T1242" s="26" t="s">
        <v>39</v>
      </c>
      <c r="U1242" s="27">
        <v>0.95238095238095233</v>
      </c>
      <c r="V1242" s="33">
        <v>0.33333333333333331</v>
      </c>
      <c r="W1242" s="26" t="s">
        <v>408</v>
      </c>
      <c r="X1242" s="26" t="s">
        <v>409</v>
      </c>
      <c r="Y1242" s="26" t="s">
        <v>39</v>
      </c>
      <c r="Z1242" s="27">
        <v>0.94339622641509424</v>
      </c>
      <c r="AA1242" s="33">
        <v>0.33333333333333331</v>
      </c>
      <c r="AB1242" s="26" t="s">
        <v>411</v>
      </c>
      <c r="AC1242" s="26" t="s">
        <v>38</v>
      </c>
      <c r="AD1242" s="26" t="s">
        <v>42</v>
      </c>
      <c r="AE1242" s="27">
        <v>2.5</v>
      </c>
      <c r="AF1242" s="36">
        <v>0.33333333333333331</v>
      </c>
      <c r="AG1242" s="31">
        <v>0</v>
      </c>
      <c r="AH1242" t="s">
        <v>44</v>
      </c>
    </row>
    <row r="1243" spans="1:34">
      <c r="A1243" s="15" t="s">
        <v>1313</v>
      </c>
      <c r="B1243" s="8" t="s">
        <v>1277</v>
      </c>
      <c r="C1243" s="41" t="s">
        <v>37</v>
      </c>
      <c r="D1243" s="1" t="s">
        <v>38</v>
      </c>
      <c r="E1243" s="26" t="s">
        <v>39</v>
      </c>
      <c r="F1243" s="27">
        <v>0.95238095238095233</v>
      </c>
      <c r="G1243" s="33">
        <v>0.33333333333333331</v>
      </c>
      <c r="H1243" s="41" t="s">
        <v>408</v>
      </c>
      <c r="I1243" s="1" t="s">
        <v>409</v>
      </c>
      <c r="J1243" s="26" t="s">
        <v>39</v>
      </c>
      <c r="K1243" s="27">
        <v>0.94339622641509424</v>
      </c>
      <c r="L1243" s="33">
        <v>0.33333333333333331</v>
      </c>
      <c r="M1243" s="41" t="s">
        <v>410</v>
      </c>
      <c r="N1243" s="1" t="s">
        <v>38</v>
      </c>
      <c r="O1243" s="26" t="s">
        <v>42</v>
      </c>
      <c r="P1243" s="27">
        <v>3.2258064516129035</v>
      </c>
      <c r="Q1243" s="33">
        <v>0.33333333333333331</v>
      </c>
      <c r="R1243" s="55" t="s">
        <v>37</v>
      </c>
      <c r="S1243" s="26" t="s">
        <v>38</v>
      </c>
      <c r="T1243" s="26" t="s">
        <v>39</v>
      </c>
      <c r="U1243" s="27">
        <v>0.95238095238095233</v>
      </c>
      <c r="V1243" s="33">
        <v>0.33333333333333331</v>
      </c>
      <c r="W1243" s="26" t="s">
        <v>408</v>
      </c>
      <c r="X1243" s="26" t="s">
        <v>409</v>
      </c>
      <c r="Y1243" s="26" t="s">
        <v>39</v>
      </c>
      <c r="Z1243" s="27">
        <v>0.94339622641509424</v>
      </c>
      <c r="AA1243" s="33">
        <v>0.33333333333333331</v>
      </c>
      <c r="AB1243" s="26" t="s">
        <v>411</v>
      </c>
      <c r="AC1243" s="26" t="s">
        <v>38</v>
      </c>
      <c r="AD1243" s="26" t="s">
        <v>42</v>
      </c>
      <c r="AE1243" s="27">
        <v>2.5</v>
      </c>
      <c r="AF1243" s="36">
        <v>0.33333333333333331</v>
      </c>
      <c r="AG1243" s="31">
        <v>0</v>
      </c>
      <c r="AH1243" t="s">
        <v>44</v>
      </c>
    </row>
    <row r="1244" spans="1:34">
      <c r="A1244" s="15" t="s">
        <v>1314</v>
      </c>
      <c r="B1244" s="8" t="s">
        <v>1277</v>
      </c>
      <c r="C1244" s="41" t="s">
        <v>37</v>
      </c>
      <c r="D1244" s="1" t="s">
        <v>38</v>
      </c>
      <c r="E1244" s="26" t="s">
        <v>39</v>
      </c>
      <c r="F1244" s="27">
        <v>0.95238095238095233</v>
      </c>
      <c r="G1244" s="33">
        <v>0.33333333333333331</v>
      </c>
      <c r="H1244" s="41" t="s">
        <v>408</v>
      </c>
      <c r="I1244" s="1" t="s">
        <v>409</v>
      </c>
      <c r="J1244" s="26" t="s">
        <v>39</v>
      </c>
      <c r="K1244" s="27">
        <v>0.94339622641509424</v>
      </c>
      <c r="L1244" s="33">
        <v>0.33333333333333331</v>
      </c>
      <c r="M1244" s="41" t="s">
        <v>410</v>
      </c>
      <c r="N1244" s="1" t="s">
        <v>38</v>
      </c>
      <c r="O1244" s="26" t="s">
        <v>42</v>
      </c>
      <c r="P1244" s="27">
        <v>3.2258064516129035</v>
      </c>
      <c r="Q1244" s="33">
        <v>0.33333333333333331</v>
      </c>
      <c r="R1244" s="55" t="s">
        <v>37</v>
      </c>
      <c r="S1244" s="26" t="s">
        <v>38</v>
      </c>
      <c r="T1244" s="26" t="s">
        <v>39</v>
      </c>
      <c r="U1244" s="27">
        <v>0.95238095238095233</v>
      </c>
      <c r="V1244" s="33">
        <v>0.33333333333333331</v>
      </c>
      <c r="W1244" s="26" t="s">
        <v>408</v>
      </c>
      <c r="X1244" s="26" t="s">
        <v>409</v>
      </c>
      <c r="Y1244" s="26" t="s">
        <v>39</v>
      </c>
      <c r="Z1244" s="27">
        <v>0.94339622641509424</v>
      </c>
      <c r="AA1244" s="33">
        <v>0.33333333333333331</v>
      </c>
      <c r="AB1244" s="26" t="s">
        <v>411</v>
      </c>
      <c r="AC1244" s="26" t="s">
        <v>38</v>
      </c>
      <c r="AD1244" s="26" t="s">
        <v>42</v>
      </c>
      <c r="AE1244" s="27">
        <v>2.5</v>
      </c>
      <c r="AF1244" s="36">
        <v>0.33333333333333331</v>
      </c>
      <c r="AG1244" s="31">
        <v>0</v>
      </c>
      <c r="AH1244" t="s">
        <v>44</v>
      </c>
    </row>
    <row r="1245" spans="1:34">
      <c r="A1245" s="15" t="s">
        <v>1315</v>
      </c>
      <c r="B1245" s="8" t="s">
        <v>1277</v>
      </c>
      <c r="C1245" s="41" t="s">
        <v>37</v>
      </c>
      <c r="D1245" s="1" t="s">
        <v>38</v>
      </c>
      <c r="E1245" s="26" t="s">
        <v>39</v>
      </c>
      <c r="F1245" s="27">
        <v>0.95238095238095233</v>
      </c>
      <c r="G1245" s="33">
        <v>0.33333333333333331</v>
      </c>
      <c r="H1245" s="41" t="s">
        <v>408</v>
      </c>
      <c r="I1245" s="1" t="s">
        <v>409</v>
      </c>
      <c r="J1245" s="26" t="s">
        <v>39</v>
      </c>
      <c r="K1245" s="27">
        <v>0.94339622641509424</v>
      </c>
      <c r="L1245" s="33">
        <v>0.33333333333333331</v>
      </c>
      <c r="M1245" s="41" t="s">
        <v>410</v>
      </c>
      <c r="N1245" s="1" t="s">
        <v>38</v>
      </c>
      <c r="O1245" s="26" t="s">
        <v>42</v>
      </c>
      <c r="P1245" s="27">
        <v>3.2258064516129035</v>
      </c>
      <c r="Q1245" s="33">
        <v>0.33333333333333331</v>
      </c>
      <c r="R1245" s="55" t="s">
        <v>37</v>
      </c>
      <c r="S1245" s="26" t="s">
        <v>38</v>
      </c>
      <c r="T1245" s="26" t="s">
        <v>39</v>
      </c>
      <c r="U1245" s="27">
        <v>0.95238095238095233</v>
      </c>
      <c r="V1245" s="33">
        <v>0.33333333333333331</v>
      </c>
      <c r="W1245" s="26" t="s">
        <v>408</v>
      </c>
      <c r="X1245" s="26" t="s">
        <v>409</v>
      </c>
      <c r="Y1245" s="26" t="s">
        <v>39</v>
      </c>
      <c r="Z1245" s="27">
        <v>0.94339622641509424</v>
      </c>
      <c r="AA1245" s="33">
        <v>0.33333333333333331</v>
      </c>
      <c r="AB1245" s="26" t="s">
        <v>411</v>
      </c>
      <c r="AC1245" s="26" t="s">
        <v>38</v>
      </c>
      <c r="AD1245" s="26" t="s">
        <v>42</v>
      </c>
      <c r="AE1245" s="27">
        <v>2.5</v>
      </c>
      <c r="AF1245" s="36">
        <v>0.33333333333333331</v>
      </c>
      <c r="AG1245" s="31">
        <v>0</v>
      </c>
      <c r="AH1245" t="s">
        <v>44</v>
      </c>
    </row>
    <row r="1246" spans="1:34">
      <c r="A1246" s="15" t="s">
        <v>1316</v>
      </c>
      <c r="B1246" s="8" t="s">
        <v>1277</v>
      </c>
      <c r="C1246" s="41" t="s">
        <v>37</v>
      </c>
      <c r="D1246" s="1" t="s">
        <v>38</v>
      </c>
      <c r="E1246" s="26" t="s">
        <v>39</v>
      </c>
      <c r="F1246" s="27">
        <v>0.95238095238095233</v>
      </c>
      <c r="G1246" s="33">
        <v>0.33333333333333331</v>
      </c>
      <c r="H1246" s="41" t="s">
        <v>408</v>
      </c>
      <c r="I1246" s="1" t="s">
        <v>409</v>
      </c>
      <c r="J1246" s="26" t="s">
        <v>39</v>
      </c>
      <c r="K1246" s="27">
        <v>0.94339622641509424</v>
      </c>
      <c r="L1246" s="33">
        <v>0.33333333333333331</v>
      </c>
      <c r="M1246" s="41" t="s">
        <v>410</v>
      </c>
      <c r="N1246" s="1" t="s">
        <v>38</v>
      </c>
      <c r="O1246" s="26" t="s">
        <v>42</v>
      </c>
      <c r="P1246" s="27">
        <v>3.2258064516129035</v>
      </c>
      <c r="Q1246" s="33">
        <v>0.33333333333333331</v>
      </c>
      <c r="R1246" s="55" t="s">
        <v>37</v>
      </c>
      <c r="S1246" s="26" t="s">
        <v>38</v>
      </c>
      <c r="T1246" s="26" t="s">
        <v>39</v>
      </c>
      <c r="U1246" s="27">
        <v>0.95238095238095233</v>
      </c>
      <c r="V1246" s="33">
        <v>0.33333333333333331</v>
      </c>
      <c r="W1246" s="26" t="s">
        <v>408</v>
      </c>
      <c r="X1246" s="26" t="s">
        <v>409</v>
      </c>
      <c r="Y1246" s="26" t="s">
        <v>39</v>
      </c>
      <c r="Z1246" s="27">
        <v>0.94339622641509424</v>
      </c>
      <c r="AA1246" s="33">
        <v>0.33333333333333331</v>
      </c>
      <c r="AB1246" s="26" t="s">
        <v>411</v>
      </c>
      <c r="AC1246" s="26" t="s">
        <v>38</v>
      </c>
      <c r="AD1246" s="26" t="s">
        <v>42</v>
      </c>
      <c r="AE1246" s="27">
        <v>2.5</v>
      </c>
      <c r="AF1246" s="36">
        <v>0.33333333333333331</v>
      </c>
      <c r="AG1246" s="31">
        <v>0</v>
      </c>
      <c r="AH1246" t="s">
        <v>44</v>
      </c>
    </row>
    <row r="1247" spans="1:34">
      <c r="A1247" s="15" t="s">
        <v>1317</v>
      </c>
      <c r="B1247" s="8" t="s">
        <v>1277</v>
      </c>
      <c r="C1247" s="41" t="s">
        <v>37</v>
      </c>
      <c r="D1247" s="1" t="s">
        <v>38</v>
      </c>
      <c r="E1247" s="26" t="s">
        <v>39</v>
      </c>
      <c r="F1247" s="27">
        <v>0.95238095238095233</v>
      </c>
      <c r="G1247" s="33">
        <v>0.33333333333333331</v>
      </c>
      <c r="H1247" s="41" t="s">
        <v>408</v>
      </c>
      <c r="I1247" s="1" t="s">
        <v>409</v>
      </c>
      <c r="J1247" s="26" t="s">
        <v>39</v>
      </c>
      <c r="K1247" s="27">
        <v>0.94339622641509424</v>
      </c>
      <c r="L1247" s="33">
        <v>0.33333333333333331</v>
      </c>
      <c r="M1247" s="41" t="s">
        <v>410</v>
      </c>
      <c r="N1247" s="1" t="s">
        <v>38</v>
      </c>
      <c r="O1247" s="26" t="s">
        <v>42</v>
      </c>
      <c r="P1247" s="27">
        <v>3.2258064516129035</v>
      </c>
      <c r="Q1247" s="33">
        <v>0.33333333333333331</v>
      </c>
      <c r="R1247" s="55" t="s">
        <v>37</v>
      </c>
      <c r="S1247" s="26" t="s">
        <v>38</v>
      </c>
      <c r="T1247" s="26" t="s">
        <v>39</v>
      </c>
      <c r="U1247" s="27">
        <v>0.95238095238095233</v>
      </c>
      <c r="V1247" s="33">
        <v>0.33333333333333331</v>
      </c>
      <c r="W1247" s="26" t="s">
        <v>408</v>
      </c>
      <c r="X1247" s="26" t="s">
        <v>409</v>
      </c>
      <c r="Y1247" s="26" t="s">
        <v>39</v>
      </c>
      <c r="Z1247" s="27">
        <v>0.94339622641509424</v>
      </c>
      <c r="AA1247" s="33">
        <v>0.33333333333333331</v>
      </c>
      <c r="AB1247" s="26" t="s">
        <v>411</v>
      </c>
      <c r="AC1247" s="26" t="s">
        <v>38</v>
      </c>
      <c r="AD1247" s="26" t="s">
        <v>42</v>
      </c>
      <c r="AE1247" s="27">
        <v>2.5</v>
      </c>
      <c r="AF1247" s="36">
        <v>0.33333333333333331</v>
      </c>
      <c r="AG1247" s="31">
        <v>0</v>
      </c>
      <c r="AH1247" t="s">
        <v>44</v>
      </c>
    </row>
    <row r="1248" spans="1:34">
      <c r="A1248" s="15" t="s">
        <v>1318</v>
      </c>
      <c r="B1248" s="8" t="s">
        <v>1277</v>
      </c>
      <c r="C1248" s="41" t="s">
        <v>37</v>
      </c>
      <c r="D1248" s="1" t="s">
        <v>38</v>
      </c>
      <c r="E1248" s="26" t="s">
        <v>39</v>
      </c>
      <c r="F1248" s="27">
        <v>0.95238095238095233</v>
      </c>
      <c r="G1248" s="33">
        <v>0.33333333333333331</v>
      </c>
      <c r="H1248" s="41" t="s">
        <v>408</v>
      </c>
      <c r="I1248" s="1" t="s">
        <v>409</v>
      </c>
      <c r="J1248" s="26" t="s">
        <v>39</v>
      </c>
      <c r="K1248" s="27">
        <v>0.94339622641509424</v>
      </c>
      <c r="L1248" s="33">
        <v>0.33333333333333331</v>
      </c>
      <c r="M1248" s="41" t="s">
        <v>410</v>
      </c>
      <c r="N1248" s="1" t="s">
        <v>38</v>
      </c>
      <c r="O1248" s="26" t="s">
        <v>42</v>
      </c>
      <c r="P1248" s="27">
        <v>3.2258064516129035</v>
      </c>
      <c r="Q1248" s="33">
        <v>0.33333333333333331</v>
      </c>
      <c r="R1248" s="55" t="s">
        <v>37</v>
      </c>
      <c r="S1248" s="26" t="s">
        <v>38</v>
      </c>
      <c r="T1248" s="26" t="s">
        <v>39</v>
      </c>
      <c r="U1248" s="27">
        <v>0.95238095238095233</v>
      </c>
      <c r="V1248" s="33">
        <v>0.33333333333333331</v>
      </c>
      <c r="W1248" s="26" t="s">
        <v>408</v>
      </c>
      <c r="X1248" s="26" t="s">
        <v>409</v>
      </c>
      <c r="Y1248" s="26" t="s">
        <v>39</v>
      </c>
      <c r="Z1248" s="27">
        <v>0.94339622641509424</v>
      </c>
      <c r="AA1248" s="33">
        <v>0.33333333333333331</v>
      </c>
      <c r="AB1248" s="26" t="s">
        <v>411</v>
      </c>
      <c r="AC1248" s="26" t="s">
        <v>38</v>
      </c>
      <c r="AD1248" s="26" t="s">
        <v>42</v>
      </c>
      <c r="AE1248" s="27">
        <v>2.5</v>
      </c>
      <c r="AF1248" s="36">
        <v>0.33333333333333331</v>
      </c>
      <c r="AG1248" s="31">
        <v>0</v>
      </c>
      <c r="AH1248" t="s">
        <v>44</v>
      </c>
    </row>
    <row r="1249" spans="1:34">
      <c r="A1249" s="15" t="s">
        <v>1319</v>
      </c>
      <c r="B1249" s="8" t="s">
        <v>1277</v>
      </c>
      <c r="C1249" s="41" t="s">
        <v>37</v>
      </c>
      <c r="D1249" s="1" t="s">
        <v>38</v>
      </c>
      <c r="E1249" s="26" t="s">
        <v>39</v>
      </c>
      <c r="F1249" s="27">
        <v>0.95238095238095233</v>
      </c>
      <c r="G1249" s="33">
        <v>0.33333333333333331</v>
      </c>
      <c r="H1249" s="41" t="s">
        <v>408</v>
      </c>
      <c r="I1249" s="1" t="s">
        <v>409</v>
      </c>
      <c r="J1249" s="26" t="s">
        <v>39</v>
      </c>
      <c r="K1249" s="27">
        <v>0.94339622641509424</v>
      </c>
      <c r="L1249" s="33">
        <v>0.33333333333333331</v>
      </c>
      <c r="M1249" s="41" t="s">
        <v>410</v>
      </c>
      <c r="N1249" s="1" t="s">
        <v>38</v>
      </c>
      <c r="O1249" s="26" t="s">
        <v>42</v>
      </c>
      <c r="P1249" s="27">
        <v>3.2258064516129035</v>
      </c>
      <c r="Q1249" s="33">
        <v>0.33333333333333331</v>
      </c>
      <c r="R1249" s="55" t="s">
        <v>37</v>
      </c>
      <c r="S1249" s="26" t="s">
        <v>38</v>
      </c>
      <c r="T1249" s="26" t="s">
        <v>39</v>
      </c>
      <c r="U1249" s="27">
        <v>0.95238095238095233</v>
      </c>
      <c r="V1249" s="33">
        <v>0.33333333333333331</v>
      </c>
      <c r="W1249" s="26" t="s">
        <v>408</v>
      </c>
      <c r="X1249" s="26" t="s">
        <v>409</v>
      </c>
      <c r="Y1249" s="26" t="s">
        <v>39</v>
      </c>
      <c r="Z1249" s="27">
        <v>0.94339622641509424</v>
      </c>
      <c r="AA1249" s="33">
        <v>0.33333333333333331</v>
      </c>
      <c r="AB1249" s="26" t="s">
        <v>411</v>
      </c>
      <c r="AC1249" s="26" t="s">
        <v>38</v>
      </c>
      <c r="AD1249" s="26" t="s">
        <v>42</v>
      </c>
      <c r="AE1249" s="27">
        <v>2.5</v>
      </c>
      <c r="AF1249" s="36">
        <v>0.33333333333333331</v>
      </c>
      <c r="AG1249" s="31">
        <v>1</v>
      </c>
      <c r="AH1249" s="1" t="s">
        <v>73</v>
      </c>
    </row>
    <row r="1250" spans="1:34">
      <c r="A1250" s="15" t="s">
        <v>1320</v>
      </c>
      <c r="B1250" s="8" t="s">
        <v>1277</v>
      </c>
      <c r="C1250" s="41" t="s">
        <v>37</v>
      </c>
      <c r="D1250" s="1" t="s">
        <v>38</v>
      </c>
      <c r="E1250" s="26" t="s">
        <v>39</v>
      </c>
      <c r="F1250" s="27">
        <v>0.95238095238095233</v>
      </c>
      <c r="G1250" s="33">
        <v>0.33333333333333331</v>
      </c>
      <c r="H1250" s="41" t="s">
        <v>408</v>
      </c>
      <c r="I1250" s="1" t="s">
        <v>409</v>
      </c>
      <c r="J1250" s="26" t="s">
        <v>39</v>
      </c>
      <c r="K1250" s="27">
        <v>0.94339622641509424</v>
      </c>
      <c r="L1250" s="33">
        <v>0.33333333333333331</v>
      </c>
      <c r="M1250" s="41" t="s">
        <v>410</v>
      </c>
      <c r="N1250" s="1" t="s">
        <v>38</v>
      </c>
      <c r="O1250" s="26" t="s">
        <v>42</v>
      </c>
      <c r="P1250" s="27">
        <v>3.2258064516129035</v>
      </c>
      <c r="Q1250" s="33">
        <v>0.33333333333333331</v>
      </c>
      <c r="R1250" s="55" t="s">
        <v>37</v>
      </c>
      <c r="S1250" s="26" t="s">
        <v>38</v>
      </c>
      <c r="T1250" s="26" t="s">
        <v>39</v>
      </c>
      <c r="U1250" s="27">
        <v>0.95238095238095233</v>
      </c>
      <c r="V1250" s="33">
        <v>0.33333333333333331</v>
      </c>
      <c r="W1250" s="26" t="s">
        <v>408</v>
      </c>
      <c r="X1250" s="26" t="s">
        <v>409</v>
      </c>
      <c r="Y1250" s="26" t="s">
        <v>39</v>
      </c>
      <c r="Z1250" s="27">
        <v>0.94339622641509424</v>
      </c>
      <c r="AA1250" s="33">
        <v>0.33333333333333331</v>
      </c>
      <c r="AB1250" s="26" t="s">
        <v>411</v>
      </c>
      <c r="AC1250" s="26" t="s">
        <v>38</v>
      </c>
      <c r="AD1250" s="26" t="s">
        <v>42</v>
      </c>
      <c r="AE1250" s="27">
        <v>2.5</v>
      </c>
      <c r="AF1250" s="36">
        <v>0.33333333333333331</v>
      </c>
      <c r="AG1250" s="31">
        <v>1</v>
      </c>
      <c r="AH1250" s="1" t="s">
        <v>73</v>
      </c>
    </row>
    <row r="1251" spans="1:34">
      <c r="A1251" s="15" t="s">
        <v>1321</v>
      </c>
      <c r="B1251" s="8" t="s">
        <v>1277</v>
      </c>
      <c r="C1251" s="41" t="s">
        <v>37</v>
      </c>
      <c r="D1251" s="1" t="s">
        <v>38</v>
      </c>
      <c r="E1251" s="26" t="s">
        <v>39</v>
      </c>
      <c r="F1251" s="27">
        <v>0.95238095238095233</v>
      </c>
      <c r="G1251" s="33">
        <v>0.33333333333333331</v>
      </c>
      <c r="H1251" s="41" t="s">
        <v>408</v>
      </c>
      <c r="I1251" s="1" t="s">
        <v>409</v>
      </c>
      <c r="J1251" s="26" t="s">
        <v>39</v>
      </c>
      <c r="K1251" s="27">
        <v>0.94339622641509424</v>
      </c>
      <c r="L1251" s="33">
        <v>0.33333333333333331</v>
      </c>
      <c r="M1251" s="41" t="s">
        <v>410</v>
      </c>
      <c r="N1251" s="1" t="s">
        <v>38</v>
      </c>
      <c r="O1251" s="26" t="s">
        <v>42</v>
      </c>
      <c r="P1251" s="27">
        <v>3.2258064516129035</v>
      </c>
      <c r="Q1251" s="33">
        <v>0.33333333333333331</v>
      </c>
      <c r="R1251" s="55" t="s">
        <v>37</v>
      </c>
      <c r="S1251" s="26" t="s">
        <v>38</v>
      </c>
      <c r="T1251" s="26" t="s">
        <v>39</v>
      </c>
      <c r="U1251" s="27">
        <v>0.95238095238095233</v>
      </c>
      <c r="V1251" s="33">
        <v>0.33333333333333331</v>
      </c>
      <c r="W1251" s="26" t="s">
        <v>408</v>
      </c>
      <c r="X1251" s="26" t="s">
        <v>409</v>
      </c>
      <c r="Y1251" s="26" t="s">
        <v>39</v>
      </c>
      <c r="Z1251" s="27">
        <v>0.94339622641509424</v>
      </c>
      <c r="AA1251" s="33">
        <v>0.33333333333333331</v>
      </c>
      <c r="AB1251" s="26" t="s">
        <v>411</v>
      </c>
      <c r="AC1251" s="26" t="s">
        <v>38</v>
      </c>
      <c r="AD1251" s="26" t="s">
        <v>42</v>
      </c>
      <c r="AE1251" s="27">
        <v>2.5</v>
      </c>
      <c r="AF1251" s="36">
        <v>0.33333333333333331</v>
      </c>
      <c r="AG1251" s="31">
        <v>1</v>
      </c>
      <c r="AH1251" s="1" t="s">
        <v>73</v>
      </c>
    </row>
    <row r="1252" spans="1:34">
      <c r="A1252" s="15" t="s">
        <v>1322</v>
      </c>
      <c r="B1252" s="8" t="s">
        <v>1277</v>
      </c>
      <c r="C1252" s="41" t="s">
        <v>37</v>
      </c>
      <c r="D1252" s="1" t="s">
        <v>38</v>
      </c>
      <c r="E1252" s="26" t="s">
        <v>39</v>
      </c>
      <c r="F1252" s="27">
        <v>0.95238095238095233</v>
      </c>
      <c r="G1252" s="33">
        <v>0.33333333333333331</v>
      </c>
      <c r="H1252" s="41" t="s">
        <v>408</v>
      </c>
      <c r="I1252" s="1" t="s">
        <v>409</v>
      </c>
      <c r="J1252" s="26" t="s">
        <v>39</v>
      </c>
      <c r="K1252" s="27">
        <v>0.94339622641509424</v>
      </c>
      <c r="L1252" s="33">
        <v>0.33333333333333331</v>
      </c>
      <c r="M1252" s="41" t="s">
        <v>410</v>
      </c>
      <c r="N1252" s="1" t="s">
        <v>38</v>
      </c>
      <c r="O1252" s="26" t="s">
        <v>42</v>
      </c>
      <c r="P1252" s="27">
        <v>3.2258064516129035</v>
      </c>
      <c r="Q1252" s="33">
        <v>0.33333333333333331</v>
      </c>
      <c r="R1252" s="55" t="s">
        <v>37</v>
      </c>
      <c r="S1252" s="26" t="s">
        <v>38</v>
      </c>
      <c r="T1252" s="26" t="s">
        <v>39</v>
      </c>
      <c r="U1252" s="27">
        <v>0.95238095238095233</v>
      </c>
      <c r="V1252" s="33">
        <v>0.33333333333333331</v>
      </c>
      <c r="W1252" s="26" t="s">
        <v>408</v>
      </c>
      <c r="X1252" s="26" t="s">
        <v>409</v>
      </c>
      <c r="Y1252" s="26" t="s">
        <v>39</v>
      </c>
      <c r="Z1252" s="27">
        <v>0.94339622641509424</v>
      </c>
      <c r="AA1252" s="33">
        <v>0.33333333333333331</v>
      </c>
      <c r="AB1252" s="26" t="s">
        <v>411</v>
      </c>
      <c r="AC1252" s="26" t="s">
        <v>38</v>
      </c>
      <c r="AD1252" s="26" t="s">
        <v>42</v>
      </c>
      <c r="AE1252" s="27">
        <v>2.5</v>
      </c>
      <c r="AF1252" s="36">
        <v>0.33333333333333331</v>
      </c>
      <c r="AG1252" s="31">
        <v>1</v>
      </c>
      <c r="AH1252" s="1" t="s">
        <v>73</v>
      </c>
    </row>
    <row r="1253" spans="1:34">
      <c r="A1253" s="15" t="s">
        <v>1323</v>
      </c>
      <c r="B1253" s="8" t="s">
        <v>1277</v>
      </c>
      <c r="C1253" s="41" t="s">
        <v>37</v>
      </c>
      <c r="D1253" s="1" t="s">
        <v>38</v>
      </c>
      <c r="E1253" s="26" t="s">
        <v>39</v>
      </c>
      <c r="F1253" s="27">
        <v>0.95238095238095233</v>
      </c>
      <c r="G1253" s="33">
        <v>0.33333333333333331</v>
      </c>
      <c r="H1253" s="41" t="s">
        <v>408</v>
      </c>
      <c r="I1253" s="1" t="s">
        <v>409</v>
      </c>
      <c r="J1253" s="26" t="s">
        <v>39</v>
      </c>
      <c r="K1253" s="27">
        <v>0.94339622641509424</v>
      </c>
      <c r="L1253" s="33">
        <v>0.33333333333333331</v>
      </c>
      <c r="M1253" s="41" t="s">
        <v>410</v>
      </c>
      <c r="N1253" s="1" t="s">
        <v>38</v>
      </c>
      <c r="O1253" s="26" t="s">
        <v>42</v>
      </c>
      <c r="P1253" s="27">
        <v>3.2258064516129035</v>
      </c>
      <c r="Q1253" s="33">
        <v>0.33333333333333331</v>
      </c>
      <c r="R1253" s="55" t="s">
        <v>37</v>
      </c>
      <c r="S1253" s="26" t="s">
        <v>38</v>
      </c>
      <c r="T1253" s="26" t="s">
        <v>39</v>
      </c>
      <c r="U1253" s="27">
        <v>0.95238095238095233</v>
      </c>
      <c r="V1253" s="33">
        <v>0.33333333333333331</v>
      </c>
      <c r="W1253" s="26" t="s">
        <v>408</v>
      </c>
      <c r="X1253" s="26" t="s">
        <v>409</v>
      </c>
      <c r="Y1253" s="26" t="s">
        <v>39</v>
      </c>
      <c r="Z1253" s="27">
        <v>0.94339622641509424</v>
      </c>
      <c r="AA1253" s="33">
        <v>0.33333333333333331</v>
      </c>
      <c r="AB1253" s="26" t="s">
        <v>411</v>
      </c>
      <c r="AC1253" s="26" t="s">
        <v>38</v>
      </c>
      <c r="AD1253" s="26" t="s">
        <v>42</v>
      </c>
      <c r="AE1253" s="27">
        <v>2.5</v>
      </c>
      <c r="AF1253" s="36">
        <v>0.33333333333333331</v>
      </c>
      <c r="AG1253" s="31">
        <v>1</v>
      </c>
      <c r="AH1253" s="1" t="s">
        <v>73</v>
      </c>
    </row>
    <row r="1254" spans="1:34">
      <c r="A1254" s="15" t="s">
        <v>1324</v>
      </c>
      <c r="B1254" s="8" t="s">
        <v>1277</v>
      </c>
      <c r="C1254" s="41" t="s">
        <v>37</v>
      </c>
      <c r="D1254" s="1" t="s">
        <v>38</v>
      </c>
      <c r="E1254" s="26" t="s">
        <v>39</v>
      </c>
      <c r="F1254" s="27">
        <v>0.95238095238095233</v>
      </c>
      <c r="G1254" s="33">
        <v>0.33333333333333331</v>
      </c>
      <c r="H1254" s="41" t="s">
        <v>408</v>
      </c>
      <c r="I1254" s="1" t="s">
        <v>409</v>
      </c>
      <c r="J1254" s="26" t="s">
        <v>39</v>
      </c>
      <c r="K1254" s="27">
        <v>0.94339622641509424</v>
      </c>
      <c r="L1254" s="33">
        <v>0.33333333333333331</v>
      </c>
      <c r="M1254" s="41" t="s">
        <v>410</v>
      </c>
      <c r="N1254" s="1" t="s">
        <v>38</v>
      </c>
      <c r="O1254" s="26" t="s">
        <v>42</v>
      </c>
      <c r="P1254" s="27">
        <v>3.2258064516129035</v>
      </c>
      <c r="Q1254" s="33">
        <v>0.33333333333333331</v>
      </c>
      <c r="R1254" s="55" t="s">
        <v>37</v>
      </c>
      <c r="S1254" s="26" t="s">
        <v>38</v>
      </c>
      <c r="T1254" s="26" t="s">
        <v>39</v>
      </c>
      <c r="U1254" s="27">
        <v>0.95238095238095233</v>
      </c>
      <c r="V1254" s="33">
        <v>0.33333333333333331</v>
      </c>
      <c r="W1254" s="26" t="s">
        <v>408</v>
      </c>
      <c r="X1254" s="26" t="s">
        <v>409</v>
      </c>
      <c r="Y1254" s="26" t="s">
        <v>39</v>
      </c>
      <c r="Z1254" s="27">
        <v>0.94339622641509424</v>
      </c>
      <c r="AA1254" s="33">
        <v>0.33333333333333331</v>
      </c>
      <c r="AB1254" s="26" t="s">
        <v>411</v>
      </c>
      <c r="AC1254" s="26" t="s">
        <v>38</v>
      </c>
      <c r="AD1254" s="26" t="s">
        <v>42</v>
      </c>
      <c r="AE1254" s="27">
        <v>2.5</v>
      </c>
      <c r="AF1254" s="36">
        <v>0.33333333333333331</v>
      </c>
      <c r="AG1254" s="31">
        <v>1</v>
      </c>
      <c r="AH1254" s="1" t="s">
        <v>73</v>
      </c>
    </row>
    <row r="1255" spans="1:34">
      <c r="A1255" s="15" t="s">
        <v>1325</v>
      </c>
      <c r="B1255" s="8" t="s">
        <v>1277</v>
      </c>
      <c r="C1255" s="41" t="s">
        <v>37</v>
      </c>
      <c r="D1255" s="1" t="s">
        <v>38</v>
      </c>
      <c r="E1255" s="26" t="s">
        <v>39</v>
      </c>
      <c r="F1255" s="27">
        <v>0.95238095238095233</v>
      </c>
      <c r="G1255" s="33">
        <v>0.33333333333333331</v>
      </c>
      <c r="H1255" s="41" t="s">
        <v>408</v>
      </c>
      <c r="I1255" s="1" t="s">
        <v>409</v>
      </c>
      <c r="J1255" s="26" t="s">
        <v>39</v>
      </c>
      <c r="K1255" s="27">
        <v>0.94339622641509424</v>
      </c>
      <c r="L1255" s="33">
        <v>0.33333333333333331</v>
      </c>
      <c r="M1255" s="41" t="s">
        <v>410</v>
      </c>
      <c r="N1255" s="1" t="s">
        <v>38</v>
      </c>
      <c r="O1255" s="26" t="s">
        <v>42</v>
      </c>
      <c r="P1255" s="27">
        <v>3.2258064516129035</v>
      </c>
      <c r="Q1255" s="33">
        <v>0.33333333333333331</v>
      </c>
      <c r="R1255" s="55" t="s">
        <v>37</v>
      </c>
      <c r="S1255" s="26" t="s">
        <v>38</v>
      </c>
      <c r="T1255" s="26" t="s">
        <v>39</v>
      </c>
      <c r="U1255" s="27">
        <v>0.95238095238095233</v>
      </c>
      <c r="V1255" s="33">
        <v>0.33333333333333331</v>
      </c>
      <c r="W1255" s="26" t="s">
        <v>408</v>
      </c>
      <c r="X1255" s="26" t="s">
        <v>409</v>
      </c>
      <c r="Y1255" s="26" t="s">
        <v>39</v>
      </c>
      <c r="Z1255" s="27">
        <v>0.94339622641509424</v>
      </c>
      <c r="AA1255" s="33">
        <v>0.33333333333333331</v>
      </c>
      <c r="AB1255" s="26" t="s">
        <v>411</v>
      </c>
      <c r="AC1255" s="26" t="s">
        <v>38</v>
      </c>
      <c r="AD1255" s="26" t="s">
        <v>42</v>
      </c>
      <c r="AE1255" s="27">
        <v>2.5</v>
      </c>
      <c r="AF1255" s="36">
        <v>0.33333333333333331</v>
      </c>
      <c r="AG1255" s="31">
        <v>1</v>
      </c>
      <c r="AH1255" s="1" t="s">
        <v>73</v>
      </c>
    </row>
    <row r="1256" spans="1:34">
      <c r="A1256" s="15" t="s">
        <v>1326</v>
      </c>
      <c r="B1256" s="8" t="s">
        <v>1277</v>
      </c>
      <c r="C1256" s="41" t="s">
        <v>37</v>
      </c>
      <c r="D1256" s="1" t="s">
        <v>38</v>
      </c>
      <c r="E1256" s="26" t="s">
        <v>39</v>
      </c>
      <c r="F1256" s="27">
        <v>0.95238095238095233</v>
      </c>
      <c r="G1256" s="33">
        <v>0.33333333333333331</v>
      </c>
      <c r="H1256" s="41" t="s">
        <v>408</v>
      </c>
      <c r="I1256" s="1" t="s">
        <v>409</v>
      </c>
      <c r="J1256" s="26" t="s">
        <v>39</v>
      </c>
      <c r="K1256" s="27">
        <v>0.94339622641509424</v>
      </c>
      <c r="L1256" s="33">
        <v>0.33333333333333331</v>
      </c>
      <c r="M1256" s="41" t="s">
        <v>410</v>
      </c>
      <c r="N1256" s="1" t="s">
        <v>38</v>
      </c>
      <c r="O1256" s="26" t="s">
        <v>42</v>
      </c>
      <c r="P1256" s="27">
        <v>3.2258064516129035</v>
      </c>
      <c r="Q1256" s="33">
        <v>0.33333333333333331</v>
      </c>
      <c r="R1256" s="55" t="s">
        <v>37</v>
      </c>
      <c r="S1256" s="26" t="s">
        <v>38</v>
      </c>
      <c r="T1256" s="26" t="s">
        <v>39</v>
      </c>
      <c r="U1256" s="27">
        <v>0.95238095238095233</v>
      </c>
      <c r="V1256" s="33">
        <v>0.33333333333333331</v>
      </c>
      <c r="W1256" s="26" t="s">
        <v>408</v>
      </c>
      <c r="X1256" s="26" t="s">
        <v>409</v>
      </c>
      <c r="Y1256" s="26" t="s">
        <v>39</v>
      </c>
      <c r="Z1256" s="27">
        <v>0.94339622641509424</v>
      </c>
      <c r="AA1256" s="33">
        <v>0.33333333333333331</v>
      </c>
      <c r="AB1256" s="26" t="s">
        <v>411</v>
      </c>
      <c r="AC1256" s="26" t="s">
        <v>38</v>
      </c>
      <c r="AD1256" s="26" t="s">
        <v>42</v>
      </c>
      <c r="AE1256" s="27">
        <v>2.5</v>
      </c>
      <c r="AF1256" s="36">
        <v>0.33333333333333331</v>
      </c>
      <c r="AG1256" s="31">
        <v>1</v>
      </c>
      <c r="AH1256" s="1" t="s">
        <v>73</v>
      </c>
    </row>
    <row r="1257" spans="1:34">
      <c r="A1257" s="15" t="s">
        <v>1327</v>
      </c>
      <c r="B1257" s="8" t="s">
        <v>1277</v>
      </c>
      <c r="C1257" s="41" t="s">
        <v>37</v>
      </c>
      <c r="D1257" s="1" t="s">
        <v>38</v>
      </c>
      <c r="E1257" s="26" t="s">
        <v>39</v>
      </c>
      <c r="F1257" s="27">
        <v>0.95238095238095233</v>
      </c>
      <c r="G1257" s="33">
        <v>0.33333333333333331</v>
      </c>
      <c r="H1257" s="41" t="s">
        <v>408</v>
      </c>
      <c r="I1257" s="1" t="s">
        <v>409</v>
      </c>
      <c r="J1257" s="26" t="s">
        <v>39</v>
      </c>
      <c r="K1257" s="27">
        <v>0.94339622641509424</v>
      </c>
      <c r="L1257" s="33">
        <v>0.33333333333333331</v>
      </c>
      <c r="M1257" s="41" t="s">
        <v>410</v>
      </c>
      <c r="N1257" s="1" t="s">
        <v>38</v>
      </c>
      <c r="O1257" s="26" t="s">
        <v>42</v>
      </c>
      <c r="P1257" s="27">
        <v>3.2258064516129035</v>
      </c>
      <c r="Q1257" s="33">
        <v>0.33333333333333331</v>
      </c>
      <c r="R1257" s="55" t="s">
        <v>37</v>
      </c>
      <c r="S1257" s="26" t="s">
        <v>38</v>
      </c>
      <c r="T1257" s="26" t="s">
        <v>39</v>
      </c>
      <c r="U1257" s="27">
        <v>0.95238095238095233</v>
      </c>
      <c r="V1257" s="33">
        <v>0.33333333333333331</v>
      </c>
      <c r="W1257" s="26" t="s">
        <v>408</v>
      </c>
      <c r="X1257" s="26" t="s">
        <v>409</v>
      </c>
      <c r="Y1257" s="26" t="s">
        <v>39</v>
      </c>
      <c r="Z1257" s="27">
        <v>0.94339622641509424</v>
      </c>
      <c r="AA1257" s="33">
        <v>0.33333333333333331</v>
      </c>
      <c r="AB1257" s="26" t="s">
        <v>411</v>
      </c>
      <c r="AC1257" s="26" t="s">
        <v>38</v>
      </c>
      <c r="AD1257" s="26" t="s">
        <v>42</v>
      </c>
      <c r="AE1257" s="27">
        <v>2.5</v>
      </c>
      <c r="AF1257" s="36">
        <v>0.33333333333333331</v>
      </c>
      <c r="AG1257" s="31">
        <v>1</v>
      </c>
      <c r="AH1257" s="1" t="s">
        <v>73</v>
      </c>
    </row>
    <row r="1258" spans="1:34">
      <c r="A1258" s="15" t="s">
        <v>1328</v>
      </c>
      <c r="B1258" s="8" t="s">
        <v>1277</v>
      </c>
      <c r="C1258" s="41" t="s">
        <v>37</v>
      </c>
      <c r="D1258" s="1" t="s">
        <v>38</v>
      </c>
      <c r="E1258" s="26" t="s">
        <v>39</v>
      </c>
      <c r="F1258" s="27">
        <v>0.95238095238095233</v>
      </c>
      <c r="G1258" s="33">
        <v>0.33333333333333331</v>
      </c>
      <c r="H1258" s="41" t="s">
        <v>408</v>
      </c>
      <c r="I1258" s="1" t="s">
        <v>409</v>
      </c>
      <c r="J1258" s="26" t="s">
        <v>39</v>
      </c>
      <c r="K1258" s="27">
        <v>0.94339622641509424</v>
      </c>
      <c r="L1258" s="33">
        <v>0.33333333333333331</v>
      </c>
      <c r="M1258" s="41" t="s">
        <v>410</v>
      </c>
      <c r="N1258" s="1" t="s">
        <v>38</v>
      </c>
      <c r="O1258" s="26" t="s">
        <v>42</v>
      </c>
      <c r="P1258" s="27">
        <v>3.2258064516129035</v>
      </c>
      <c r="Q1258" s="33">
        <v>0.33333333333333331</v>
      </c>
      <c r="R1258" s="55" t="s">
        <v>37</v>
      </c>
      <c r="S1258" s="26" t="s">
        <v>38</v>
      </c>
      <c r="T1258" s="26" t="s">
        <v>39</v>
      </c>
      <c r="U1258" s="27">
        <v>0.95238095238095233</v>
      </c>
      <c r="V1258" s="33">
        <v>0.33333333333333331</v>
      </c>
      <c r="W1258" s="26" t="s">
        <v>408</v>
      </c>
      <c r="X1258" s="26" t="s">
        <v>409</v>
      </c>
      <c r="Y1258" s="26" t="s">
        <v>39</v>
      </c>
      <c r="Z1258" s="27">
        <v>0.94339622641509424</v>
      </c>
      <c r="AA1258" s="33">
        <v>0.33333333333333331</v>
      </c>
      <c r="AB1258" s="26" t="s">
        <v>411</v>
      </c>
      <c r="AC1258" s="26" t="s">
        <v>38</v>
      </c>
      <c r="AD1258" s="26" t="s">
        <v>42</v>
      </c>
      <c r="AE1258" s="27">
        <v>2.5</v>
      </c>
      <c r="AF1258" s="36">
        <v>0.33333333333333331</v>
      </c>
      <c r="AG1258" s="31">
        <v>1</v>
      </c>
      <c r="AH1258" s="1" t="s">
        <v>73</v>
      </c>
    </row>
    <row r="1259" spans="1:34">
      <c r="A1259" s="15" t="s">
        <v>1329</v>
      </c>
      <c r="B1259" s="8" t="s">
        <v>1277</v>
      </c>
      <c r="C1259" s="41" t="s">
        <v>37</v>
      </c>
      <c r="D1259" s="1" t="s">
        <v>38</v>
      </c>
      <c r="E1259" s="26" t="s">
        <v>39</v>
      </c>
      <c r="F1259" s="27">
        <v>0.95238095238095233</v>
      </c>
      <c r="G1259" s="33">
        <v>0.33333333333333331</v>
      </c>
      <c r="H1259" s="41" t="s">
        <v>408</v>
      </c>
      <c r="I1259" s="1" t="s">
        <v>409</v>
      </c>
      <c r="J1259" s="26" t="s">
        <v>39</v>
      </c>
      <c r="K1259" s="27">
        <v>0.94339622641509424</v>
      </c>
      <c r="L1259" s="33">
        <v>0.33333333333333331</v>
      </c>
      <c r="M1259" s="41" t="s">
        <v>410</v>
      </c>
      <c r="N1259" s="1" t="s">
        <v>38</v>
      </c>
      <c r="O1259" s="26" t="s">
        <v>42</v>
      </c>
      <c r="P1259" s="27">
        <v>3.2258064516129035</v>
      </c>
      <c r="Q1259" s="33">
        <v>0.33333333333333331</v>
      </c>
      <c r="R1259" s="55" t="s">
        <v>37</v>
      </c>
      <c r="S1259" s="26" t="s">
        <v>38</v>
      </c>
      <c r="T1259" s="26" t="s">
        <v>39</v>
      </c>
      <c r="U1259" s="27">
        <v>0.95238095238095233</v>
      </c>
      <c r="V1259" s="33">
        <v>0.33333333333333331</v>
      </c>
      <c r="W1259" s="26" t="s">
        <v>408</v>
      </c>
      <c r="X1259" s="26" t="s">
        <v>409</v>
      </c>
      <c r="Y1259" s="26" t="s">
        <v>39</v>
      </c>
      <c r="Z1259" s="27">
        <v>0.94339622641509424</v>
      </c>
      <c r="AA1259" s="33">
        <v>0.33333333333333331</v>
      </c>
      <c r="AB1259" s="26" t="s">
        <v>411</v>
      </c>
      <c r="AC1259" s="26" t="s">
        <v>38</v>
      </c>
      <c r="AD1259" s="26" t="s">
        <v>42</v>
      </c>
      <c r="AE1259" s="27">
        <v>2.5</v>
      </c>
      <c r="AF1259" s="36">
        <v>0.33333333333333331</v>
      </c>
      <c r="AG1259" s="31">
        <v>1</v>
      </c>
      <c r="AH1259" s="1" t="s">
        <v>73</v>
      </c>
    </row>
    <row r="1260" spans="1:34">
      <c r="A1260" s="15" t="s">
        <v>1330</v>
      </c>
      <c r="B1260" s="8" t="s">
        <v>1277</v>
      </c>
      <c r="C1260" s="41" t="s">
        <v>37</v>
      </c>
      <c r="D1260" s="1" t="s">
        <v>38</v>
      </c>
      <c r="E1260" s="26" t="s">
        <v>39</v>
      </c>
      <c r="F1260" s="27">
        <v>0.95238095238095233</v>
      </c>
      <c r="G1260" s="33">
        <v>0.33333333333333331</v>
      </c>
      <c r="H1260" s="41" t="s">
        <v>408</v>
      </c>
      <c r="I1260" s="1" t="s">
        <v>409</v>
      </c>
      <c r="J1260" s="26" t="s">
        <v>39</v>
      </c>
      <c r="K1260" s="27">
        <v>0.94339622641509424</v>
      </c>
      <c r="L1260" s="33">
        <v>0.33333333333333331</v>
      </c>
      <c r="M1260" s="41" t="s">
        <v>410</v>
      </c>
      <c r="N1260" s="1" t="s">
        <v>38</v>
      </c>
      <c r="O1260" s="26" t="s">
        <v>42</v>
      </c>
      <c r="P1260" s="27">
        <v>3.2258064516129035</v>
      </c>
      <c r="Q1260" s="33">
        <v>0.33333333333333331</v>
      </c>
      <c r="R1260" s="55" t="s">
        <v>37</v>
      </c>
      <c r="S1260" s="26" t="s">
        <v>38</v>
      </c>
      <c r="T1260" s="26" t="s">
        <v>39</v>
      </c>
      <c r="U1260" s="27">
        <v>0.95238095238095233</v>
      </c>
      <c r="V1260" s="33">
        <v>0.33333333333333331</v>
      </c>
      <c r="W1260" s="26" t="s">
        <v>408</v>
      </c>
      <c r="X1260" s="26" t="s">
        <v>409</v>
      </c>
      <c r="Y1260" s="26" t="s">
        <v>39</v>
      </c>
      <c r="Z1260" s="27">
        <v>0.94339622641509424</v>
      </c>
      <c r="AA1260" s="33">
        <v>0.33333333333333331</v>
      </c>
      <c r="AB1260" s="26" t="s">
        <v>411</v>
      </c>
      <c r="AC1260" s="26" t="s">
        <v>38</v>
      </c>
      <c r="AD1260" s="26" t="s">
        <v>42</v>
      </c>
      <c r="AE1260" s="27">
        <v>2.5</v>
      </c>
      <c r="AF1260" s="36">
        <v>0.33333333333333331</v>
      </c>
      <c r="AG1260" s="31">
        <v>1</v>
      </c>
      <c r="AH1260" s="1" t="s">
        <v>73</v>
      </c>
    </row>
    <row r="1261" spans="1:34">
      <c r="A1261" s="15" t="s">
        <v>1331</v>
      </c>
      <c r="B1261" s="8" t="s">
        <v>1277</v>
      </c>
      <c r="C1261" s="41" t="s">
        <v>37</v>
      </c>
      <c r="D1261" s="1" t="s">
        <v>38</v>
      </c>
      <c r="E1261" s="26" t="s">
        <v>39</v>
      </c>
      <c r="F1261" s="27">
        <v>0.95238095238095233</v>
      </c>
      <c r="G1261" s="33">
        <v>0.33333333333333331</v>
      </c>
      <c r="H1261" s="41" t="s">
        <v>408</v>
      </c>
      <c r="I1261" s="1" t="s">
        <v>409</v>
      </c>
      <c r="J1261" s="26" t="s">
        <v>39</v>
      </c>
      <c r="K1261" s="27">
        <v>0.94339622641509424</v>
      </c>
      <c r="L1261" s="33">
        <v>0.33333333333333331</v>
      </c>
      <c r="M1261" s="41" t="s">
        <v>410</v>
      </c>
      <c r="N1261" s="1" t="s">
        <v>38</v>
      </c>
      <c r="O1261" s="26" t="s">
        <v>42</v>
      </c>
      <c r="P1261" s="27">
        <v>3.2258064516129035</v>
      </c>
      <c r="Q1261" s="33">
        <v>0.33333333333333331</v>
      </c>
      <c r="R1261" s="55" t="s">
        <v>37</v>
      </c>
      <c r="S1261" s="26" t="s">
        <v>38</v>
      </c>
      <c r="T1261" s="26" t="s">
        <v>39</v>
      </c>
      <c r="U1261" s="27">
        <v>0.95238095238095233</v>
      </c>
      <c r="V1261" s="33">
        <v>0.33333333333333331</v>
      </c>
      <c r="W1261" s="26" t="s">
        <v>408</v>
      </c>
      <c r="X1261" s="26" t="s">
        <v>409</v>
      </c>
      <c r="Y1261" s="26" t="s">
        <v>39</v>
      </c>
      <c r="Z1261" s="27">
        <v>0.94339622641509424</v>
      </c>
      <c r="AA1261" s="33">
        <v>0.33333333333333331</v>
      </c>
      <c r="AB1261" s="26" t="s">
        <v>411</v>
      </c>
      <c r="AC1261" s="26" t="s">
        <v>38</v>
      </c>
      <c r="AD1261" s="26" t="s">
        <v>42</v>
      </c>
      <c r="AE1261" s="27">
        <v>2.5</v>
      </c>
      <c r="AF1261" s="36">
        <v>0.33333333333333331</v>
      </c>
      <c r="AG1261" s="31">
        <v>1</v>
      </c>
      <c r="AH1261" s="1" t="s">
        <v>73</v>
      </c>
    </row>
    <row r="1262" spans="1:34">
      <c r="A1262" s="15" t="s">
        <v>1332</v>
      </c>
      <c r="B1262" s="8" t="s">
        <v>1277</v>
      </c>
      <c r="C1262" s="41" t="s">
        <v>37</v>
      </c>
      <c r="D1262" s="1" t="s">
        <v>38</v>
      </c>
      <c r="E1262" s="26" t="s">
        <v>39</v>
      </c>
      <c r="F1262" s="27">
        <v>0.95238095238095233</v>
      </c>
      <c r="G1262" s="33">
        <v>0.33333333333333331</v>
      </c>
      <c r="H1262" s="41" t="s">
        <v>408</v>
      </c>
      <c r="I1262" s="1" t="s">
        <v>409</v>
      </c>
      <c r="J1262" s="26" t="s">
        <v>39</v>
      </c>
      <c r="K1262" s="27">
        <v>0.94339622641509424</v>
      </c>
      <c r="L1262" s="33">
        <v>0.33333333333333331</v>
      </c>
      <c r="M1262" s="41" t="s">
        <v>410</v>
      </c>
      <c r="N1262" s="1" t="s">
        <v>38</v>
      </c>
      <c r="O1262" s="26" t="s">
        <v>42</v>
      </c>
      <c r="P1262" s="27">
        <v>3.2258064516129035</v>
      </c>
      <c r="Q1262" s="33">
        <v>0.33333333333333331</v>
      </c>
      <c r="R1262" s="55" t="s">
        <v>37</v>
      </c>
      <c r="S1262" s="26" t="s">
        <v>38</v>
      </c>
      <c r="T1262" s="26" t="s">
        <v>39</v>
      </c>
      <c r="U1262" s="27">
        <v>0.95238095238095233</v>
      </c>
      <c r="V1262" s="33">
        <v>0.33333333333333331</v>
      </c>
      <c r="W1262" s="26" t="s">
        <v>408</v>
      </c>
      <c r="X1262" s="26" t="s">
        <v>409</v>
      </c>
      <c r="Y1262" s="26" t="s">
        <v>39</v>
      </c>
      <c r="Z1262" s="27">
        <v>0.94339622641509424</v>
      </c>
      <c r="AA1262" s="33">
        <v>0.33333333333333331</v>
      </c>
      <c r="AB1262" s="26" t="s">
        <v>411</v>
      </c>
      <c r="AC1262" s="26" t="s">
        <v>38</v>
      </c>
      <c r="AD1262" s="26" t="s">
        <v>42</v>
      </c>
      <c r="AE1262" s="27">
        <v>2.5</v>
      </c>
      <c r="AF1262" s="36">
        <v>0.33333333333333331</v>
      </c>
      <c r="AG1262" s="31">
        <v>1</v>
      </c>
      <c r="AH1262" s="1" t="s">
        <v>73</v>
      </c>
    </row>
    <row r="1263" spans="1:34">
      <c r="A1263" s="15" t="s">
        <v>1333</v>
      </c>
      <c r="B1263" s="8" t="s">
        <v>1277</v>
      </c>
      <c r="C1263" s="41" t="s">
        <v>37</v>
      </c>
      <c r="D1263" s="1" t="s">
        <v>38</v>
      </c>
      <c r="E1263" s="26" t="s">
        <v>39</v>
      </c>
      <c r="F1263" s="27">
        <v>0.95238095238095233</v>
      </c>
      <c r="G1263" s="33">
        <v>0.33333333333333331</v>
      </c>
      <c r="H1263" s="41" t="s">
        <v>408</v>
      </c>
      <c r="I1263" s="1" t="s">
        <v>409</v>
      </c>
      <c r="J1263" s="26" t="s">
        <v>39</v>
      </c>
      <c r="K1263" s="27">
        <v>0.94339622641509424</v>
      </c>
      <c r="L1263" s="33">
        <v>0.33333333333333331</v>
      </c>
      <c r="M1263" s="41" t="s">
        <v>410</v>
      </c>
      <c r="N1263" s="1" t="s">
        <v>38</v>
      </c>
      <c r="O1263" s="26" t="s">
        <v>42</v>
      </c>
      <c r="P1263" s="27">
        <v>3.2258064516129035</v>
      </c>
      <c r="Q1263" s="33">
        <v>0.33333333333333331</v>
      </c>
      <c r="R1263" s="55" t="s">
        <v>37</v>
      </c>
      <c r="S1263" s="26" t="s">
        <v>38</v>
      </c>
      <c r="T1263" s="26" t="s">
        <v>39</v>
      </c>
      <c r="U1263" s="27">
        <v>0.95238095238095233</v>
      </c>
      <c r="V1263" s="33">
        <v>0.33333333333333331</v>
      </c>
      <c r="W1263" s="26" t="s">
        <v>408</v>
      </c>
      <c r="X1263" s="26" t="s">
        <v>409</v>
      </c>
      <c r="Y1263" s="26" t="s">
        <v>39</v>
      </c>
      <c r="Z1263" s="27">
        <v>0.94339622641509424</v>
      </c>
      <c r="AA1263" s="33">
        <v>0.33333333333333331</v>
      </c>
      <c r="AB1263" s="26" t="s">
        <v>411</v>
      </c>
      <c r="AC1263" s="26" t="s">
        <v>38</v>
      </c>
      <c r="AD1263" s="26" t="s">
        <v>42</v>
      </c>
      <c r="AE1263" s="27">
        <v>2.5</v>
      </c>
      <c r="AF1263" s="36">
        <v>0.33333333333333331</v>
      </c>
      <c r="AG1263" s="31">
        <v>0</v>
      </c>
      <c r="AH1263" t="s">
        <v>44</v>
      </c>
    </row>
    <row r="1264" spans="1:34">
      <c r="A1264" s="15" t="s">
        <v>1334</v>
      </c>
      <c r="B1264" s="8" t="s">
        <v>1277</v>
      </c>
      <c r="C1264" s="41" t="s">
        <v>37</v>
      </c>
      <c r="D1264" s="1" t="s">
        <v>38</v>
      </c>
      <c r="E1264" s="26" t="s">
        <v>39</v>
      </c>
      <c r="F1264" s="27">
        <v>0.95238095238095233</v>
      </c>
      <c r="G1264" s="33">
        <v>0.33333333333333331</v>
      </c>
      <c r="H1264" s="41" t="s">
        <v>408</v>
      </c>
      <c r="I1264" s="1" t="s">
        <v>409</v>
      </c>
      <c r="J1264" s="26" t="s">
        <v>39</v>
      </c>
      <c r="K1264" s="27">
        <v>0.94339622641509424</v>
      </c>
      <c r="L1264" s="33">
        <v>0.33333333333333331</v>
      </c>
      <c r="M1264" s="41" t="s">
        <v>410</v>
      </c>
      <c r="N1264" s="1" t="s">
        <v>38</v>
      </c>
      <c r="O1264" s="26" t="s">
        <v>42</v>
      </c>
      <c r="P1264" s="27">
        <v>3.2258064516129035</v>
      </c>
      <c r="Q1264" s="33">
        <v>0.33333333333333331</v>
      </c>
      <c r="R1264" s="55" t="s">
        <v>37</v>
      </c>
      <c r="S1264" s="26" t="s">
        <v>38</v>
      </c>
      <c r="T1264" s="26" t="s">
        <v>39</v>
      </c>
      <c r="U1264" s="27">
        <v>0.95238095238095233</v>
      </c>
      <c r="V1264" s="33">
        <v>0.33333333333333331</v>
      </c>
      <c r="W1264" s="26" t="s">
        <v>408</v>
      </c>
      <c r="X1264" s="26" t="s">
        <v>409</v>
      </c>
      <c r="Y1264" s="26" t="s">
        <v>39</v>
      </c>
      <c r="Z1264" s="27">
        <v>0.94339622641509424</v>
      </c>
      <c r="AA1264" s="33">
        <v>0.33333333333333331</v>
      </c>
      <c r="AB1264" s="26" t="s">
        <v>411</v>
      </c>
      <c r="AC1264" s="26" t="s">
        <v>38</v>
      </c>
      <c r="AD1264" s="26" t="s">
        <v>42</v>
      </c>
      <c r="AE1264" s="27">
        <v>2.5</v>
      </c>
      <c r="AF1264" s="36">
        <v>0.33333333333333331</v>
      </c>
      <c r="AG1264" s="31">
        <v>0</v>
      </c>
      <c r="AH1264" t="s">
        <v>44</v>
      </c>
    </row>
    <row r="1265" spans="1:34">
      <c r="A1265" s="15" t="s">
        <v>1335</v>
      </c>
      <c r="B1265" s="8" t="s">
        <v>1277</v>
      </c>
      <c r="C1265" s="41" t="s">
        <v>37</v>
      </c>
      <c r="D1265" s="1" t="s">
        <v>38</v>
      </c>
      <c r="E1265" s="26" t="s">
        <v>39</v>
      </c>
      <c r="F1265" s="27">
        <v>0.95238095238095233</v>
      </c>
      <c r="G1265" s="33">
        <v>0.33333333333333331</v>
      </c>
      <c r="H1265" s="41" t="s">
        <v>408</v>
      </c>
      <c r="I1265" s="1" t="s">
        <v>409</v>
      </c>
      <c r="J1265" s="26" t="s">
        <v>39</v>
      </c>
      <c r="K1265" s="27">
        <v>0.94339622641509424</v>
      </c>
      <c r="L1265" s="33">
        <v>0.33333333333333331</v>
      </c>
      <c r="M1265" s="41" t="s">
        <v>410</v>
      </c>
      <c r="N1265" s="1" t="s">
        <v>38</v>
      </c>
      <c r="O1265" s="26" t="s">
        <v>42</v>
      </c>
      <c r="P1265" s="27">
        <v>3.2258064516129035</v>
      </c>
      <c r="Q1265" s="33">
        <v>0.33333333333333331</v>
      </c>
      <c r="R1265" s="55" t="s">
        <v>37</v>
      </c>
      <c r="S1265" s="26" t="s">
        <v>38</v>
      </c>
      <c r="T1265" s="26" t="s">
        <v>39</v>
      </c>
      <c r="U1265" s="27">
        <v>0.95238095238095233</v>
      </c>
      <c r="V1265" s="33">
        <v>0.33333333333333331</v>
      </c>
      <c r="W1265" s="26" t="s">
        <v>408</v>
      </c>
      <c r="X1265" s="26" t="s">
        <v>409</v>
      </c>
      <c r="Y1265" s="26" t="s">
        <v>39</v>
      </c>
      <c r="Z1265" s="27">
        <v>0.94339622641509424</v>
      </c>
      <c r="AA1265" s="33">
        <v>0.33333333333333331</v>
      </c>
      <c r="AB1265" s="26" t="s">
        <v>411</v>
      </c>
      <c r="AC1265" s="26" t="s">
        <v>38</v>
      </c>
      <c r="AD1265" s="26" t="s">
        <v>42</v>
      </c>
      <c r="AE1265" s="27">
        <v>2.5</v>
      </c>
      <c r="AF1265" s="36">
        <v>0.33333333333333331</v>
      </c>
      <c r="AG1265" s="31">
        <v>0</v>
      </c>
      <c r="AH1265" t="s">
        <v>44</v>
      </c>
    </row>
    <row r="1266" spans="1:34">
      <c r="A1266" s="15" t="s">
        <v>1336</v>
      </c>
      <c r="B1266" s="8" t="s">
        <v>1277</v>
      </c>
      <c r="C1266" s="41" t="s">
        <v>37</v>
      </c>
      <c r="D1266" s="1" t="s">
        <v>38</v>
      </c>
      <c r="E1266" s="26" t="s">
        <v>39</v>
      </c>
      <c r="F1266" s="27">
        <v>0.95238095238095233</v>
      </c>
      <c r="G1266" s="33">
        <v>0.33333333333333331</v>
      </c>
      <c r="H1266" s="41" t="s">
        <v>408</v>
      </c>
      <c r="I1266" s="1" t="s">
        <v>409</v>
      </c>
      <c r="J1266" s="26" t="s">
        <v>39</v>
      </c>
      <c r="K1266" s="27">
        <v>0.94339622641509424</v>
      </c>
      <c r="L1266" s="33">
        <v>0.33333333333333331</v>
      </c>
      <c r="M1266" s="41" t="s">
        <v>410</v>
      </c>
      <c r="N1266" s="1" t="s">
        <v>38</v>
      </c>
      <c r="O1266" s="26" t="s">
        <v>42</v>
      </c>
      <c r="P1266" s="27">
        <v>3.2258064516129035</v>
      </c>
      <c r="Q1266" s="33">
        <v>0.33333333333333331</v>
      </c>
      <c r="R1266" s="55" t="s">
        <v>37</v>
      </c>
      <c r="S1266" s="26" t="s">
        <v>38</v>
      </c>
      <c r="T1266" s="26" t="s">
        <v>39</v>
      </c>
      <c r="U1266" s="27">
        <v>0.95238095238095233</v>
      </c>
      <c r="V1266" s="33">
        <v>0.33333333333333331</v>
      </c>
      <c r="W1266" s="26" t="s">
        <v>408</v>
      </c>
      <c r="X1266" s="26" t="s">
        <v>409</v>
      </c>
      <c r="Y1266" s="26" t="s">
        <v>39</v>
      </c>
      <c r="Z1266" s="27">
        <v>0.94339622641509424</v>
      </c>
      <c r="AA1266" s="33">
        <v>0.33333333333333331</v>
      </c>
      <c r="AB1266" s="26" t="s">
        <v>411</v>
      </c>
      <c r="AC1266" s="26" t="s">
        <v>38</v>
      </c>
      <c r="AD1266" s="26" t="s">
        <v>42</v>
      </c>
      <c r="AE1266" s="27">
        <v>2.5</v>
      </c>
      <c r="AF1266" s="36">
        <v>0.33333333333333331</v>
      </c>
      <c r="AG1266" s="31">
        <v>0</v>
      </c>
      <c r="AH1266" t="s">
        <v>44</v>
      </c>
    </row>
    <row r="1267" spans="1:34">
      <c r="A1267" s="15" t="s">
        <v>1337</v>
      </c>
      <c r="B1267" s="8" t="s">
        <v>1277</v>
      </c>
      <c r="C1267" s="41" t="s">
        <v>37</v>
      </c>
      <c r="D1267" s="1" t="s">
        <v>38</v>
      </c>
      <c r="E1267" s="26" t="s">
        <v>39</v>
      </c>
      <c r="F1267" s="27">
        <v>0.95238095238095233</v>
      </c>
      <c r="G1267" s="33">
        <v>0.33333333333333331</v>
      </c>
      <c r="H1267" s="41" t="s">
        <v>408</v>
      </c>
      <c r="I1267" s="1" t="s">
        <v>409</v>
      </c>
      <c r="J1267" s="26" t="s">
        <v>39</v>
      </c>
      <c r="K1267" s="27">
        <v>0.94339622641509424</v>
      </c>
      <c r="L1267" s="33">
        <v>0.33333333333333331</v>
      </c>
      <c r="M1267" s="41" t="s">
        <v>410</v>
      </c>
      <c r="N1267" s="1" t="s">
        <v>38</v>
      </c>
      <c r="O1267" s="26" t="s">
        <v>42</v>
      </c>
      <c r="P1267" s="27">
        <v>3.2258064516129035</v>
      </c>
      <c r="Q1267" s="33">
        <v>0.33333333333333331</v>
      </c>
      <c r="R1267" s="55" t="s">
        <v>37</v>
      </c>
      <c r="S1267" s="26" t="s">
        <v>38</v>
      </c>
      <c r="T1267" s="26" t="s">
        <v>39</v>
      </c>
      <c r="U1267" s="27">
        <v>0.95238095238095233</v>
      </c>
      <c r="V1267" s="33">
        <v>0.33333333333333331</v>
      </c>
      <c r="W1267" s="26" t="s">
        <v>408</v>
      </c>
      <c r="X1267" s="26" t="s">
        <v>409</v>
      </c>
      <c r="Y1267" s="26" t="s">
        <v>39</v>
      </c>
      <c r="Z1267" s="27">
        <v>0.94339622641509424</v>
      </c>
      <c r="AA1267" s="33">
        <v>0.33333333333333331</v>
      </c>
      <c r="AB1267" s="26" t="s">
        <v>411</v>
      </c>
      <c r="AC1267" s="26" t="s">
        <v>38</v>
      </c>
      <c r="AD1267" s="26" t="s">
        <v>42</v>
      </c>
      <c r="AE1267" s="27">
        <v>2.5</v>
      </c>
      <c r="AF1267" s="36">
        <v>0.33333333333333331</v>
      </c>
      <c r="AG1267" s="31">
        <v>0</v>
      </c>
      <c r="AH1267" t="s">
        <v>44</v>
      </c>
    </row>
    <row r="1268" spans="1:34">
      <c r="A1268" s="15" t="s">
        <v>1338</v>
      </c>
      <c r="B1268" s="8" t="s">
        <v>1277</v>
      </c>
      <c r="C1268" s="41" t="s">
        <v>37</v>
      </c>
      <c r="D1268" s="1" t="s">
        <v>38</v>
      </c>
      <c r="E1268" s="26" t="s">
        <v>39</v>
      </c>
      <c r="F1268" s="27">
        <v>0.95238095238095233</v>
      </c>
      <c r="G1268" s="33">
        <v>0.33333333333333331</v>
      </c>
      <c r="H1268" s="41" t="s">
        <v>408</v>
      </c>
      <c r="I1268" s="1" t="s">
        <v>409</v>
      </c>
      <c r="J1268" s="26" t="s">
        <v>39</v>
      </c>
      <c r="K1268" s="27">
        <v>0.94339622641509424</v>
      </c>
      <c r="L1268" s="33">
        <v>0.33333333333333331</v>
      </c>
      <c r="M1268" s="41" t="s">
        <v>410</v>
      </c>
      <c r="N1268" s="1" t="s">
        <v>38</v>
      </c>
      <c r="O1268" s="26" t="s">
        <v>42</v>
      </c>
      <c r="P1268" s="27">
        <v>3.2258064516129035</v>
      </c>
      <c r="Q1268" s="33">
        <v>0.33333333333333331</v>
      </c>
      <c r="R1268" s="55" t="s">
        <v>37</v>
      </c>
      <c r="S1268" s="26" t="s">
        <v>38</v>
      </c>
      <c r="T1268" s="26" t="s">
        <v>39</v>
      </c>
      <c r="U1268" s="27">
        <v>0.95238095238095233</v>
      </c>
      <c r="V1268" s="33">
        <v>0.33333333333333331</v>
      </c>
      <c r="W1268" s="26" t="s">
        <v>408</v>
      </c>
      <c r="X1268" s="26" t="s">
        <v>409</v>
      </c>
      <c r="Y1268" s="26" t="s">
        <v>39</v>
      </c>
      <c r="Z1268" s="27">
        <v>0.94339622641509424</v>
      </c>
      <c r="AA1268" s="33">
        <v>0.33333333333333331</v>
      </c>
      <c r="AB1268" s="26" t="s">
        <v>411</v>
      </c>
      <c r="AC1268" s="26" t="s">
        <v>38</v>
      </c>
      <c r="AD1268" s="26" t="s">
        <v>42</v>
      </c>
      <c r="AE1268" s="27">
        <v>2.5</v>
      </c>
      <c r="AF1268" s="36">
        <v>0.33333333333333331</v>
      </c>
      <c r="AG1268" s="31">
        <v>0</v>
      </c>
      <c r="AH1268" t="s">
        <v>44</v>
      </c>
    </row>
    <row r="1269" spans="1:34">
      <c r="A1269" s="15" t="s">
        <v>1339</v>
      </c>
      <c r="B1269" s="8" t="s">
        <v>1277</v>
      </c>
      <c r="C1269" s="41" t="s">
        <v>37</v>
      </c>
      <c r="D1269" s="1" t="s">
        <v>38</v>
      </c>
      <c r="E1269" s="26" t="s">
        <v>39</v>
      </c>
      <c r="F1269" s="27">
        <v>0.95238095238095233</v>
      </c>
      <c r="G1269" s="33">
        <v>0.33333333333333331</v>
      </c>
      <c r="H1269" s="41" t="s">
        <v>408</v>
      </c>
      <c r="I1269" s="1" t="s">
        <v>409</v>
      </c>
      <c r="J1269" s="26" t="s">
        <v>39</v>
      </c>
      <c r="K1269" s="27">
        <v>0.94339622641509424</v>
      </c>
      <c r="L1269" s="33">
        <v>0.33333333333333331</v>
      </c>
      <c r="M1269" s="41" t="s">
        <v>410</v>
      </c>
      <c r="N1269" s="1" t="s">
        <v>38</v>
      </c>
      <c r="O1269" s="26" t="s">
        <v>42</v>
      </c>
      <c r="P1269" s="27">
        <v>3.2258064516129035</v>
      </c>
      <c r="Q1269" s="33">
        <v>0.33333333333333331</v>
      </c>
      <c r="R1269" s="55" t="s">
        <v>37</v>
      </c>
      <c r="S1269" s="26" t="s">
        <v>38</v>
      </c>
      <c r="T1269" s="26" t="s">
        <v>39</v>
      </c>
      <c r="U1269" s="27">
        <v>0.95238095238095233</v>
      </c>
      <c r="V1269" s="33">
        <v>0.33333333333333331</v>
      </c>
      <c r="W1269" s="26" t="s">
        <v>408</v>
      </c>
      <c r="X1269" s="26" t="s">
        <v>409</v>
      </c>
      <c r="Y1269" s="26" t="s">
        <v>39</v>
      </c>
      <c r="Z1269" s="27">
        <v>0.94339622641509424</v>
      </c>
      <c r="AA1269" s="33">
        <v>0.33333333333333331</v>
      </c>
      <c r="AB1269" s="26" t="s">
        <v>411</v>
      </c>
      <c r="AC1269" s="26" t="s">
        <v>38</v>
      </c>
      <c r="AD1269" s="26" t="s">
        <v>42</v>
      </c>
      <c r="AE1269" s="27">
        <v>2.5</v>
      </c>
      <c r="AF1269" s="36">
        <v>0.33333333333333331</v>
      </c>
      <c r="AG1269" s="31">
        <v>0</v>
      </c>
      <c r="AH1269" t="s">
        <v>44</v>
      </c>
    </row>
    <row r="1270" spans="1:34">
      <c r="A1270" s="15" t="s">
        <v>1340</v>
      </c>
      <c r="B1270" s="8" t="s">
        <v>1277</v>
      </c>
      <c r="C1270" s="41" t="s">
        <v>37</v>
      </c>
      <c r="D1270" s="1" t="s">
        <v>38</v>
      </c>
      <c r="E1270" s="26" t="s">
        <v>39</v>
      </c>
      <c r="F1270" s="27">
        <v>0.95238095238095233</v>
      </c>
      <c r="G1270" s="33">
        <v>0.33333333333333331</v>
      </c>
      <c r="H1270" s="41" t="s">
        <v>408</v>
      </c>
      <c r="I1270" s="1" t="s">
        <v>409</v>
      </c>
      <c r="J1270" s="26" t="s">
        <v>39</v>
      </c>
      <c r="K1270" s="27">
        <v>0.94339622641509424</v>
      </c>
      <c r="L1270" s="33">
        <v>0.33333333333333331</v>
      </c>
      <c r="M1270" s="41" t="s">
        <v>410</v>
      </c>
      <c r="N1270" s="1" t="s">
        <v>38</v>
      </c>
      <c r="O1270" s="26" t="s">
        <v>42</v>
      </c>
      <c r="P1270" s="27">
        <v>3.2258064516129035</v>
      </c>
      <c r="Q1270" s="33">
        <v>0.33333333333333331</v>
      </c>
      <c r="R1270" s="55" t="s">
        <v>37</v>
      </c>
      <c r="S1270" s="26" t="s">
        <v>38</v>
      </c>
      <c r="T1270" s="26" t="s">
        <v>39</v>
      </c>
      <c r="U1270" s="27">
        <v>0.95238095238095233</v>
      </c>
      <c r="V1270" s="33">
        <v>0.33333333333333331</v>
      </c>
      <c r="W1270" s="26" t="s">
        <v>408</v>
      </c>
      <c r="X1270" s="26" t="s">
        <v>409</v>
      </c>
      <c r="Y1270" s="26" t="s">
        <v>39</v>
      </c>
      <c r="Z1270" s="27">
        <v>0.94339622641509424</v>
      </c>
      <c r="AA1270" s="33">
        <v>0.33333333333333331</v>
      </c>
      <c r="AB1270" s="26" t="s">
        <v>411</v>
      </c>
      <c r="AC1270" s="26" t="s">
        <v>38</v>
      </c>
      <c r="AD1270" s="26" t="s">
        <v>42</v>
      </c>
      <c r="AE1270" s="27">
        <v>2.5</v>
      </c>
      <c r="AF1270" s="36">
        <v>0.33333333333333331</v>
      </c>
      <c r="AG1270" s="31">
        <v>0</v>
      </c>
      <c r="AH1270" t="s">
        <v>44</v>
      </c>
    </row>
    <row r="1271" spans="1:34">
      <c r="A1271" s="15" t="s">
        <v>1341</v>
      </c>
      <c r="B1271" s="8" t="s">
        <v>1277</v>
      </c>
      <c r="C1271" s="41" t="s">
        <v>37</v>
      </c>
      <c r="D1271" s="1" t="s">
        <v>38</v>
      </c>
      <c r="E1271" s="26" t="s">
        <v>39</v>
      </c>
      <c r="F1271" s="27">
        <v>0.95238095238095233</v>
      </c>
      <c r="G1271" s="33">
        <v>0.33333333333333331</v>
      </c>
      <c r="H1271" s="41" t="s">
        <v>408</v>
      </c>
      <c r="I1271" s="1" t="s">
        <v>409</v>
      </c>
      <c r="J1271" s="26" t="s">
        <v>39</v>
      </c>
      <c r="K1271" s="27">
        <v>0.94339622641509424</v>
      </c>
      <c r="L1271" s="33">
        <v>0.33333333333333331</v>
      </c>
      <c r="M1271" s="41" t="s">
        <v>410</v>
      </c>
      <c r="N1271" s="1" t="s">
        <v>38</v>
      </c>
      <c r="O1271" s="26" t="s">
        <v>42</v>
      </c>
      <c r="P1271" s="27">
        <v>3.2258064516129035</v>
      </c>
      <c r="Q1271" s="33">
        <v>0.33333333333333331</v>
      </c>
      <c r="R1271" s="55" t="s">
        <v>37</v>
      </c>
      <c r="S1271" s="26" t="s">
        <v>38</v>
      </c>
      <c r="T1271" s="26" t="s">
        <v>39</v>
      </c>
      <c r="U1271" s="27">
        <v>0.95238095238095233</v>
      </c>
      <c r="V1271" s="33">
        <v>0.33333333333333331</v>
      </c>
      <c r="W1271" s="26" t="s">
        <v>408</v>
      </c>
      <c r="X1271" s="26" t="s">
        <v>409</v>
      </c>
      <c r="Y1271" s="26" t="s">
        <v>39</v>
      </c>
      <c r="Z1271" s="27">
        <v>0.94339622641509424</v>
      </c>
      <c r="AA1271" s="33">
        <v>0.33333333333333331</v>
      </c>
      <c r="AB1271" s="26" t="s">
        <v>411</v>
      </c>
      <c r="AC1271" s="26" t="s">
        <v>38</v>
      </c>
      <c r="AD1271" s="26" t="s">
        <v>42</v>
      </c>
      <c r="AE1271" s="27">
        <v>2.5</v>
      </c>
      <c r="AF1271" s="36">
        <v>0.33333333333333331</v>
      </c>
      <c r="AG1271" s="31">
        <v>0</v>
      </c>
      <c r="AH1271" t="s">
        <v>44</v>
      </c>
    </row>
    <row r="1272" spans="1:34">
      <c r="A1272" s="15" t="s">
        <v>1342</v>
      </c>
      <c r="B1272" s="8" t="s">
        <v>1277</v>
      </c>
      <c r="C1272" s="41" t="s">
        <v>37</v>
      </c>
      <c r="D1272" s="1" t="s">
        <v>38</v>
      </c>
      <c r="E1272" s="26" t="s">
        <v>39</v>
      </c>
      <c r="F1272" s="27">
        <v>0.95238095238095233</v>
      </c>
      <c r="G1272" s="33">
        <v>0.33333333333333331</v>
      </c>
      <c r="H1272" s="41" t="s">
        <v>408</v>
      </c>
      <c r="I1272" s="1" t="s">
        <v>409</v>
      </c>
      <c r="J1272" s="26" t="s">
        <v>39</v>
      </c>
      <c r="K1272" s="27">
        <v>0.94339622641509424</v>
      </c>
      <c r="L1272" s="33">
        <v>0.33333333333333331</v>
      </c>
      <c r="M1272" s="41" t="s">
        <v>410</v>
      </c>
      <c r="N1272" s="1" t="s">
        <v>38</v>
      </c>
      <c r="O1272" s="26" t="s">
        <v>42</v>
      </c>
      <c r="P1272" s="27">
        <v>3.2258064516129035</v>
      </c>
      <c r="Q1272" s="33">
        <v>0.33333333333333331</v>
      </c>
      <c r="R1272" s="55" t="s">
        <v>37</v>
      </c>
      <c r="S1272" s="26" t="s">
        <v>38</v>
      </c>
      <c r="T1272" s="26" t="s">
        <v>39</v>
      </c>
      <c r="U1272" s="27">
        <v>0.95238095238095233</v>
      </c>
      <c r="V1272" s="33">
        <v>0.33333333333333331</v>
      </c>
      <c r="W1272" s="26" t="s">
        <v>408</v>
      </c>
      <c r="X1272" s="26" t="s">
        <v>409</v>
      </c>
      <c r="Y1272" s="26" t="s">
        <v>39</v>
      </c>
      <c r="Z1272" s="27">
        <v>0.94339622641509424</v>
      </c>
      <c r="AA1272" s="33">
        <v>0.33333333333333331</v>
      </c>
      <c r="AB1272" s="26" t="s">
        <v>411</v>
      </c>
      <c r="AC1272" s="26" t="s">
        <v>38</v>
      </c>
      <c r="AD1272" s="26" t="s">
        <v>42</v>
      </c>
      <c r="AE1272" s="27">
        <v>2.5</v>
      </c>
      <c r="AF1272" s="36">
        <v>0.33333333333333331</v>
      </c>
      <c r="AG1272" s="31">
        <v>0</v>
      </c>
      <c r="AH1272" t="s">
        <v>44</v>
      </c>
    </row>
    <row r="1273" spans="1:34">
      <c r="A1273" s="15" t="s">
        <v>1343</v>
      </c>
      <c r="B1273" s="8" t="s">
        <v>1277</v>
      </c>
      <c r="C1273" s="41" t="s">
        <v>37</v>
      </c>
      <c r="D1273" s="1" t="s">
        <v>38</v>
      </c>
      <c r="E1273" s="26" t="s">
        <v>39</v>
      </c>
      <c r="F1273" s="27">
        <v>0.95238095238095233</v>
      </c>
      <c r="G1273" s="33">
        <v>0.33333333333333331</v>
      </c>
      <c r="H1273" s="41" t="s">
        <v>408</v>
      </c>
      <c r="I1273" s="1" t="s">
        <v>409</v>
      </c>
      <c r="J1273" s="26" t="s">
        <v>39</v>
      </c>
      <c r="K1273" s="27">
        <v>0.94339622641509424</v>
      </c>
      <c r="L1273" s="33">
        <v>0.33333333333333331</v>
      </c>
      <c r="M1273" s="41" t="s">
        <v>410</v>
      </c>
      <c r="N1273" s="1" t="s">
        <v>38</v>
      </c>
      <c r="O1273" s="26" t="s">
        <v>42</v>
      </c>
      <c r="P1273" s="27">
        <v>3.2258064516129035</v>
      </c>
      <c r="Q1273" s="33">
        <v>0.33333333333333331</v>
      </c>
      <c r="R1273" s="55" t="s">
        <v>37</v>
      </c>
      <c r="S1273" s="26" t="s">
        <v>38</v>
      </c>
      <c r="T1273" s="26" t="s">
        <v>39</v>
      </c>
      <c r="U1273" s="27">
        <v>0.95238095238095233</v>
      </c>
      <c r="V1273" s="33">
        <v>0.33333333333333331</v>
      </c>
      <c r="W1273" s="26" t="s">
        <v>408</v>
      </c>
      <c r="X1273" s="26" t="s">
        <v>409</v>
      </c>
      <c r="Y1273" s="26" t="s">
        <v>39</v>
      </c>
      <c r="Z1273" s="27">
        <v>0.94339622641509424</v>
      </c>
      <c r="AA1273" s="33">
        <v>0.33333333333333331</v>
      </c>
      <c r="AB1273" s="26" t="s">
        <v>411</v>
      </c>
      <c r="AC1273" s="26" t="s">
        <v>38</v>
      </c>
      <c r="AD1273" s="26" t="s">
        <v>42</v>
      </c>
      <c r="AE1273" s="27">
        <v>2.5</v>
      </c>
      <c r="AF1273" s="36">
        <v>0.33333333333333331</v>
      </c>
      <c r="AG1273" s="31">
        <v>0</v>
      </c>
      <c r="AH1273" t="s">
        <v>44</v>
      </c>
    </row>
    <row r="1274" spans="1:34">
      <c r="A1274" s="15" t="s">
        <v>1344</v>
      </c>
      <c r="B1274" s="8" t="s">
        <v>1277</v>
      </c>
      <c r="C1274" s="41" t="s">
        <v>37</v>
      </c>
      <c r="D1274" s="1" t="s">
        <v>38</v>
      </c>
      <c r="E1274" s="26" t="s">
        <v>39</v>
      </c>
      <c r="F1274" s="27">
        <v>0.95238095238095233</v>
      </c>
      <c r="G1274" s="33">
        <v>0.33333333333333331</v>
      </c>
      <c r="H1274" s="41" t="s">
        <v>408</v>
      </c>
      <c r="I1274" s="1" t="s">
        <v>409</v>
      </c>
      <c r="J1274" s="26" t="s">
        <v>39</v>
      </c>
      <c r="K1274" s="27">
        <v>0.94339622641509424</v>
      </c>
      <c r="L1274" s="33">
        <v>0.33333333333333331</v>
      </c>
      <c r="M1274" s="41" t="s">
        <v>410</v>
      </c>
      <c r="N1274" s="1" t="s">
        <v>38</v>
      </c>
      <c r="O1274" s="26" t="s">
        <v>42</v>
      </c>
      <c r="P1274" s="27">
        <v>3.2258064516129035</v>
      </c>
      <c r="Q1274" s="33">
        <v>0.33333333333333331</v>
      </c>
      <c r="R1274" s="55" t="s">
        <v>37</v>
      </c>
      <c r="S1274" s="26" t="s">
        <v>38</v>
      </c>
      <c r="T1274" s="26" t="s">
        <v>39</v>
      </c>
      <c r="U1274" s="27">
        <v>0.95238095238095233</v>
      </c>
      <c r="V1274" s="33">
        <v>0.33333333333333331</v>
      </c>
      <c r="W1274" s="26" t="s">
        <v>408</v>
      </c>
      <c r="X1274" s="26" t="s">
        <v>409</v>
      </c>
      <c r="Y1274" s="26" t="s">
        <v>39</v>
      </c>
      <c r="Z1274" s="27">
        <v>0.94339622641509424</v>
      </c>
      <c r="AA1274" s="33">
        <v>0.33333333333333331</v>
      </c>
      <c r="AB1274" s="26" t="s">
        <v>411</v>
      </c>
      <c r="AC1274" s="26" t="s">
        <v>38</v>
      </c>
      <c r="AD1274" s="26" t="s">
        <v>42</v>
      </c>
      <c r="AE1274" s="27">
        <v>2.5</v>
      </c>
      <c r="AF1274" s="36">
        <v>0.33333333333333331</v>
      </c>
      <c r="AG1274" s="31">
        <v>0</v>
      </c>
      <c r="AH1274" t="s">
        <v>44</v>
      </c>
    </row>
    <row r="1275" spans="1:34">
      <c r="A1275" s="15" t="s">
        <v>1345</v>
      </c>
      <c r="B1275" s="8" t="s">
        <v>1277</v>
      </c>
      <c r="C1275" s="41" t="s">
        <v>37</v>
      </c>
      <c r="D1275" s="1" t="s">
        <v>38</v>
      </c>
      <c r="E1275" s="26" t="s">
        <v>39</v>
      </c>
      <c r="F1275" s="27">
        <v>0.95238095238095233</v>
      </c>
      <c r="G1275" s="33">
        <v>0.33333333333333331</v>
      </c>
      <c r="H1275" s="41" t="s">
        <v>408</v>
      </c>
      <c r="I1275" s="1" t="s">
        <v>409</v>
      </c>
      <c r="J1275" s="26" t="s">
        <v>39</v>
      </c>
      <c r="K1275" s="27">
        <v>0.94339622641509424</v>
      </c>
      <c r="L1275" s="33">
        <v>0.33333333333333331</v>
      </c>
      <c r="M1275" s="41" t="s">
        <v>410</v>
      </c>
      <c r="N1275" s="1" t="s">
        <v>38</v>
      </c>
      <c r="O1275" s="26" t="s">
        <v>42</v>
      </c>
      <c r="P1275" s="27">
        <v>3.2258064516129035</v>
      </c>
      <c r="Q1275" s="33">
        <v>0.33333333333333331</v>
      </c>
      <c r="R1275" s="55" t="s">
        <v>37</v>
      </c>
      <c r="S1275" s="26" t="s">
        <v>38</v>
      </c>
      <c r="T1275" s="26" t="s">
        <v>39</v>
      </c>
      <c r="U1275" s="27">
        <v>0.95238095238095233</v>
      </c>
      <c r="V1275" s="33">
        <v>0.33333333333333331</v>
      </c>
      <c r="W1275" s="26" t="s">
        <v>408</v>
      </c>
      <c r="X1275" s="26" t="s">
        <v>409</v>
      </c>
      <c r="Y1275" s="26" t="s">
        <v>39</v>
      </c>
      <c r="Z1275" s="27">
        <v>0.94339622641509424</v>
      </c>
      <c r="AA1275" s="33">
        <v>0.33333333333333331</v>
      </c>
      <c r="AB1275" s="26" t="s">
        <v>411</v>
      </c>
      <c r="AC1275" s="26" t="s">
        <v>38</v>
      </c>
      <c r="AD1275" s="26" t="s">
        <v>42</v>
      </c>
      <c r="AE1275" s="27">
        <v>2.5</v>
      </c>
      <c r="AF1275" s="36">
        <v>0.33333333333333331</v>
      </c>
      <c r="AG1275" s="31">
        <v>0</v>
      </c>
      <c r="AH1275" t="s">
        <v>44</v>
      </c>
    </row>
    <row r="1276" spans="1:34">
      <c r="A1276" s="15" t="s">
        <v>1346</v>
      </c>
      <c r="B1276" s="8" t="s">
        <v>1277</v>
      </c>
      <c r="C1276" s="41" t="s">
        <v>37</v>
      </c>
      <c r="D1276" s="1" t="s">
        <v>38</v>
      </c>
      <c r="E1276" s="26" t="s">
        <v>39</v>
      </c>
      <c r="F1276" s="27">
        <v>0.95238095238095233</v>
      </c>
      <c r="G1276" s="33">
        <v>0.33333333333333331</v>
      </c>
      <c r="H1276" s="41" t="s">
        <v>408</v>
      </c>
      <c r="I1276" s="1" t="s">
        <v>409</v>
      </c>
      <c r="J1276" s="26" t="s">
        <v>39</v>
      </c>
      <c r="K1276" s="27">
        <v>0.94339622641509424</v>
      </c>
      <c r="L1276" s="33">
        <v>0.33333333333333331</v>
      </c>
      <c r="M1276" s="41" t="s">
        <v>410</v>
      </c>
      <c r="N1276" s="1" t="s">
        <v>38</v>
      </c>
      <c r="O1276" s="26" t="s">
        <v>42</v>
      </c>
      <c r="P1276" s="27">
        <v>3.2258064516129035</v>
      </c>
      <c r="Q1276" s="33">
        <v>0.33333333333333331</v>
      </c>
      <c r="R1276" s="55" t="s">
        <v>37</v>
      </c>
      <c r="S1276" s="26" t="s">
        <v>38</v>
      </c>
      <c r="T1276" s="26" t="s">
        <v>39</v>
      </c>
      <c r="U1276" s="27">
        <v>0.95238095238095233</v>
      </c>
      <c r="V1276" s="33">
        <v>0.33333333333333331</v>
      </c>
      <c r="W1276" s="26" t="s">
        <v>408</v>
      </c>
      <c r="X1276" s="26" t="s">
        <v>409</v>
      </c>
      <c r="Y1276" s="26" t="s">
        <v>39</v>
      </c>
      <c r="Z1276" s="27">
        <v>0.94339622641509424</v>
      </c>
      <c r="AA1276" s="33">
        <v>0.33333333333333331</v>
      </c>
      <c r="AB1276" s="26" t="s">
        <v>411</v>
      </c>
      <c r="AC1276" s="26" t="s">
        <v>38</v>
      </c>
      <c r="AD1276" s="26" t="s">
        <v>42</v>
      </c>
      <c r="AE1276" s="27">
        <v>2.5</v>
      </c>
      <c r="AF1276" s="36">
        <v>0.33333333333333331</v>
      </c>
      <c r="AG1276" s="31">
        <v>0</v>
      </c>
      <c r="AH1276" t="s">
        <v>44</v>
      </c>
    </row>
    <row r="1277" spans="1:34">
      <c r="A1277" s="15" t="s">
        <v>1347</v>
      </c>
      <c r="B1277" s="8" t="s">
        <v>1277</v>
      </c>
      <c r="C1277" s="41" t="s">
        <v>37</v>
      </c>
      <c r="D1277" s="1" t="s">
        <v>38</v>
      </c>
      <c r="E1277" s="26" t="s">
        <v>39</v>
      </c>
      <c r="F1277" s="27">
        <v>0.95238095238095233</v>
      </c>
      <c r="G1277" s="33">
        <v>0.33333333333333331</v>
      </c>
      <c r="H1277" s="41" t="s">
        <v>408</v>
      </c>
      <c r="I1277" s="1" t="s">
        <v>409</v>
      </c>
      <c r="J1277" s="26" t="s">
        <v>39</v>
      </c>
      <c r="K1277" s="27">
        <v>0.94339622641509424</v>
      </c>
      <c r="L1277" s="33">
        <v>0.33333333333333331</v>
      </c>
      <c r="M1277" s="41" t="s">
        <v>410</v>
      </c>
      <c r="N1277" s="1" t="s">
        <v>38</v>
      </c>
      <c r="O1277" s="26" t="s">
        <v>42</v>
      </c>
      <c r="P1277" s="27">
        <v>3.2258064516129035</v>
      </c>
      <c r="Q1277" s="33">
        <v>0.33333333333333331</v>
      </c>
      <c r="R1277" s="55" t="s">
        <v>37</v>
      </c>
      <c r="S1277" s="26" t="s">
        <v>38</v>
      </c>
      <c r="T1277" s="26" t="s">
        <v>39</v>
      </c>
      <c r="U1277" s="27">
        <v>0.95238095238095233</v>
      </c>
      <c r="V1277" s="33">
        <v>0.33333333333333331</v>
      </c>
      <c r="W1277" s="26" t="s">
        <v>408</v>
      </c>
      <c r="X1277" s="26" t="s">
        <v>409</v>
      </c>
      <c r="Y1277" s="26" t="s">
        <v>39</v>
      </c>
      <c r="Z1277" s="27">
        <v>0.94339622641509424</v>
      </c>
      <c r="AA1277" s="33">
        <v>0.33333333333333331</v>
      </c>
      <c r="AB1277" s="26" t="s">
        <v>411</v>
      </c>
      <c r="AC1277" s="26" t="s">
        <v>38</v>
      </c>
      <c r="AD1277" s="26" t="s">
        <v>42</v>
      </c>
      <c r="AE1277" s="27">
        <v>2.5</v>
      </c>
      <c r="AF1277" s="36">
        <v>0.33333333333333331</v>
      </c>
      <c r="AG1277" s="31">
        <v>0</v>
      </c>
      <c r="AH1277" t="s">
        <v>44</v>
      </c>
    </row>
    <row r="1278" spans="1:34">
      <c r="A1278" s="15" t="s">
        <v>1348</v>
      </c>
      <c r="B1278" s="8" t="s">
        <v>1277</v>
      </c>
      <c r="C1278" s="41" t="s">
        <v>37</v>
      </c>
      <c r="D1278" s="1" t="s">
        <v>38</v>
      </c>
      <c r="E1278" s="26" t="s">
        <v>39</v>
      </c>
      <c r="F1278" s="27">
        <v>0.95238095238095233</v>
      </c>
      <c r="G1278" s="33">
        <v>0.33333333333333331</v>
      </c>
      <c r="H1278" s="41" t="s">
        <v>408</v>
      </c>
      <c r="I1278" s="1" t="s">
        <v>409</v>
      </c>
      <c r="J1278" s="26" t="s">
        <v>39</v>
      </c>
      <c r="K1278" s="27">
        <v>0.94339622641509424</v>
      </c>
      <c r="L1278" s="33">
        <v>0.33333333333333331</v>
      </c>
      <c r="M1278" s="41" t="s">
        <v>410</v>
      </c>
      <c r="N1278" s="1" t="s">
        <v>38</v>
      </c>
      <c r="O1278" s="26" t="s">
        <v>42</v>
      </c>
      <c r="P1278" s="27">
        <v>3.2258064516129035</v>
      </c>
      <c r="Q1278" s="33">
        <v>0.33333333333333331</v>
      </c>
      <c r="R1278" s="55" t="s">
        <v>37</v>
      </c>
      <c r="S1278" s="26" t="s">
        <v>38</v>
      </c>
      <c r="T1278" s="26" t="s">
        <v>39</v>
      </c>
      <c r="U1278" s="27">
        <v>0.95238095238095233</v>
      </c>
      <c r="V1278" s="33">
        <v>0.33333333333333331</v>
      </c>
      <c r="W1278" s="26" t="s">
        <v>408</v>
      </c>
      <c r="X1278" s="26" t="s">
        <v>409</v>
      </c>
      <c r="Y1278" s="26" t="s">
        <v>39</v>
      </c>
      <c r="Z1278" s="27">
        <v>0.94339622641509424</v>
      </c>
      <c r="AA1278" s="33">
        <v>0.33333333333333331</v>
      </c>
      <c r="AB1278" s="26" t="s">
        <v>411</v>
      </c>
      <c r="AC1278" s="26" t="s">
        <v>38</v>
      </c>
      <c r="AD1278" s="26" t="s">
        <v>42</v>
      </c>
      <c r="AE1278" s="27">
        <v>2.5</v>
      </c>
      <c r="AF1278" s="36">
        <v>0.33333333333333331</v>
      </c>
      <c r="AG1278" s="31">
        <v>0</v>
      </c>
      <c r="AH1278" t="s">
        <v>44</v>
      </c>
    </row>
    <row r="1279" spans="1:34">
      <c r="A1279" s="15" t="s">
        <v>1349</v>
      </c>
      <c r="B1279" s="8" t="s">
        <v>1277</v>
      </c>
      <c r="C1279" s="41" t="s">
        <v>37</v>
      </c>
      <c r="D1279" s="1" t="s">
        <v>38</v>
      </c>
      <c r="E1279" s="26" t="s">
        <v>39</v>
      </c>
      <c r="F1279" s="27">
        <v>0.95238095238095233</v>
      </c>
      <c r="G1279" s="33">
        <v>0.33333333333333331</v>
      </c>
      <c r="H1279" s="41" t="s">
        <v>408</v>
      </c>
      <c r="I1279" s="1" t="s">
        <v>409</v>
      </c>
      <c r="J1279" s="26" t="s">
        <v>39</v>
      </c>
      <c r="K1279" s="27">
        <v>0.94339622641509424</v>
      </c>
      <c r="L1279" s="33">
        <v>0.33333333333333331</v>
      </c>
      <c r="M1279" s="41" t="s">
        <v>410</v>
      </c>
      <c r="N1279" s="1" t="s">
        <v>38</v>
      </c>
      <c r="O1279" s="26" t="s">
        <v>42</v>
      </c>
      <c r="P1279" s="27">
        <v>3.2258064516129035</v>
      </c>
      <c r="Q1279" s="33">
        <v>0.33333333333333331</v>
      </c>
      <c r="R1279" s="55" t="s">
        <v>37</v>
      </c>
      <c r="S1279" s="26" t="s">
        <v>38</v>
      </c>
      <c r="T1279" s="26" t="s">
        <v>39</v>
      </c>
      <c r="U1279" s="27">
        <v>0.95238095238095233</v>
      </c>
      <c r="V1279" s="33">
        <v>0.33333333333333331</v>
      </c>
      <c r="W1279" s="26" t="s">
        <v>408</v>
      </c>
      <c r="X1279" s="26" t="s">
        <v>409</v>
      </c>
      <c r="Y1279" s="26" t="s">
        <v>39</v>
      </c>
      <c r="Z1279" s="27">
        <v>0.94339622641509424</v>
      </c>
      <c r="AA1279" s="33">
        <v>0.33333333333333331</v>
      </c>
      <c r="AB1279" s="26" t="s">
        <v>411</v>
      </c>
      <c r="AC1279" s="26" t="s">
        <v>38</v>
      </c>
      <c r="AD1279" s="26" t="s">
        <v>42</v>
      </c>
      <c r="AE1279" s="27">
        <v>2.5</v>
      </c>
      <c r="AF1279" s="36">
        <v>0.33333333333333331</v>
      </c>
      <c r="AG1279" s="31">
        <v>0</v>
      </c>
      <c r="AH1279" t="s">
        <v>44</v>
      </c>
    </row>
    <row r="1280" spans="1:34">
      <c r="A1280" s="15" t="s">
        <v>1350</v>
      </c>
      <c r="B1280" s="8" t="s">
        <v>1277</v>
      </c>
      <c r="C1280" s="41" t="s">
        <v>37</v>
      </c>
      <c r="D1280" s="1" t="s">
        <v>38</v>
      </c>
      <c r="E1280" s="26" t="s">
        <v>39</v>
      </c>
      <c r="F1280" s="27">
        <v>0.95238095238095233</v>
      </c>
      <c r="G1280" s="33">
        <v>0.33333333333333331</v>
      </c>
      <c r="H1280" s="41" t="s">
        <v>408</v>
      </c>
      <c r="I1280" s="1" t="s">
        <v>409</v>
      </c>
      <c r="J1280" s="26" t="s">
        <v>39</v>
      </c>
      <c r="K1280" s="27">
        <v>0.94339622641509424</v>
      </c>
      <c r="L1280" s="33">
        <v>0.33333333333333331</v>
      </c>
      <c r="M1280" s="41" t="s">
        <v>410</v>
      </c>
      <c r="N1280" s="1" t="s">
        <v>38</v>
      </c>
      <c r="O1280" s="26" t="s">
        <v>42</v>
      </c>
      <c r="P1280" s="27">
        <v>3.2258064516129035</v>
      </c>
      <c r="Q1280" s="33">
        <v>0.33333333333333331</v>
      </c>
      <c r="R1280" s="55" t="s">
        <v>37</v>
      </c>
      <c r="S1280" s="26" t="s">
        <v>38</v>
      </c>
      <c r="T1280" s="26" t="s">
        <v>39</v>
      </c>
      <c r="U1280" s="27">
        <v>0.95238095238095233</v>
      </c>
      <c r="V1280" s="33">
        <v>0.33333333333333331</v>
      </c>
      <c r="W1280" s="26" t="s">
        <v>408</v>
      </c>
      <c r="X1280" s="26" t="s">
        <v>409</v>
      </c>
      <c r="Y1280" s="26" t="s">
        <v>39</v>
      </c>
      <c r="Z1280" s="27">
        <v>0.94339622641509424</v>
      </c>
      <c r="AA1280" s="33">
        <v>0.33333333333333331</v>
      </c>
      <c r="AB1280" s="26" t="s">
        <v>411</v>
      </c>
      <c r="AC1280" s="26" t="s">
        <v>38</v>
      </c>
      <c r="AD1280" s="26" t="s">
        <v>42</v>
      </c>
      <c r="AE1280" s="27">
        <v>2.5</v>
      </c>
      <c r="AF1280" s="36">
        <v>0.33333333333333331</v>
      </c>
      <c r="AG1280" s="31">
        <v>0</v>
      </c>
      <c r="AH1280" t="s">
        <v>44</v>
      </c>
    </row>
    <row r="1281" spans="1:34">
      <c r="A1281" s="15" t="s">
        <v>1351</v>
      </c>
      <c r="B1281" s="8" t="s">
        <v>1277</v>
      </c>
      <c r="C1281" s="41" t="s">
        <v>37</v>
      </c>
      <c r="D1281" s="1" t="s">
        <v>38</v>
      </c>
      <c r="E1281" s="26" t="s">
        <v>39</v>
      </c>
      <c r="F1281" s="27">
        <v>0.95238095238095233</v>
      </c>
      <c r="G1281" s="33">
        <v>0.33333333333333331</v>
      </c>
      <c r="H1281" s="41" t="s">
        <v>408</v>
      </c>
      <c r="I1281" s="1" t="s">
        <v>409</v>
      </c>
      <c r="J1281" s="26" t="s">
        <v>39</v>
      </c>
      <c r="K1281" s="27">
        <v>0.94339622641509424</v>
      </c>
      <c r="L1281" s="33">
        <v>0.33333333333333331</v>
      </c>
      <c r="M1281" s="41" t="s">
        <v>410</v>
      </c>
      <c r="N1281" s="1" t="s">
        <v>38</v>
      </c>
      <c r="O1281" s="26" t="s">
        <v>42</v>
      </c>
      <c r="P1281" s="27">
        <v>3.2258064516129035</v>
      </c>
      <c r="Q1281" s="33">
        <v>0.33333333333333331</v>
      </c>
      <c r="R1281" s="55" t="s">
        <v>37</v>
      </c>
      <c r="S1281" s="26" t="s">
        <v>38</v>
      </c>
      <c r="T1281" s="26" t="s">
        <v>39</v>
      </c>
      <c r="U1281" s="27">
        <v>0.95238095238095233</v>
      </c>
      <c r="V1281" s="33">
        <v>0.33333333333333331</v>
      </c>
      <c r="W1281" s="26" t="s">
        <v>408</v>
      </c>
      <c r="X1281" s="26" t="s">
        <v>409</v>
      </c>
      <c r="Y1281" s="26" t="s">
        <v>39</v>
      </c>
      <c r="Z1281" s="27">
        <v>0.94339622641509424</v>
      </c>
      <c r="AA1281" s="33">
        <v>0.33333333333333331</v>
      </c>
      <c r="AB1281" s="26" t="s">
        <v>411</v>
      </c>
      <c r="AC1281" s="26" t="s">
        <v>38</v>
      </c>
      <c r="AD1281" s="26" t="s">
        <v>42</v>
      </c>
      <c r="AE1281" s="27">
        <v>2.5</v>
      </c>
      <c r="AF1281" s="36">
        <v>0.33333333333333331</v>
      </c>
      <c r="AG1281" s="31">
        <v>0</v>
      </c>
      <c r="AH1281" t="s">
        <v>44</v>
      </c>
    </row>
    <row r="1282" spans="1:34">
      <c r="A1282" s="15" t="s">
        <v>1352</v>
      </c>
      <c r="B1282" s="8" t="s">
        <v>1277</v>
      </c>
      <c r="C1282" s="41" t="s">
        <v>37</v>
      </c>
      <c r="D1282" s="1" t="s">
        <v>38</v>
      </c>
      <c r="E1282" s="26" t="s">
        <v>39</v>
      </c>
      <c r="F1282" s="27">
        <v>0.95238095238095233</v>
      </c>
      <c r="G1282" s="33">
        <v>0.33333333333333331</v>
      </c>
      <c r="H1282" s="41" t="s">
        <v>408</v>
      </c>
      <c r="I1282" s="1" t="s">
        <v>409</v>
      </c>
      <c r="J1282" s="26" t="s">
        <v>39</v>
      </c>
      <c r="K1282" s="27">
        <v>0.94339622641509424</v>
      </c>
      <c r="L1282" s="33">
        <v>0.33333333333333331</v>
      </c>
      <c r="M1282" s="41" t="s">
        <v>410</v>
      </c>
      <c r="N1282" s="1" t="s">
        <v>38</v>
      </c>
      <c r="O1282" s="26" t="s">
        <v>42</v>
      </c>
      <c r="P1282" s="27">
        <v>3.2258064516129035</v>
      </c>
      <c r="Q1282" s="33">
        <v>0.33333333333333331</v>
      </c>
      <c r="R1282" s="55" t="s">
        <v>37</v>
      </c>
      <c r="S1282" s="26" t="s">
        <v>38</v>
      </c>
      <c r="T1282" s="26" t="s">
        <v>39</v>
      </c>
      <c r="U1282" s="27">
        <v>0.95238095238095233</v>
      </c>
      <c r="V1282" s="33">
        <v>0.33333333333333331</v>
      </c>
      <c r="W1282" s="26" t="s">
        <v>408</v>
      </c>
      <c r="X1282" s="26" t="s">
        <v>409</v>
      </c>
      <c r="Y1282" s="26" t="s">
        <v>39</v>
      </c>
      <c r="Z1282" s="27">
        <v>0.94339622641509424</v>
      </c>
      <c r="AA1282" s="33">
        <v>0.33333333333333331</v>
      </c>
      <c r="AB1282" s="26" t="s">
        <v>411</v>
      </c>
      <c r="AC1282" s="26" t="s">
        <v>38</v>
      </c>
      <c r="AD1282" s="26" t="s">
        <v>42</v>
      </c>
      <c r="AE1282" s="27">
        <v>2.5</v>
      </c>
      <c r="AF1282" s="36">
        <v>0.33333333333333331</v>
      </c>
      <c r="AG1282" s="31">
        <v>0</v>
      </c>
      <c r="AH1282" t="s">
        <v>44</v>
      </c>
    </row>
    <row r="1283" spans="1:34">
      <c r="A1283" s="15" t="s">
        <v>1353</v>
      </c>
      <c r="B1283" s="8" t="s">
        <v>1277</v>
      </c>
      <c r="C1283" s="41" t="s">
        <v>37</v>
      </c>
      <c r="D1283" s="1" t="s">
        <v>38</v>
      </c>
      <c r="E1283" s="26" t="s">
        <v>39</v>
      </c>
      <c r="F1283" s="27">
        <v>0.95238095238095233</v>
      </c>
      <c r="G1283" s="33">
        <v>0.33333333333333331</v>
      </c>
      <c r="H1283" s="41" t="s">
        <v>408</v>
      </c>
      <c r="I1283" s="1" t="s">
        <v>409</v>
      </c>
      <c r="J1283" s="26" t="s">
        <v>39</v>
      </c>
      <c r="K1283" s="27">
        <v>0.94339622641509424</v>
      </c>
      <c r="L1283" s="33">
        <v>0.33333333333333331</v>
      </c>
      <c r="M1283" s="41" t="s">
        <v>410</v>
      </c>
      <c r="N1283" s="1" t="s">
        <v>38</v>
      </c>
      <c r="O1283" s="26" t="s">
        <v>42</v>
      </c>
      <c r="P1283" s="27">
        <v>3.2258064516129035</v>
      </c>
      <c r="Q1283" s="33">
        <v>0.33333333333333331</v>
      </c>
      <c r="R1283" s="55" t="s">
        <v>37</v>
      </c>
      <c r="S1283" s="26" t="s">
        <v>38</v>
      </c>
      <c r="T1283" s="26" t="s">
        <v>39</v>
      </c>
      <c r="U1283" s="27">
        <v>0.95238095238095233</v>
      </c>
      <c r="V1283" s="33">
        <v>0.33333333333333331</v>
      </c>
      <c r="W1283" s="26" t="s">
        <v>408</v>
      </c>
      <c r="X1283" s="26" t="s">
        <v>409</v>
      </c>
      <c r="Y1283" s="26" t="s">
        <v>39</v>
      </c>
      <c r="Z1283" s="27">
        <v>0.94339622641509424</v>
      </c>
      <c r="AA1283" s="33">
        <v>0.33333333333333331</v>
      </c>
      <c r="AB1283" s="26" t="s">
        <v>411</v>
      </c>
      <c r="AC1283" s="26" t="s">
        <v>38</v>
      </c>
      <c r="AD1283" s="26" t="s">
        <v>42</v>
      </c>
      <c r="AE1283" s="27">
        <v>2.5</v>
      </c>
      <c r="AF1283" s="36">
        <v>0.33333333333333331</v>
      </c>
      <c r="AG1283" s="31">
        <v>0</v>
      </c>
      <c r="AH1283" t="s">
        <v>44</v>
      </c>
    </row>
    <row r="1284" spans="1:34">
      <c r="A1284" s="15" t="s">
        <v>1354</v>
      </c>
      <c r="B1284" s="8" t="s">
        <v>1277</v>
      </c>
      <c r="C1284" s="41" t="s">
        <v>37</v>
      </c>
      <c r="D1284" s="1" t="s">
        <v>38</v>
      </c>
      <c r="E1284" s="26" t="s">
        <v>39</v>
      </c>
      <c r="F1284" s="27">
        <v>0.95238095238095233</v>
      </c>
      <c r="G1284" s="33">
        <v>0.33333333333333331</v>
      </c>
      <c r="H1284" s="41" t="s">
        <v>408</v>
      </c>
      <c r="I1284" s="1" t="s">
        <v>409</v>
      </c>
      <c r="J1284" s="26" t="s">
        <v>39</v>
      </c>
      <c r="K1284" s="27">
        <v>0.94339622641509424</v>
      </c>
      <c r="L1284" s="33">
        <v>0.33333333333333331</v>
      </c>
      <c r="M1284" s="41" t="s">
        <v>410</v>
      </c>
      <c r="N1284" s="1" t="s">
        <v>38</v>
      </c>
      <c r="O1284" s="26" t="s">
        <v>42</v>
      </c>
      <c r="P1284" s="27">
        <v>3.2258064516129035</v>
      </c>
      <c r="Q1284" s="33">
        <v>0.33333333333333331</v>
      </c>
      <c r="R1284" s="55" t="s">
        <v>37</v>
      </c>
      <c r="S1284" s="26" t="s">
        <v>38</v>
      </c>
      <c r="T1284" s="26" t="s">
        <v>39</v>
      </c>
      <c r="U1284" s="27">
        <v>0.95238095238095233</v>
      </c>
      <c r="V1284" s="33">
        <v>0.33333333333333331</v>
      </c>
      <c r="W1284" s="26" t="s">
        <v>408</v>
      </c>
      <c r="X1284" s="26" t="s">
        <v>409</v>
      </c>
      <c r="Y1284" s="26" t="s">
        <v>39</v>
      </c>
      <c r="Z1284" s="27">
        <v>0.94339622641509424</v>
      </c>
      <c r="AA1284" s="33">
        <v>0.33333333333333331</v>
      </c>
      <c r="AB1284" s="26" t="s">
        <v>411</v>
      </c>
      <c r="AC1284" s="26" t="s">
        <v>38</v>
      </c>
      <c r="AD1284" s="26" t="s">
        <v>42</v>
      </c>
      <c r="AE1284" s="27">
        <v>2.5</v>
      </c>
      <c r="AF1284" s="36">
        <v>0.33333333333333331</v>
      </c>
      <c r="AG1284" s="31">
        <v>0</v>
      </c>
      <c r="AH1284" t="s">
        <v>44</v>
      </c>
    </row>
    <row r="1285" spans="1:34">
      <c r="A1285" s="15" t="s">
        <v>1355</v>
      </c>
      <c r="B1285" s="8" t="s">
        <v>1277</v>
      </c>
      <c r="C1285" s="41" t="s">
        <v>37</v>
      </c>
      <c r="D1285" s="1" t="s">
        <v>38</v>
      </c>
      <c r="E1285" s="26" t="s">
        <v>39</v>
      </c>
      <c r="F1285" s="27">
        <v>0.95238095238095233</v>
      </c>
      <c r="G1285" s="33">
        <v>0.33333333333333331</v>
      </c>
      <c r="H1285" s="41" t="s">
        <v>408</v>
      </c>
      <c r="I1285" s="1" t="s">
        <v>409</v>
      </c>
      <c r="J1285" s="26" t="s">
        <v>39</v>
      </c>
      <c r="K1285" s="27">
        <v>0.94339622641509424</v>
      </c>
      <c r="L1285" s="33">
        <v>0.33333333333333331</v>
      </c>
      <c r="M1285" s="41" t="s">
        <v>410</v>
      </c>
      <c r="N1285" s="1" t="s">
        <v>38</v>
      </c>
      <c r="O1285" s="26" t="s">
        <v>42</v>
      </c>
      <c r="P1285" s="27">
        <v>3.2258064516129035</v>
      </c>
      <c r="Q1285" s="33">
        <v>0.33333333333333331</v>
      </c>
      <c r="R1285" s="55" t="s">
        <v>37</v>
      </c>
      <c r="S1285" s="26" t="s">
        <v>38</v>
      </c>
      <c r="T1285" s="26" t="s">
        <v>39</v>
      </c>
      <c r="U1285" s="27">
        <v>0.95238095238095233</v>
      </c>
      <c r="V1285" s="33">
        <v>0.33333333333333331</v>
      </c>
      <c r="W1285" s="26" t="s">
        <v>408</v>
      </c>
      <c r="X1285" s="26" t="s">
        <v>409</v>
      </c>
      <c r="Y1285" s="26" t="s">
        <v>39</v>
      </c>
      <c r="Z1285" s="27">
        <v>0.94339622641509424</v>
      </c>
      <c r="AA1285" s="33">
        <v>0.33333333333333331</v>
      </c>
      <c r="AB1285" s="26" t="s">
        <v>411</v>
      </c>
      <c r="AC1285" s="26" t="s">
        <v>38</v>
      </c>
      <c r="AD1285" s="26" t="s">
        <v>42</v>
      </c>
      <c r="AE1285" s="27">
        <v>2.5</v>
      </c>
      <c r="AF1285" s="36">
        <v>0.33333333333333331</v>
      </c>
      <c r="AG1285" s="31">
        <v>0</v>
      </c>
      <c r="AH1285" t="s">
        <v>44</v>
      </c>
    </row>
    <row r="1286" spans="1:34">
      <c r="A1286" s="15" t="s">
        <v>1356</v>
      </c>
      <c r="B1286" s="8" t="s">
        <v>1277</v>
      </c>
      <c r="C1286" s="41" t="s">
        <v>37</v>
      </c>
      <c r="D1286" s="1" t="s">
        <v>38</v>
      </c>
      <c r="E1286" s="26" t="s">
        <v>39</v>
      </c>
      <c r="F1286" s="27">
        <v>0.95238095238095233</v>
      </c>
      <c r="G1286" s="33">
        <v>0.33333333333333331</v>
      </c>
      <c r="H1286" s="41" t="s">
        <v>408</v>
      </c>
      <c r="I1286" s="1" t="s">
        <v>409</v>
      </c>
      <c r="J1286" s="26" t="s">
        <v>39</v>
      </c>
      <c r="K1286" s="27">
        <v>0.94339622641509424</v>
      </c>
      <c r="L1286" s="33">
        <v>0.33333333333333331</v>
      </c>
      <c r="M1286" s="41" t="s">
        <v>410</v>
      </c>
      <c r="N1286" s="1" t="s">
        <v>38</v>
      </c>
      <c r="O1286" s="26" t="s">
        <v>42</v>
      </c>
      <c r="P1286" s="27">
        <v>3.2258064516129035</v>
      </c>
      <c r="Q1286" s="33">
        <v>0.33333333333333331</v>
      </c>
      <c r="R1286" s="55" t="s">
        <v>37</v>
      </c>
      <c r="S1286" s="26" t="s">
        <v>38</v>
      </c>
      <c r="T1286" s="26" t="s">
        <v>39</v>
      </c>
      <c r="U1286" s="27">
        <v>0.95238095238095233</v>
      </c>
      <c r="V1286" s="33">
        <v>0.33333333333333331</v>
      </c>
      <c r="W1286" s="26" t="s">
        <v>408</v>
      </c>
      <c r="X1286" s="26" t="s">
        <v>409</v>
      </c>
      <c r="Y1286" s="26" t="s">
        <v>39</v>
      </c>
      <c r="Z1286" s="27">
        <v>0.94339622641509424</v>
      </c>
      <c r="AA1286" s="33">
        <v>0.33333333333333331</v>
      </c>
      <c r="AB1286" s="26" t="s">
        <v>411</v>
      </c>
      <c r="AC1286" s="26" t="s">
        <v>38</v>
      </c>
      <c r="AD1286" s="26" t="s">
        <v>42</v>
      </c>
      <c r="AE1286" s="27">
        <v>2.5</v>
      </c>
      <c r="AF1286" s="36">
        <v>0.33333333333333331</v>
      </c>
      <c r="AG1286" s="31">
        <v>0</v>
      </c>
      <c r="AH1286" t="s">
        <v>44</v>
      </c>
    </row>
    <row r="1287" spans="1:34">
      <c r="A1287" s="15" t="s">
        <v>1357</v>
      </c>
      <c r="B1287" s="8" t="s">
        <v>1277</v>
      </c>
      <c r="C1287" s="41" t="s">
        <v>37</v>
      </c>
      <c r="D1287" s="1" t="s">
        <v>38</v>
      </c>
      <c r="E1287" s="26" t="s">
        <v>39</v>
      </c>
      <c r="F1287" s="27">
        <v>0.95238095238095233</v>
      </c>
      <c r="G1287" s="33">
        <v>0.33333333333333331</v>
      </c>
      <c r="H1287" s="41" t="s">
        <v>408</v>
      </c>
      <c r="I1287" s="1" t="s">
        <v>409</v>
      </c>
      <c r="J1287" s="26" t="s">
        <v>39</v>
      </c>
      <c r="K1287" s="27">
        <v>0.94339622641509424</v>
      </c>
      <c r="L1287" s="33">
        <v>0.33333333333333331</v>
      </c>
      <c r="M1287" s="41" t="s">
        <v>410</v>
      </c>
      <c r="N1287" s="1" t="s">
        <v>38</v>
      </c>
      <c r="O1287" s="26" t="s">
        <v>42</v>
      </c>
      <c r="P1287" s="27">
        <v>3.2258064516129035</v>
      </c>
      <c r="Q1287" s="33">
        <v>0.33333333333333331</v>
      </c>
      <c r="R1287" s="55" t="s">
        <v>37</v>
      </c>
      <c r="S1287" s="26" t="s">
        <v>38</v>
      </c>
      <c r="T1287" s="26" t="s">
        <v>39</v>
      </c>
      <c r="U1287" s="27">
        <v>0.95238095238095233</v>
      </c>
      <c r="V1287" s="33">
        <v>0.33333333333333331</v>
      </c>
      <c r="W1287" s="26" t="s">
        <v>408</v>
      </c>
      <c r="X1287" s="26" t="s">
        <v>409</v>
      </c>
      <c r="Y1287" s="26" t="s">
        <v>39</v>
      </c>
      <c r="Z1287" s="27">
        <v>0.94339622641509424</v>
      </c>
      <c r="AA1287" s="33">
        <v>0.33333333333333331</v>
      </c>
      <c r="AB1287" s="26" t="s">
        <v>411</v>
      </c>
      <c r="AC1287" s="26" t="s">
        <v>38</v>
      </c>
      <c r="AD1287" s="26" t="s">
        <v>42</v>
      </c>
      <c r="AE1287" s="27">
        <v>2.5</v>
      </c>
      <c r="AF1287" s="36">
        <v>0.33333333333333331</v>
      </c>
      <c r="AG1287" s="31">
        <v>0</v>
      </c>
      <c r="AH1287" t="s">
        <v>44</v>
      </c>
    </row>
    <row r="1288" spans="1:34">
      <c r="A1288" s="15" t="s">
        <v>1358</v>
      </c>
      <c r="B1288" s="8" t="s">
        <v>1277</v>
      </c>
      <c r="C1288" s="41" t="s">
        <v>37</v>
      </c>
      <c r="D1288" s="1" t="s">
        <v>38</v>
      </c>
      <c r="E1288" s="26" t="s">
        <v>39</v>
      </c>
      <c r="F1288" s="27">
        <v>0.95238095238095233</v>
      </c>
      <c r="G1288" s="33">
        <v>0.33333333333333331</v>
      </c>
      <c r="H1288" s="41" t="s">
        <v>408</v>
      </c>
      <c r="I1288" s="1" t="s">
        <v>409</v>
      </c>
      <c r="J1288" s="26" t="s">
        <v>39</v>
      </c>
      <c r="K1288" s="27">
        <v>0.94339622641509424</v>
      </c>
      <c r="L1288" s="33">
        <v>0.33333333333333331</v>
      </c>
      <c r="M1288" s="41" t="s">
        <v>410</v>
      </c>
      <c r="N1288" s="1" t="s">
        <v>38</v>
      </c>
      <c r="O1288" s="26" t="s">
        <v>42</v>
      </c>
      <c r="P1288" s="27">
        <v>3.2258064516129035</v>
      </c>
      <c r="Q1288" s="33">
        <v>0.33333333333333331</v>
      </c>
      <c r="R1288" s="55" t="s">
        <v>37</v>
      </c>
      <c r="S1288" s="26" t="s">
        <v>38</v>
      </c>
      <c r="T1288" s="26" t="s">
        <v>39</v>
      </c>
      <c r="U1288" s="27">
        <v>0.95238095238095233</v>
      </c>
      <c r="V1288" s="33">
        <v>0.33333333333333331</v>
      </c>
      <c r="W1288" s="26" t="s">
        <v>408</v>
      </c>
      <c r="X1288" s="26" t="s">
        <v>409</v>
      </c>
      <c r="Y1288" s="26" t="s">
        <v>39</v>
      </c>
      <c r="Z1288" s="27">
        <v>0.94339622641509424</v>
      </c>
      <c r="AA1288" s="33">
        <v>0.33333333333333331</v>
      </c>
      <c r="AB1288" s="26" t="s">
        <v>411</v>
      </c>
      <c r="AC1288" s="26" t="s">
        <v>38</v>
      </c>
      <c r="AD1288" s="26" t="s">
        <v>42</v>
      </c>
      <c r="AE1288" s="27">
        <v>2.5</v>
      </c>
      <c r="AF1288" s="36">
        <v>0.33333333333333331</v>
      </c>
      <c r="AG1288" s="31">
        <v>0</v>
      </c>
      <c r="AH1288" t="s">
        <v>44</v>
      </c>
    </row>
    <row r="1289" spans="1:34">
      <c r="A1289" s="15" t="s">
        <v>1359</v>
      </c>
      <c r="B1289" s="8" t="s">
        <v>1277</v>
      </c>
      <c r="C1289" s="41" t="s">
        <v>37</v>
      </c>
      <c r="D1289" s="1" t="s">
        <v>38</v>
      </c>
      <c r="E1289" s="26" t="s">
        <v>39</v>
      </c>
      <c r="F1289" s="27">
        <v>0.95238095238095233</v>
      </c>
      <c r="G1289" s="33">
        <v>0.33333333333333331</v>
      </c>
      <c r="H1289" s="41" t="s">
        <v>408</v>
      </c>
      <c r="I1289" s="1" t="s">
        <v>409</v>
      </c>
      <c r="J1289" s="26" t="s">
        <v>39</v>
      </c>
      <c r="K1289" s="27">
        <v>0.94339622641509424</v>
      </c>
      <c r="L1289" s="33">
        <v>0.33333333333333331</v>
      </c>
      <c r="M1289" s="41" t="s">
        <v>410</v>
      </c>
      <c r="N1289" s="1" t="s">
        <v>38</v>
      </c>
      <c r="O1289" s="26" t="s">
        <v>42</v>
      </c>
      <c r="P1289" s="27">
        <v>3.2258064516129035</v>
      </c>
      <c r="Q1289" s="33">
        <v>0.33333333333333331</v>
      </c>
      <c r="R1289" s="55" t="s">
        <v>37</v>
      </c>
      <c r="S1289" s="26" t="s">
        <v>38</v>
      </c>
      <c r="T1289" s="26" t="s">
        <v>39</v>
      </c>
      <c r="U1289" s="27">
        <v>0.95238095238095233</v>
      </c>
      <c r="V1289" s="33">
        <v>0.33333333333333331</v>
      </c>
      <c r="W1289" s="26" t="s">
        <v>408</v>
      </c>
      <c r="X1289" s="26" t="s">
        <v>409</v>
      </c>
      <c r="Y1289" s="26" t="s">
        <v>39</v>
      </c>
      <c r="Z1289" s="27">
        <v>0.94339622641509424</v>
      </c>
      <c r="AA1289" s="33">
        <v>0.33333333333333331</v>
      </c>
      <c r="AB1289" s="26" t="s">
        <v>411</v>
      </c>
      <c r="AC1289" s="26" t="s">
        <v>38</v>
      </c>
      <c r="AD1289" s="26" t="s">
        <v>42</v>
      </c>
      <c r="AE1289" s="27">
        <v>2.5</v>
      </c>
      <c r="AF1289" s="36">
        <v>0.33333333333333331</v>
      </c>
      <c r="AG1289" s="31">
        <v>0</v>
      </c>
      <c r="AH1289" t="s">
        <v>44</v>
      </c>
    </row>
    <row r="1290" spans="1:34">
      <c r="A1290" s="16" t="s">
        <v>1360</v>
      </c>
      <c r="B1290" s="8" t="s">
        <v>1277</v>
      </c>
      <c r="C1290" s="41" t="s">
        <v>37</v>
      </c>
      <c r="D1290" s="1" t="s">
        <v>38</v>
      </c>
      <c r="E1290" s="26" t="s">
        <v>39</v>
      </c>
      <c r="F1290" s="27">
        <v>0.95238095238095233</v>
      </c>
      <c r="G1290" s="33">
        <v>0.33333333333333331</v>
      </c>
      <c r="H1290" s="41" t="s">
        <v>408</v>
      </c>
      <c r="I1290" s="1" t="s">
        <v>409</v>
      </c>
      <c r="J1290" s="26" t="s">
        <v>39</v>
      </c>
      <c r="K1290" s="27">
        <v>0.94339622641509424</v>
      </c>
      <c r="L1290" s="33">
        <v>0.33333333333333331</v>
      </c>
      <c r="M1290" s="41" t="s">
        <v>410</v>
      </c>
      <c r="N1290" s="1" t="s">
        <v>38</v>
      </c>
      <c r="O1290" s="26" t="s">
        <v>42</v>
      </c>
      <c r="P1290" s="27">
        <v>3.2258064516129035</v>
      </c>
      <c r="Q1290" s="33">
        <v>0.33333333333333331</v>
      </c>
      <c r="R1290" s="55" t="s">
        <v>37</v>
      </c>
      <c r="S1290" s="26" t="s">
        <v>38</v>
      </c>
      <c r="T1290" s="26" t="s">
        <v>39</v>
      </c>
      <c r="U1290" s="27">
        <v>0.95238095238095233</v>
      </c>
      <c r="V1290" s="33">
        <v>0.33333333333333331</v>
      </c>
      <c r="W1290" s="26" t="s">
        <v>408</v>
      </c>
      <c r="X1290" s="26" t="s">
        <v>409</v>
      </c>
      <c r="Y1290" s="26" t="s">
        <v>39</v>
      </c>
      <c r="Z1290" s="27">
        <v>0.94339622641509424</v>
      </c>
      <c r="AA1290" s="33">
        <v>0.33333333333333331</v>
      </c>
      <c r="AB1290" s="26" t="s">
        <v>411</v>
      </c>
      <c r="AC1290" s="26" t="s">
        <v>38</v>
      </c>
      <c r="AD1290" s="26" t="s">
        <v>42</v>
      </c>
      <c r="AE1290" s="27">
        <v>2.5</v>
      </c>
      <c r="AF1290" s="36">
        <v>0.33333333333333331</v>
      </c>
      <c r="AG1290" s="31">
        <v>0</v>
      </c>
      <c r="AH1290" t="s">
        <v>44</v>
      </c>
    </row>
    <row r="1291" spans="1:34" s="6" customFormat="1">
      <c r="A1291" s="15" t="s">
        <v>1361</v>
      </c>
      <c r="B1291" s="9" t="s">
        <v>1362</v>
      </c>
      <c r="C1291" s="45" t="s">
        <v>212</v>
      </c>
      <c r="D1291" s="46" t="s">
        <v>41</v>
      </c>
      <c r="E1291" s="47" t="s">
        <v>39</v>
      </c>
      <c r="F1291" s="48">
        <v>1</v>
      </c>
      <c r="G1291" s="49">
        <v>1</v>
      </c>
      <c r="H1291" s="45"/>
      <c r="I1291" s="46"/>
      <c r="J1291" s="47"/>
      <c r="K1291" s="48"/>
      <c r="L1291" s="48"/>
      <c r="M1291" s="72"/>
      <c r="N1291" s="46"/>
      <c r="O1291" s="47"/>
      <c r="P1291" s="48"/>
      <c r="Q1291" s="49"/>
      <c r="R1291" s="54" t="s">
        <v>212</v>
      </c>
      <c r="S1291" s="47" t="s">
        <v>41</v>
      </c>
      <c r="T1291" s="47" t="s">
        <v>39</v>
      </c>
      <c r="U1291" s="48">
        <v>0.80645161290322587</v>
      </c>
      <c r="V1291" s="49">
        <v>1</v>
      </c>
      <c r="W1291" s="28"/>
      <c r="X1291" s="28"/>
      <c r="Y1291" s="28"/>
      <c r="Z1291" s="29"/>
      <c r="AA1291" s="28"/>
      <c r="AB1291" s="74"/>
      <c r="AC1291" s="28"/>
      <c r="AD1291" s="28"/>
      <c r="AE1291" s="28"/>
      <c r="AF1291" s="39"/>
      <c r="AG1291" s="29">
        <v>1</v>
      </c>
      <c r="AH1291" s="6" t="s">
        <v>73</v>
      </c>
    </row>
    <row r="1292" spans="1:34">
      <c r="A1292" s="15" t="s">
        <v>1363</v>
      </c>
      <c r="B1292" s="8" t="s">
        <v>1362</v>
      </c>
      <c r="C1292" s="41" t="s">
        <v>212</v>
      </c>
      <c r="D1292" s="1" t="s">
        <v>41</v>
      </c>
      <c r="E1292" s="26" t="s">
        <v>39</v>
      </c>
      <c r="F1292" s="27">
        <v>1</v>
      </c>
      <c r="G1292" s="33">
        <v>1</v>
      </c>
      <c r="H1292" s="41"/>
      <c r="I1292" s="1"/>
      <c r="J1292" s="26"/>
      <c r="K1292" s="27"/>
      <c r="L1292" s="27"/>
      <c r="M1292" s="70"/>
      <c r="N1292" s="1"/>
      <c r="O1292" s="26"/>
      <c r="P1292" s="27"/>
      <c r="Q1292" s="33"/>
      <c r="R1292" s="55" t="s">
        <v>212</v>
      </c>
      <c r="S1292" s="26" t="s">
        <v>41</v>
      </c>
      <c r="T1292" s="26" t="s">
        <v>39</v>
      </c>
      <c r="U1292" s="27">
        <v>0.80645161290322587</v>
      </c>
      <c r="V1292" s="33">
        <v>1</v>
      </c>
      <c r="AG1292" s="31">
        <v>1</v>
      </c>
      <c r="AH1292" t="s">
        <v>73</v>
      </c>
    </row>
    <row r="1293" spans="1:34">
      <c r="A1293" s="15" t="s">
        <v>1364</v>
      </c>
      <c r="B1293" s="8" t="s">
        <v>1362</v>
      </c>
      <c r="C1293" s="41" t="s">
        <v>212</v>
      </c>
      <c r="D1293" s="1" t="s">
        <v>41</v>
      </c>
      <c r="E1293" s="26" t="s">
        <v>39</v>
      </c>
      <c r="F1293" s="27">
        <v>1</v>
      </c>
      <c r="G1293" s="33">
        <v>1</v>
      </c>
      <c r="H1293" s="41"/>
      <c r="I1293" s="1"/>
      <c r="J1293" s="26"/>
      <c r="K1293" s="27"/>
      <c r="L1293" s="27"/>
      <c r="M1293" s="70"/>
      <c r="N1293" s="1"/>
      <c r="O1293" s="26"/>
      <c r="P1293" s="27"/>
      <c r="Q1293" s="33"/>
      <c r="R1293" s="55" t="s">
        <v>212</v>
      </c>
      <c r="S1293" s="26" t="s">
        <v>41</v>
      </c>
      <c r="T1293" s="26" t="s">
        <v>39</v>
      </c>
      <c r="U1293" s="27">
        <v>0.80645161290322587</v>
      </c>
      <c r="V1293" s="33">
        <v>1</v>
      </c>
      <c r="AG1293" s="31">
        <v>1</v>
      </c>
      <c r="AH1293" t="s">
        <v>73</v>
      </c>
    </row>
    <row r="1294" spans="1:34">
      <c r="A1294" s="15" t="s">
        <v>1365</v>
      </c>
      <c r="B1294" s="8" t="s">
        <v>1362</v>
      </c>
      <c r="C1294" s="41" t="s">
        <v>212</v>
      </c>
      <c r="D1294" s="1" t="s">
        <v>41</v>
      </c>
      <c r="E1294" s="26" t="s">
        <v>39</v>
      </c>
      <c r="F1294" s="27">
        <v>1</v>
      </c>
      <c r="G1294" s="33">
        <v>1</v>
      </c>
      <c r="H1294" s="41"/>
      <c r="I1294" s="1"/>
      <c r="J1294" s="26"/>
      <c r="K1294" s="27"/>
      <c r="L1294" s="27"/>
      <c r="M1294" s="70"/>
      <c r="N1294" s="1"/>
      <c r="O1294" s="26"/>
      <c r="P1294" s="27"/>
      <c r="Q1294" s="33"/>
      <c r="R1294" s="55" t="s">
        <v>212</v>
      </c>
      <c r="S1294" s="26" t="s">
        <v>41</v>
      </c>
      <c r="T1294" s="26" t="s">
        <v>39</v>
      </c>
      <c r="U1294" s="27">
        <v>0.80645161290322587</v>
      </c>
      <c r="V1294" s="33">
        <v>1</v>
      </c>
      <c r="AG1294" s="31">
        <v>1</v>
      </c>
      <c r="AH1294" t="s">
        <v>73</v>
      </c>
    </row>
    <row r="1295" spans="1:34">
      <c r="A1295" s="15" t="s">
        <v>1366</v>
      </c>
      <c r="B1295" s="8" t="s">
        <v>1362</v>
      </c>
      <c r="C1295" s="41" t="s">
        <v>212</v>
      </c>
      <c r="D1295" s="1" t="s">
        <v>41</v>
      </c>
      <c r="E1295" s="26" t="s">
        <v>39</v>
      </c>
      <c r="F1295" s="27">
        <v>1</v>
      </c>
      <c r="G1295" s="33">
        <v>1</v>
      </c>
      <c r="H1295" s="41"/>
      <c r="I1295" s="1"/>
      <c r="J1295" s="26"/>
      <c r="K1295" s="27"/>
      <c r="L1295" s="27"/>
      <c r="M1295" s="70"/>
      <c r="N1295" s="1"/>
      <c r="O1295" s="26"/>
      <c r="P1295" s="27"/>
      <c r="Q1295" s="33"/>
      <c r="R1295" s="55" t="s">
        <v>212</v>
      </c>
      <c r="S1295" s="26" t="s">
        <v>41</v>
      </c>
      <c r="T1295" s="26" t="s">
        <v>39</v>
      </c>
      <c r="U1295" s="27">
        <v>0.80645161290322587</v>
      </c>
      <c r="V1295" s="33">
        <v>1</v>
      </c>
      <c r="AG1295" s="31">
        <v>1</v>
      </c>
      <c r="AH1295" t="s">
        <v>73</v>
      </c>
    </row>
    <row r="1296" spans="1:34">
      <c r="A1296" s="15" t="s">
        <v>1367</v>
      </c>
      <c r="B1296" s="8" t="s">
        <v>1362</v>
      </c>
      <c r="C1296" s="41" t="s">
        <v>212</v>
      </c>
      <c r="D1296" s="1" t="s">
        <v>41</v>
      </c>
      <c r="E1296" s="26" t="s">
        <v>39</v>
      </c>
      <c r="F1296" s="27">
        <v>1</v>
      </c>
      <c r="G1296" s="33">
        <v>1</v>
      </c>
      <c r="H1296" s="41"/>
      <c r="I1296" s="1"/>
      <c r="J1296" s="26"/>
      <c r="K1296" s="27"/>
      <c r="L1296" s="27"/>
      <c r="M1296" s="70"/>
      <c r="N1296" s="1"/>
      <c r="O1296" s="26"/>
      <c r="P1296" s="27"/>
      <c r="Q1296" s="33"/>
      <c r="R1296" s="55" t="s">
        <v>212</v>
      </c>
      <c r="S1296" s="26" t="s">
        <v>41</v>
      </c>
      <c r="T1296" s="26" t="s">
        <v>39</v>
      </c>
      <c r="U1296" s="27">
        <v>0.80645161290322587</v>
      </c>
      <c r="V1296" s="33">
        <v>1</v>
      </c>
      <c r="AG1296" s="31">
        <v>1</v>
      </c>
      <c r="AH1296" t="s">
        <v>73</v>
      </c>
    </row>
    <row r="1297" spans="1:34">
      <c r="A1297" s="15" t="s">
        <v>1368</v>
      </c>
      <c r="B1297" s="8" t="s">
        <v>1362</v>
      </c>
      <c r="C1297" s="41" t="s">
        <v>212</v>
      </c>
      <c r="D1297" s="1" t="s">
        <v>41</v>
      </c>
      <c r="E1297" s="26" t="s">
        <v>39</v>
      </c>
      <c r="F1297" s="27">
        <v>1</v>
      </c>
      <c r="G1297" s="33">
        <v>1</v>
      </c>
      <c r="H1297" s="41"/>
      <c r="I1297" s="1"/>
      <c r="J1297" s="26"/>
      <c r="K1297" s="27"/>
      <c r="L1297" s="27"/>
      <c r="M1297" s="70"/>
      <c r="N1297" s="1"/>
      <c r="O1297" s="26"/>
      <c r="P1297" s="27"/>
      <c r="Q1297" s="33"/>
      <c r="R1297" s="55" t="s">
        <v>212</v>
      </c>
      <c r="S1297" s="26" t="s">
        <v>41</v>
      </c>
      <c r="T1297" s="26" t="s">
        <v>39</v>
      </c>
      <c r="U1297" s="27">
        <v>0.80645161290322587</v>
      </c>
      <c r="V1297" s="33">
        <v>1</v>
      </c>
      <c r="AG1297" s="31">
        <v>1</v>
      </c>
      <c r="AH1297" t="s">
        <v>73</v>
      </c>
    </row>
    <row r="1298" spans="1:34">
      <c r="A1298" s="15" t="s">
        <v>1369</v>
      </c>
      <c r="B1298" s="8" t="s">
        <v>1362</v>
      </c>
      <c r="C1298" s="41" t="s">
        <v>212</v>
      </c>
      <c r="D1298" s="1" t="s">
        <v>41</v>
      </c>
      <c r="E1298" s="26" t="s">
        <v>39</v>
      </c>
      <c r="F1298" s="27">
        <v>1</v>
      </c>
      <c r="G1298" s="33">
        <v>1</v>
      </c>
      <c r="H1298" s="41"/>
      <c r="I1298" s="1"/>
      <c r="J1298" s="26"/>
      <c r="K1298" s="27"/>
      <c r="L1298" s="27"/>
      <c r="M1298" s="70"/>
      <c r="N1298" s="1"/>
      <c r="O1298" s="26"/>
      <c r="P1298" s="27"/>
      <c r="Q1298" s="33"/>
      <c r="R1298" s="55" t="s">
        <v>212</v>
      </c>
      <c r="S1298" s="26" t="s">
        <v>41</v>
      </c>
      <c r="T1298" s="26" t="s">
        <v>39</v>
      </c>
      <c r="U1298" s="27">
        <v>0.80645161290322587</v>
      </c>
      <c r="V1298" s="33">
        <v>1</v>
      </c>
      <c r="AG1298" s="31">
        <v>1</v>
      </c>
      <c r="AH1298" t="s">
        <v>73</v>
      </c>
    </row>
    <row r="1299" spans="1:34">
      <c r="A1299" s="15" t="s">
        <v>1370</v>
      </c>
      <c r="B1299" s="8" t="s">
        <v>1362</v>
      </c>
      <c r="C1299" s="41" t="s">
        <v>212</v>
      </c>
      <c r="D1299" s="1" t="s">
        <v>41</v>
      </c>
      <c r="E1299" s="26" t="s">
        <v>39</v>
      </c>
      <c r="F1299" s="27">
        <v>1</v>
      </c>
      <c r="G1299" s="33">
        <v>1</v>
      </c>
      <c r="H1299" s="41"/>
      <c r="I1299" s="1"/>
      <c r="J1299" s="26"/>
      <c r="K1299" s="27"/>
      <c r="L1299" s="27"/>
      <c r="M1299" s="70"/>
      <c r="N1299" s="1"/>
      <c r="O1299" s="26"/>
      <c r="P1299" s="27"/>
      <c r="Q1299" s="33"/>
      <c r="R1299" s="55" t="s">
        <v>212</v>
      </c>
      <c r="S1299" s="26" t="s">
        <v>41</v>
      </c>
      <c r="T1299" s="26" t="s">
        <v>39</v>
      </c>
      <c r="U1299" s="27">
        <v>0.80645161290322587</v>
      </c>
      <c r="V1299" s="33">
        <v>1</v>
      </c>
      <c r="AG1299" s="31">
        <v>1</v>
      </c>
      <c r="AH1299" t="s">
        <v>73</v>
      </c>
    </row>
    <row r="1300" spans="1:34">
      <c r="A1300" s="15" t="s">
        <v>1371</v>
      </c>
      <c r="B1300" s="8" t="s">
        <v>1362</v>
      </c>
      <c r="C1300" s="41" t="s">
        <v>212</v>
      </c>
      <c r="D1300" s="1" t="s">
        <v>41</v>
      </c>
      <c r="E1300" s="26" t="s">
        <v>39</v>
      </c>
      <c r="F1300" s="27">
        <v>1</v>
      </c>
      <c r="G1300" s="33">
        <v>1</v>
      </c>
      <c r="H1300" s="41"/>
      <c r="I1300" s="1"/>
      <c r="J1300" s="26"/>
      <c r="K1300" s="27"/>
      <c r="L1300" s="27"/>
      <c r="M1300" s="70"/>
      <c r="N1300" s="1"/>
      <c r="O1300" s="26"/>
      <c r="P1300" s="27"/>
      <c r="Q1300" s="33"/>
      <c r="R1300" s="55" t="s">
        <v>212</v>
      </c>
      <c r="S1300" s="26" t="s">
        <v>41</v>
      </c>
      <c r="T1300" s="26" t="s">
        <v>39</v>
      </c>
      <c r="U1300" s="27">
        <v>0.80645161290322587</v>
      </c>
      <c r="V1300" s="33">
        <v>1</v>
      </c>
      <c r="AG1300" s="31">
        <v>1</v>
      </c>
      <c r="AH1300" t="s">
        <v>73</v>
      </c>
    </row>
    <row r="1301" spans="1:34">
      <c r="A1301" s="15" t="s">
        <v>1372</v>
      </c>
      <c r="B1301" s="8" t="s">
        <v>1362</v>
      </c>
      <c r="C1301" s="41" t="s">
        <v>212</v>
      </c>
      <c r="D1301" s="1" t="s">
        <v>41</v>
      </c>
      <c r="E1301" s="26" t="s">
        <v>39</v>
      </c>
      <c r="F1301" s="27">
        <v>1</v>
      </c>
      <c r="G1301" s="33">
        <v>1</v>
      </c>
      <c r="H1301" s="41"/>
      <c r="I1301" s="1"/>
      <c r="J1301" s="26"/>
      <c r="K1301" s="27"/>
      <c r="L1301" s="27"/>
      <c r="M1301" s="70"/>
      <c r="N1301" s="1"/>
      <c r="O1301" s="26"/>
      <c r="P1301" s="27"/>
      <c r="Q1301" s="33"/>
      <c r="R1301" s="55" t="s">
        <v>212</v>
      </c>
      <c r="S1301" s="26" t="s">
        <v>41</v>
      </c>
      <c r="T1301" s="26" t="s">
        <v>39</v>
      </c>
      <c r="U1301" s="27">
        <v>0.80645161290322587</v>
      </c>
      <c r="V1301" s="33">
        <v>1</v>
      </c>
      <c r="AG1301" s="31">
        <v>1</v>
      </c>
      <c r="AH1301" t="s">
        <v>73</v>
      </c>
    </row>
    <row r="1302" spans="1:34">
      <c r="A1302" s="15" t="s">
        <v>1373</v>
      </c>
      <c r="B1302" s="8" t="s">
        <v>1362</v>
      </c>
      <c r="C1302" s="41" t="s">
        <v>212</v>
      </c>
      <c r="D1302" s="1" t="s">
        <v>41</v>
      </c>
      <c r="E1302" s="26" t="s">
        <v>39</v>
      </c>
      <c r="F1302" s="27">
        <v>1</v>
      </c>
      <c r="G1302" s="33">
        <v>1</v>
      </c>
      <c r="H1302" s="41"/>
      <c r="I1302" s="1"/>
      <c r="J1302" s="26"/>
      <c r="K1302" s="27"/>
      <c r="L1302" s="27"/>
      <c r="M1302" s="70"/>
      <c r="N1302" s="1"/>
      <c r="O1302" s="26"/>
      <c r="P1302" s="27"/>
      <c r="Q1302" s="33"/>
      <c r="R1302" s="55" t="s">
        <v>212</v>
      </c>
      <c r="S1302" s="26" t="s">
        <v>41</v>
      </c>
      <c r="T1302" s="26" t="s">
        <v>39</v>
      </c>
      <c r="U1302" s="27">
        <v>0.80645161290322587</v>
      </c>
      <c r="V1302" s="33">
        <v>1</v>
      </c>
      <c r="AG1302" s="31">
        <v>1</v>
      </c>
      <c r="AH1302" t="s">
        <v>73</v>
      </c>
    </row>
    <row r="1303" spans="1:34">
      <c r="A1303" s="15" t="s">
        <v>1374</v>
      </c>
      <c r="B1303" s="8" t="s">
        <v>1362</v>
      </c>
      <c r="C1303" s="41" t="s">
        <v>212</v>
      </c>
      <c r="D1303" s="1" t="s">
        <v>41</v>
      </c>
      <c r="E1303" s="26" t="s">
        <v>39</v>
      </c>
      <c r="F1303" s="27">
        <v>1</v>
      </c>
      <c r="G1303" s="33">
        <v>1</v>
      </c>
      <c r="H1303" s="41"/>
      <c r="I1303" s="1"/>
      <c r="J1303" s="26"/>
      <c r="K1303" s="27"/>
      <c r="L1303" s="27"/>
      <c r="M1303" s="70"/>
      <c r="N1303" s="1"/>
      <c r="O1303" s="26"/>
      <c r="P1303" s="27"/>
      <c r="Q1303" s="33"/>
      <c r="R1303" s="55" t="s">
        <v>212</v>
      </c>
      <c r="S1303" s="26" t="s">
        <v>41</v>
      </c>
      <c r="T1303" s="26" t="s">
        <v>39</v>
      </c>
      <c r="U1303" s="27">
        <v>0.80645161290322587</v>
      </c>
      <c r="V1303" s="33">
        <v>1</v>
      </c>
      <c r="AG1303" s="31">
        <v>1</v>
      </c>
      <c r="AH1303" t="s">
        <v>73</v>
      </c>
    </row>
    <row r="1304" spans="1:34">
      <c r="A1304" s="15" t="s">
        <v>1375</v>
      </c>
      <c r="B1304" s="8" t="s">
        <v>1362</v>
      </c>
      <c r="C1304" s="41" t="s">
        <v>212</v>
      </c>
      <c r="D1304" s="1" t="s">
        <v>41</v>
      </c>
      <c r="E1304" s="26" t="s">
        <v>39</v>
      </c>
      <c r="F1304" s="27">
        <v>1</v>
      </c>
      <c r="G1304" s="33">
        <v>1</v>
      </c>
      <c r="H1304" s="41"/>
      <c r="I1304" s="1"/>
      <c r="J1304" s="26"/>
      <c r="K1304" s="27"/>
      <c r="L1304" s="27"/>
      <c r="M1304" s="70"/>
      <c r="N1304" s="1"/>
      <c r="O1304" s="26"/>
      <c r="P1304" s="27"/>
      <c r="Q1304" s="33"/>
      <c r="R1304" s="55" t="s">
        <v>212</v>
      </c>
      <c r="S1304" s="26" t="s">
        <v>41</v>
      </c>
      <c r="T1304" s="26" t="s">
        <v>39</v>
      </c>
      <c r="U1304" s="27">
        <v>0.80645161290322587</v>
      </c>
      <c r="V1304" s="33">
        <v>1</v>
      </c>
      <c r="AG1304" s="31">
        <v>1</v>
      </c>
      <c r="AH1304" t="s">
        <v>73</v>
      </c>
    </row>
    <row r="1305" spans="1:34">
      <c r="A1305" s="15" t="s">
        <v>1376</v>
      </c>
      <c r="B1305" s="8" t="s">
        <v>1362</v>
      </c>
      <c r="C1305" s="41" t="s">
        <v>37</v>
      </c>
      <c r="D1305" s="1" t="s">
        <v>38</v>
      </c>
      <c r="E1305" s="26" t="s">
        <v>39</v>
      </c>
      <c r="F1305" s="27">
        <v>1</v>
      </c>
      <c r="G1305" s="27">
        <v>0.5</v>
      </c>
      <c r="H1305" s="41" t="s">
        <v>227</v>
      </c>
      <c r="I1305" s="26" t="s">
        <v>41</v>
      </c>
      <c r="J1305" s="26" t="s">
        <v>42</v>
      </c>
      <c r="K1305" s="27">
        <v>0.94339622641509424</v>
      </c>
      <c r="L1305" s="27">
        <v>0.5</v>
      </c>
      <c r="M1305" s="70"/>
      <c r="N1305" s="26"/>
      <c r="O1305" s="26"/>
      <c r="P1305" s="27"/>
      <c r="Q1305" s="33"/>
      <c r="R1305" s="55" t="s">
        <v>212</v>
      </c>
      <c r="S1305" s="26" t="s">
        <v>41</v>
      </c>
      <c r="T1305" s="26" t="s">
        <v>39</v>
      </c>
      <c r="U1305" s="27">
        <v>0.80645161290322587</v>
      </c>
      <c r="V1305" s="33">
        <v>1</v>
      </c>
      <c r="AG1305" s="31">
        <v>1</v>
      </c>
      <c r="AH1305" t="s">
        <v>73</v>
      </c>
    </row>
    <row r="1306" spans="1:34">
      <c r="A1306" s="15" t="s">
        <v>1377</v>
      </c>
      <c r="B1306" s="8" t="s">
        <v>1362</v>
      </c>
      <c r="C1306" s="41" t="s">
        <v>37</v>
      </c>
      <c r="D1306" s="1" t="s">
        <v>38</v>
      </c>
      <c r="E1306" s="26" t="s">
        <v>39</v>
      </c>
      <c r="F1306" s="27">
        <v>1</v>
      </c>
      <c r="G1306" s="27">
        <v>0.5</v>
      </c>
      <c r="H1306" s="41" t="s">
        <v>227</v>
      </c>
      <c r="I1306" s="26" t="s">
        <v>41</v>
      </c>
      <c r="J1306" s="26" t="s">
        <v>42</v>
      </c>
      <c r="K1306" s="27">
        <v>0.94339622641509424</v>
      </c>
      <c r="L1306" s="27">
        <v>0.5</v>
      </c>
      <c r="M1306" s="70"/>
      <c r="N1306" s="26"/>
      <c r="O1306" s="26"/>
      <c r="P1306" s="27"/>
      <c r="Q1306" s="33"/>
      <c r="R1306" s="55" t="s">
        <v>212</v>
      </c>
      <c r="S1306" s="26" t="s">
        <v>41</v>
      </c>
      <c r="T1306" s="26" t="s">
        <v>39</v>
      </c>
      <c r="U1306" s="27">
        <v>0.80645161290322587</v>
      </c>
      <c r="V1306" s="33">
        <v>1</v>
      </c>
      <c r="AG1306" s="31">
        <v>1</v>
      </c>
      <c r="AH1306" t="s">
        <v>73</v>
      </c>
    </row>
    <row r="1307" spans="1:34">
      <c r="A1307" s="15" t="s">
        <v>1378</v>
      </c>
      <c r="B1307" s="8" t="s">
        <v>1362</v>
      </c>
      <c r="C1307" s="41" t="s">
        <v>37</v>
      </c>
      <c r="D1307" s="1" t="s">
        <v>38</v>
      </c>
      <c r="E1307" s="26" t="s">
        <v>39</v>
      </c>
      <c r="F1307" s="27">
        <v>1</v>
      </c>
      <c r="G1307" s="27">
        <v>0.5</v>
      </c>
      <c r="H1307" s="41" t="s">
        <v>227</v>
      </c>
      <c r="I1307" s="26" t="s">
        <v>41</v>
      </c>
      <c r="J1307" s="26" t="s">
        <v>42</v>
      </c>
      <c r="K1307" s="27">
        <v>0.94339622641509424</v>
      </c>
      <c r="L1307" s="27">
        <v>0.5</v>
      </c>
      <c r="M1307" s="70"/>
      <c r="N1307" s="26"/>
      <c r="O1307" s="26"/>
      <c r="P1307" s="27"/>
      <c r="Q1307" s="33"/>
      <c r="R1307" s="55" t="s">
        <v>212</v>
      </c>
      <c r="S1307" s="26" t="s">
        <v>41</v>
      </c>
      <c r="T1307" s="26" t="s">
        <v>39</v>
      </c>
      <c r="U1307" s="27">
        <v>0.80645161290322587</v>
      </c>
      <c r="V1307" s="33">
        <v>1</v>
      </c>
      <c r="AG1307" s="31">
        <v>1</v>
      </c>
      <c r="AH1307" t="s">
        <v>73</v>
      </c>
    </row>
    <row r="1308" spans="1:34">
      <c r="A1308" s="15" t="s">
        <v>1379</v>
      </c>
      <c r="B1308" s="8" t="s">
        <v>1362</v>
      </c>
      <c r="C1308" s="41" t="s">
        <v>37</v>
      </c>
      <c r="D1308" s="1" t="s">
        <v>38</v>
      </c>
      <c r="E1308" s="26" t="s">
        <v>39</v>
      </c>
      <c r="F1308" s="27">
        <v>1</v>
      </c>
      <c r="G1308" s="27">
        <v>0.5</v>
      </c>
      <c r="H1308" s="41" t="s">
        <v>227</v>
      </c>
      <c r="I1308" s="26" t="s">
        <v>41</v>
      </c>
      <c r="J1308" s="26" t="s">
        <v>42</v>
      </c>
      <c r="K1308" s="27">
        <v>0.94339622641509424</v>
      </c>
      <c r="L1308" s="27">
        <v>0.5</v>
      </c>
      <c r="M1308" s="70"/>
      <c r="N1308" s="26"/>
      <c r="O1308" s="26"/>
      <c r="P1308" s="27"/>
      <c r="Q1308" s="33"/>
      <c r="R1308" s="55" t="s">
        <v>212</v>
      </c>
      <c r="S1308" s="26" t="s">
        <v>41</v>
      </c>
      <c r="T1308" s="26" t="s">
        <v>39</v>
      </c>
      <c r="U1308" s="27">
        <v>0.80645161290322587</v>
      </c>
      <c r="V1308" s="33">
        <v>1</v>
      </c>
      <c r="AG1308" s="31">
        <v>1</v>
      </c>
      <c r="AH1308" t="s">
        <v>73</v>
      </c>
    </row>
    <row r="1309" spans="1:34">
      <c r="A1309" s="15" t="s">
        <v>1380</v>
      </c>
      <c r="B1309" s="8" t="s">
        <v>1362</v>
      </c>
      <c r="C1309" s="41" t="s">
        <v>37</v>
      </c>
      <c r="D1309" s="1" t="s">
        <v>38</v>
      </c>
      <c r="E1309" s="26" t="s">
        <v>39</v>
      </c>
      <c r="F1309" s="27">
        <v>1</v>
      </c>
      <c r="G1309" s="27">
        <v>0.5</v>
      </c>
      <c r="H1309" s="41" t="s">
        <v>227</v>
      </c>
      <c r="I1309" s="26" t="s">
        <v>41</v>
      </c>
      <c r="J1309" s="26" t="s">
        <v>42</v>
      </c>
      <c r="K1309" s="27">
        <v>0.94339622641509424</v>
      </c>
      <c r="L1309" s="27">
        <v>0.5</v>
      </c>
      <c r="M1309" s="70"/>
      <c r="N1309" s="26"/>
      <c r="O1309" s="26"/>
      <c r="P1309" s="27"/>
      <c r="Q1309" s="33"/>
      <c r="R1309" s="55" t="s">
        <v>212</v>
      </c>
      <c r="S1309" s="26" t="s">
        <v>41</v>
      </c>
      <c r="T1309" s="26" t="s">
        <v>39</v>
      </c>
      <c r="U1309" s="27">
        <v>0.80645161290322587</v>
      </c>
      <c r="V1309" s="33">
        <v>1</v>
      </c>
      <c r="AG1309" s="31">
        <v>1</v>
      </c>
      <c r="AH1309" t="s">
        <v>73</v>
      </c>
    </row>
    <row r="1310" spans="1:34">
      <c r="A1310" s="15" t="s">
        <v>1381</v>
      </c>
      <c r="B1310" s="8" t="s">
        <v>1362</v>
      </c>
      <c r="C1310" s="41" t="s">
        <v>37</v>
      </c>
      <c r="D1310" s="1" t="s">
        <v>38</v>
      </c>
      <c r="E1310" s="26" t="s">
        <v>39</v>
      </c>
      <c r="F1310" s="27">
        <v>1</v>
      </c>
      <c r="G1310" s="27">
        <v>0.5</v>
      </c>
      <c r="H1310" s="41" t="s">
        <v>227</v>
      </c>
      <c r="I1310" s="26" t="s">
        <v>41</v>
      </c>
      <c r="J1310" s="26" t="s">
        <v>42</v>
      </c>
      <c r="K1310" s="27">
        <v>0.94339622641509424</v>
      </c>
      <c r="L1310" s="27">
        <v>0.5</v>
      </c>
      <c r="M1310" s="70"/>
      <c r="N1310" s="26"/>
      <c r="O1310" s="26"/>
      <c r="P1310" s="27"/>
      <c r="Q1310" s="33"/>
      <c r="R1310" s="55" t="s">
        <v>212</v>
      </c>
      <c r="S1310" s="26" t="s">
        <v>41</v>
      </c>
      <c r="T1310" s="26" t="s">
        <v>39</v>
      </c>
      <c r="U1310" s="27">
        <v>0.80645161290322587</v>
      </c>
      <c r="V1310" s="33">
        <v>1</v>
      </c>
      <c r="AG1310" s="31">
        <v>1</v>
      </c>
      <c r="AH1310" t="s">
        <v>73</v>
      </c>
    </row>
    <row r="1311" spans="1:34">
      <c r="A1311" s="15" t="s">
        <v>1382</v>
      </c>
      <c r="B1311" s="8" t="s">
        <v>1362</v>
      </c>
      <c r="C1311" s="41" t="s">
        <v>37</v>
      </c>
      <c r="D1311" s="1" t="s">
        <v>38</v>
      </c>
      <c r="E1311" s="26" t="s">
        <v>39</v>
      </c>
      <c r="F1311" s="27">
        <v>1</v>
      </c>
      <c r="G1311" s="27">
        <v>0.5</v>
      </c>
      <c r="H1311" s="41" t="s">
        <v>227</v>
      </c>
      <c r="I1311" s="26" t="s">
        <v>41</v>
      </c>
      <c r="J1311" s="26" t="s">
        <v>42</v>
      </c>
      <c r="K1311" s="27">
        <v>0.94339622641509424</v>
      </c>
      <c r="L1311" s="27">
        <v>0.5</v>
      </c>
      <c r="M1311" s="70"/>
      <c r="N1311" s="26"/>
      <c r="O1311" s="26"/>
      <c r="P1311" s="27"/>
      <c r="Q1311" s="33"/>
      <c r="R1311" s="55" t="s">
        <v>212</v>
      </c>
      <c r="S1311" s="26" t="s">
        <v>41</v>
      </c>
      <c r="T1311" s="26" t="s">
        <v>39</v>
      </c>
      <c r="U1311" s="27">
        <v>0.80645161290322587</v>
      </c>
      <c r="V1311" s="33">
        <v>1</v>
      </c>
      <c r="AG1311" s="31">
        <v>1</v>
      </c>
      <c r="AH1311" t="s">
        <v>73</v>
      </c>
    </row>
    <row r="1312" spans="1:34">
      <c r="A1312" s="15" t="s">
        <v>1383</v>
      </c>
      <c r="B1312" s="8" t="s">
        <v>1362</v>
      </c>
      <c r="C1312" s="41" t="s">
        <v>37</v>
      </c>
      <c r="D1312" s="1" t="s">
        <v>38</v>
      </c>
      <c r="E1312" s="26" t="s">
        <v>39</v>
      </c>
      <c r="F1312" s="27">
        <v>1</v>
      </c>
      <c r="G1312" s="27">
        <v>0.5</v>
      </c>
      <c r="H1312" s="41" t="s">
        <v>227</v>
      </c>
      <c r="I1312" s="26" t="s">
        <v>41</v>
      </c>
      <c r="J1312" s="26" t="s">
        <v>42</v>
      </c>
      <c r="K1312" s="27">
        <v>0.94339622641509424</v>
      </c>
      <c r="L1312" s="27">
        <v>0.5</v>
      </c>
      <c r="M1312" s="70"/>
      <c r="N1312" s="26"/>
      <c r="O1312" s="26"/>
      <c r="P1312" s="27"/>
      <c r="Q1312" s="33"/>
      <c r="R1312" s="55" t="s">
        <v>212</v>
      </c>
      <c r="S1312" s="26" t="s">
        <v>41</v>
      </c>
      <c r="T1312" s="26" t="s">
        <v>39</v>
      </c>
      <c r="U1312" s="27">
        <v>0.80645161290322587</v>
      </c>
      <c r="V1312" s="33">
        <v>1</v>
      </c>
      <c r="AG1312" s="31">
        <v>1</v>
      </c>
      <c r="AH1312" t="s">
        <v>73</v>
      </c>
    </row>
    <row r="1313" spans="1:34">
      <c r="A1313" s="15" t="s">
        <v>1384</v>
      </c>
      <c r="B1313" s="8" t="s">
        <v>1362</v>
      </c>
      <c r="C1313" s="41" t="s">
        <v>37</v>
      </c>
      <c r="D1313" s="1" t="s">
        <v>38</v>
      </c>
      <c r="E1313" s="26" t="s">
        <v>39</v>
      </c>
      <c r="F1313" s="27">
        <v>1</v>
      </c>
      <c r="G1313" s="27">
        <v>0.5</v>
      </c>
      <c r="H1313" s="41" t="s">
        <v>227</v>
      </c>
      <c r="I1313" s="26" t="s">
        <v>41</v>
      </c>
      <c r="J1313" s="26" t="s">
        <v>42</v>
      </c>
      <c r="K1313" s="27">
        <v>0.94339622641509424</v>
      </c>
      <c r="L1313" s="27">
        <v>0.5</v>
      </c>
      <c r="M1313" s="70"/>
      <c r="N1313" s="26"/>
      <c r="O1313" s="26"/>
      <c r="P1313" s="27"/>
      <c r="Q1313" s="33"/>
      <c r="R1313" s="55" t="s">
        <v>212</v>
      </c>
      <c r="S1313" s="26" t="s">
        <v>41</v>
      </c>
      <c r="T1313" s="26" t="s">
        <v>39</v>
      </c>
      <c r="U1313" s="27">
        <v>0.80645161290322587</v>
      </c>
      <c r="V1313" s="33">
        <v>1</v>
      </c>
      <c r="AG1313" s="31">
        <v>1</v>
      </c>
      <c r="AH1313" t="s">
        <v>73</v>
      </c>
    </row>
    <row r="1314" spans="1:34">
      <c r="A1314" s="15" t="s">
        <v>1385</v>
      </c>
      <c r="B1314" s="8" t="s">
        <v>1362</v>
      </c>
      <c r="C1314" s="41" t="s">
        <v>37</v>
      </c>
      <c r="D1314" s="1" t="s">
        <v>38</v>
      </c>
      <c r="E1314" s="26" t="s">
        <v>39</v>
      </c>
      <c r="F1314" s="27">
        <v>1</v>
      </c>
      <c r="G1314" s="27">
        <v>0.5</v>
      </c>
      <c r="H1314" s="41" t="s">
        <v>227</v>
      </c>
      <c r="I1314" s="26" t="s">
        <v>41</v>
      </c>
      <c r="J1314" s="26" t="s">
        <v>42</v>
      </c>
      <c r="K1314" s="27">
        <v>0.94339622641509424</v>
      </c>
      <c r="L1314" s="27">
        <v>0.5</v>
      </c>
      <c r="M1314" s="70"/>
      <c r="N1314" s="26"/>
      <c r="O1314" s="26"/>
      <c r="P1314" s="27"/>
      <c r="Q1314" s="33"/>
      <c r="R1314" s="55" t="s">
        <v>212</v>
      </c>
      <c r="S1314" s="26" t="s">
        <v>41</v>
      </c>
      <c r="T1314" s="26" t="s">
        <v>39</v>
      </c>
      <c r="U1314" s="27">
        <v>0.80645161290322587</v>
      </c>
      <c r="V1314" s="33">
        <v>1</v>
      </c>
      <c r="AG1314" s="31">
        <v>1</v>
      </c>
      <c r="AH1314" t="s">
        <v>73</v>
      </c>
    </row>
    <row r="1315" spans="1:34">
      <c r="A1315" s="15" t="s">
        <v>1386</v>
      </c>
      <c r="B1315" s="8" t="s">
        <v>1362</v>
      </c>
      <c r="C1315" s="41" t="s">
        <v>37</v>
      </c>
      <c r="D1315" s="1" t="s">
        <v>38</v>
      </c>
      <c r="E1315" s="26" t="s">
        <v>39</v>
      </c>
      <c r="F1315" s="27">
        <v>1</v>
      </c>
      <c r="G1315" s="27">
        <v>0.5</v>
      </c>
      <c r="H1315" s="41" t="s">
        <v>227</v>
      </c>
      <c r="I1315" s="26" t="s">
        <v>41</v>
      </c>
      <c r="J1315" s="26" t="s">
        <v>42</v>
      </c>
      <c r="K1315" s="27">
        <v>0.94339622641509424</v>
      </c>
      <c r="L1315" s="27">
        <v>0.5</v>
      </c>
      <c r="M1315" s="70"/>
      <c r="N1315" s="26"/>
      <c r="O1315" s="26"/>
      <c r="P1315" s="27"/>
      <c r="Q1315" s="33"/>
      <c r="R1315" s="55" t="s">
        <v>212</v>
      </c>
      <c r="S1315" s="26" t="s">
        <v>41</v>
      </c>
      <c r="T1315" s="26" t="s">
        <v>39</v>
      </c>
      <c r="U1315" s="27">
        <v>0.80645161290322587</v>
      </c>
      <c r="V1315" s="33">
        <v>1</v>
      </c>
      <c r="AG1315" s="31">
        <v>1</v>
      </c>
      <c r="AH1315" t="s">
        <v>73</v>
      </c>
    </row>
    <row r="1316" spans="1:34">
      <c r="A1316" s="15" t="s">
        <v>1387</v>
      </c>
      <c r="B1316" s="8" t="s">
        <v>1362</v>
      </c>
      <c r="C1316" s="41" t="s">
        <v>37</v>
      </c>
      <c r="D1316" s="1" t="s">
        <v>38</v>
      </c>
      <c r="E1316" s="26" t="s">
        <v>39</v>
      </c>
      <c r="F1316" s="27">
        <v>1</v>
      </c>
      <c r="G1316" s="27">
        <v>0.5</v>
      </c>
      <c r="H1316" s="41" t="s">
        <v>227</v>
      </c>
      <c r="I1316" s="26" t="s">
        <v>41</v>
      </c>
      <c r="J1316" s="26" t="s">
        <v>42</v>
      </c>
      <c r="K1316" s="27">
        <v>0.94339622641509424</v>
      </c>
      <c r="L1316" s="27">
        <v>0.5</v>
      </c>
      <c r="M1316" s="70"/>
      <c r="N1316" s="26"/>
      <c r="O1316" s="26"/>
      <c r="P1316" s="27"/>
      <c r="Q1316" s="33"/>
      <c r="R1316" s="55" t="s">
        <v>212</v>
      </c>
      <c r="S1316" s="26" t="s">
        <v>41</v>
      </c>
      <c r="T1316" s="26" t="s">
        <v>39</v>
      </c>
      <c r="U1316" s="27">
        <v>0.80645161290322587</v>
      </c>
      <c r="V1316" s="33">
        <v>1</v>
      </c>
      <c r="AG1316" s="31">
        <v>1</v>
      </c>
      <c r="AH1316" t="s">
        <v>73</v>
      </c>
    </row>
    <row r="1317" spans="1:34">
      <c r="A1317" s="15" t="s">
        <v>1388</v>
      </c>
      <c r="B1317" s="8" t="s">
        <v>1362</v>
      </c>
      <c r="C1317" s="41" t="s">
        <v>37</v>
      </c>
      <c r="D1317" s="1" t="s">
        <v>38</v>
      </c>
      <c r="E1317" s="26" t="s">
        <v>39</v>
      </c>
      <c r="F1317" s="27">
        <v>1</v>
      </c>
      <c r="G1317" s="27">
        <v>0.5</v>
      </c>
      <c r="H1317" s="41" t="s">
        <v>227</v>
      </c>
      <c r="I1317" s="26" t="s">
        <v>41</v>
      </c>
      <c r="J1317" s="26" t="s">
        <v>42</v>
      </c>
      <c r="K1317" s="27">
        <v>0.94339622641509424</v>
      </c>
      <c r="L1317" s="27">
        <v>0.5</v>
      </c>
      <c r="M1317" s="70"/>
      <c r="N1317" s="26"/>
      <c r="O1317" s="26"/>
      <c r="P1317" s="27"/>
      <c r="Q1317" s="33"/>
      <c r="R1317" s="55" t="s">
        <v>212</v>
      </c>
      <c r="S1317" s="26" t="s">
        <v>41</v>
      </c>
      <c r="T1317" s="26" t="s">
        <v>39</v>
      </c>
      <c r="U1317" s="27">
        <v>0.80645161290322587</v>
      </c>
      <c r="V1317" s="33">
        <v>1</v>
      </c>
      <c r="AG1317" s="31">
        <v>1</v>
      </c>
      <c r="AH1317" t="s">
        <v>73</v>
      </c>
    </row>
    <row r="1318" spans="1:34">
      <c r="A1318" s="15" t="s">
        <v>1389</v>
      </c>
      <c r="B1318" s="8" t="s">
        <v>1362</v>
      </c>
      <c r="C1318" s="41" t="s">
        <v>37</v>
      </c>
      <c r="D1318" s="1" t="s">
        <v>38</v>
      </c>
      <c r="E1318" s="26" t="s">
        <v>39</v>
      </c>
      <c r="F1318" s="27">
        <v>1</v>
      </c>
      <c r="G1318" s="27">
        <v>0.5</v>
      </c>
      <c r="H1318" s="41" t="s">
        <v>227</v>
      </c>
      <c r="I1318" s="26" t="s">
        <v>41</v>
      </c>
      <c r="J1318" s="26" t="s">
        <v>42</v>
      </c>
      <c r="K1318" s="27">
        <v>0.94339622641509424</v>
      </c>
      <c r="L1318" s="27">
        <v>0.5</v>
      </c>
      <c r="M1318" s="70"/>
      <c r="N1318" s="26"/>
      <c r="O1318" s="26"/>
      <c r="P1318" s="27"/>
      <c r="Q1318" s="33"/>
      <c r="R1318" s="55" t="s">
        <v>212</v>
      </c>
      <c r="S1318" s="26" t="s">
        <v>41</v>
      </c>
      <c r="T1318" s="26" t="s">
        <v>39</v>
      </c>
      <c r="U1318" s="27">
        <v>0.80645161290322587</v>
      </c>
      <c r="V1318" s="33">
        <v>1</v>
      </c>
      <c r="AG1318" s="31">
        <v>1</v>
      </c>
      <c r="AH1318" t="s">
        <v>73</v>
      </c>
    </row>
    <row r="1319" spans="1:34">
      <c r="A1319" s="15" t="s">
        <v>1390</v>
      </c>
      <c r="B1319" s="8" t="s">
        <v>1362</v>
      </c>
      <c r="C1319" s="41" t="s">
        <v>37</v>
      </c>
      <c r="D1319" s="1" t="s">
        <v>38</v>
      </c>
      <c r="E1319" s="26" t="s">
        <v>39</v>
      </c>
      <c r="F1319" s="27">
        <v>1</v>
      </c>
      <c r="G1319" s="33">
        <v>1</v>
      </c>
      <c r="H1319" s="41"/>
      <c r="I1319" s="1"/>
      <c r="J1319" s="26"/>
      <c r="K1319" s="27"/>
      <c r="L1319" s="27"/>
      <c r="M1319" s="70"/>
      <c r="N1319" s="1"/>
      <c r="O1319" s="26"/>
      <c r="P1319" s="27"/>
      <c r="Q1319" s="27"/>
      <c r="R1319" s="55" t="s">
        <v>242</v>
      </c>
      <c r="S1319" s="26" t="s">
        <v>38</v>
      </c>
      <c r="T1319" s="26" t="s">
        <v>39</v>
      </c>
      <c r="U1319" s="27">
        <v>0.84745762711864414</v>
      </c>
      <c r="V1319" s="33">
        <v>1</v>
      </c>
      <c r="AG1319" s="31">
        <v>0</v>
      </c>
      <c r="AH1319" t="s">
        <v>44</v>
      </c>
    </row>
    <row r="1320" spans="1:34">
      <c r="A1320" s="15" t="s">
        <v>1391</v>
      </c>
      <c r="B1320" s="8" t="s">
        <v>1362</v>
      </c>
      <c r="C1320" s="41" t="s">
        <v>37</v>
      </c>
      <c r="D1320" s="1" t="s">
        <v>38</v>
      </c>
      <c r="E1320" s="26" t="s">
        <v>39</v>
      </c>
      <c r="F1320" s="27">
        <v>1</v>
      </c>
      <c r="G1320" s="33">
        <v>1</v>
      </c>
      <c r="H1320" s="41"/>
      <c r="I1320" s="1"/>
      <c r="J1320" s="26"/>
      <c r="K1320" s="27"/>
      <c r="L1320" s="27"/>
      <c r="M1320" s="70"/>
      <c r="N1320" s="1"/>
      <c r="O1320" s="26"/>
      <c r="P1320" s="27"/>
      <c r="Q1320" s="27"/>
      <c r="R1320" s="55" t="s">
        <v>242</v>
      </c>
      <c r="S1320" s="26" t="s">
        <v>38</v>
      </c>
      <c r="T1320" s="26" t="s">
        <v>39</v>
      </c>
      <c r="U1320" s="27">
        <v>0.84745762711864414</v>
      </c>
      <c r="V1320" s="33">
        <v>1</v>
      </c>
      <c r="AG1320" s="31">
        <v>0</v>
      </c>
      <c r="AH1320" t="s">
        <v>44</v>
      </c>
    </row>
    <row r="1321" spans="1:34">
      <c r="A1321" s="15" t="s">
        <v>1392</v>
      </c>
      <c r="B1321" s="8" t="s">
        <v>1362</v>
      </c>
      <c r="C1321" s="41" t="s">
        <v>37</v>
      </c>
      <c r="D1321" s="1" t="s">
        <v>38</v>
      </c>
      <c r="E1321" s="26" t="s">
        <v>39</v>
      </c>
      <c r="F1321" s="27">
        <v>1</v>
      </c>
      <c r="G1321" s="33">
        <v>1</v>
      </c>
      <c r="H1321" s="41"/>
      <c r="I1321" s="1"/>
      <c r="J1321" s="26"/>
      <c r="K1321" s="27"/>
      <c r="L1321" s="27"/>
      <c r="M1321" s="70"/>
      <c r="N1321" s="1"/>
      <c r="O1321" s="26"/>
      <c r="P1321" s="27"/>
      <c r="Q1321" s="27"/>
      <c r="R1321" s="55" t="s">
        <v>242</v>
      </c>
      <c r="S1321" s="26" t="s">
        <v>38</v>
      </c>
      <c r="T1321" s="26" t="s">
        <v>39</v>
      </c>
      <c r="U1321" s="27">
        <v>0.84745762711864414</v>
      </c>
      <c r="V1321" s="33">
        <v>1</v>
      </c>
      <c r="AG1321" s="31">
        <v>0</v>
      </c>
      <c r="AH1321" t="s">
        <v>44</v>
      </c>
    </row>
    <row r="1322" spans="1:34">
      <c r="A1322" s="15" t="s">
        <v>1393</v>
      </c>
      <c r="B1322" s="8" t="s">
        <v>1362</v>
      </c>
      <c r="C1322" s="41" t="s">
        <v>37</v>
      </c>
      <c r="D1322" s="1" t="s">
        <v>38</v>
      </c>
      <c r="E1322" s="26" t="s">
        <v>39</v>
      </c>
      <c r="F1322" s="27">
        <v>1</v>
      </c>
      <c r="G1322" s="33">
        <v>1</v>
      </c>
      <c r="H1322" s="41"/>
      <c r="I1322" s="1"/>
      <c r="J1322" s="26"/>
      <c r="K1322" s="27"/>
      <c r="L1322" s="27"/>
      <c r="M1322" s="70"/>
      <c r="N1322" s="1"/>
      <c r="O1322" s="26"/>
      <c r="P1322" s="27"/>
      <c r="Q1322" s="27"/>
      <c r="R1322" s="55" t="s">
        <v>242</v>
      </c>
      <c r="S1322" s="26" t="s">
        <v>38</v>
      </c>
      <c r="T1322" s="26" t="s">
        <v>39</v>
      </c>
      <c r="U1322" s="27">
        <v>0.84745762711864414</v>
      </c>
      <c r="V1322" s="33">
        <v>1</v>
      </c>
      <c r="AG1322" s="31">
        <v>0</v>
      </c>
      <c r="AH1322" t="s">
        <v>44</v>
      </c>
    </row>
    <row r="1323" spans="1:34">
      <c r="A1323" s="15" t="s">
        <v>1394</v>
      </c>
      <c r="B1323" s="8" t="s">
        <v>1362</v>
      </c>
      <c r="C1323" s="41" t="s">
        <v>37</v>
      </c>
      <c r="D1323" s="1" t="s">
        <v>38</v>
      </c>
      <c r="E1323" s="26" t="s">
        <v>39</v>
      </c>
      <c r="F1323" s="27">
        <v>1</v>
      </c>
      <c r="G1323" s="33">
        <v>1</v>
      </c>
      <c r="H1323" s="41"/>
      <c r="I1323" s="1"/>
      <c r="J1323" s="26"/>
      <c r="K1323" s="27"/>
      <c r="L1323" s="27"/>
      <c r="M1323" s="70"/>
      <c r="N1323" s="1"/>
      <c r="O1323" s="26"/>
      <c r="P1323" s="27"/>
      <c r="Q1323" s="27"/>
      <c r="R1323" s="55" t="s">
        <v>242</v>
      </c>
      <c r="S1323" s="26" t="s">
        <v>38</v>
      </c>
      <c r="T1323" s="26" t="s">
        <v>39</v>
      </c>
      <c r="U1323" s="27">
        <v>0.84745762711864414</v>
      </c>
      <c r="V1323" s="33">
        <v>1</v>
      </c>
      <c r="AG1323" s="31">
        <v>0</v>
      </c>
      <c r="AH1323" t="s">
        <v>44</v>
      </c>
    </row>
    <row r="1324" spans="1:34">
      <c r="A1324" s="15" t="s">
        <v>1395</v>
      </c>
      <c r="B1324" s="8" t="s">
        <v>1362</v>
      </c>
      <c r="C1324" s="41" t="s">
        <v>37</v>
      </c>
      <c r="D1324" s="1" t="s">
        <v>38</v>
      </c>
      <c r="E1324" s="26" t="s">
        <v>39</v>
      </c>
      <c r="F1324" s="27">
        <v>1</v>
      </c>
      <c r="G1324" s="33">
        <v>1</v>
      </c>
      <c r="H1324" s="41"/>
      <c r="I1324" s="1"/>
      <c r="J1324" s="26"/>
      <c r="K1324" s="27"/>
      <c r="L1324" s="27"/>
      <c r="M1324" s="70"/>
      <c r="N1324" s="1"/>
      <c r="O1324" s="26"/>
      <c r="P1324" s="27"/>
      <c r="Q1324" s="27"/>
      <c r="R1324" s="55" t="s">
        <v>242</v>
      </c>
      <c r="S1324" s="26" t="s">
        <v>38</v>
      </c>
      <c r="T1324" s="26" t="s">
        <v>39</v>
      </c>
      <c r="U1324" s="27">
        <v>0.84745762711864414</v>
      </c>
      <c r="V1324" s="33">
        <v>1</v>
      </c>
      <c r="AG1324" s="31">
        <v>0</v>
      </c>
      <c r="AH1324" t="s">
        <v>44</v>
      </c>
    </row>
    <row r="1325" spans="1:34">
      <c r="A1325" s="15" t="s">
        <v>1396</v>
      </c>
      <c r="B1325" s="8" t="s">
        <v>1362</v>
      </c>
      <c r="C1325" s="41" t="s">
        <v>37</v>
      </c>
      <c r="D1325" s="1" t="s">
        <v>38</v>
      </c>
      <c r="E1325" s="26" t="s">
        <v>39</v>
      </c>
      <c r="F1325" s="27">
        <v>1</v>
      </c>
      <c r="G1325" s="33">
        <v>1</v>
      </c>
      <c r="H1325" s="41"/>
      <c r="I1325" s="1"/>
      <c r="J1325" s="26"/>
      <c r="K1325" s="27"/>
      <c r="L1325" s="27"/>
      <c r="M1325" s="70"/>
      <c r="N1325" s="1"/>
      <c r="O1325" s="26"/>
      <c r="P1325" s="27"/>
      <c r="Q1325" s="27"/>
      <c r="R1325" s="55" t="s">
        <v>242</v>
      </c>
      <c r="S1325" s="26" t="s">
        <v>38</v>
      </c>
      <c r="T1325" s="26" t="s">
        <v>39</v>
      </c>
      <c r="U1325" s="27">
        <v>0.84745762711864414</v>
      </c>
      <c r="V1325" s="33">
        <v>1</v>
      </c>
      <c r="AG1325" s="31">
        <v>0</v>
      </c>
      <c r="AH1325" t="s">
        <v>44</v>
      </c>
    </row>
    <row r="1326" spans="1:34">
      <c r="A1326" s="15" t="s">
        <v>1397</v>
      </c>
      <c r="B1326" s="8" t="s">
        <v>1362</v>
      </c>
      <c r="C1326" s="41" t="s">
        <v>37</v>
      </c>
      <c r="D1326" s="1" t="s">
        <v>38</v>
      </c>
      <c r="E1326" s="26" t="s">
        <v>39</v>
      </c>
      <c r="F1326" s="27">
        <v>1</v>
      </c>
      <c r="G1326" s="33">
        <v>1</v>
      </c>
      <c r="H1326" s="41"/>
      <c r="I1326" s="1"/>
      <c r="J1326" s="26"/>
      <c r="K1326" s="27"/>
      <c r="L1326" s="27"/>
      <c r="M1326" s="70"/>
      <c r="N1326" s="1"/>
      <c r="O1326" s="26"/>
      <c r="P1326" s="27"/>
      <c r="Q1326" s="27"/>
      <c r="R1326" s="55" t="s">
        <v>242</v>
      </c>
      <c r="S1326" s="26" t="s">
        <v>38</v>
      </c>
      <c r="T1326" s="26" t="s">
        <v>39</v>
      </c>
      <c r="U1326" s="27">
        <v>0.84745762711864414</v>
      </c>
      <c r="V1326" s="33">
        <v>1</v>
      </c>
      <c r="AG1326" s="31">
        <v>0</v>
      </c>
      <c r="AH1326" t="s">
        <v>44</v>
      </c>
    </row>
    <row r="1327" spans="1:34">
      <c r="A1327" s="15" t="s">
        <v>1398</v>
      </c>
      <c r="B1327" s="8" t="s">
        <v>1362</v>
      </c>
      <c r="C1327" s="41" t="s">
        <v>37</v>
      </c>
      <c r="D1327" s="1" t="s">
        <v>38</v>
      </c>
      <c r="E1327" s="26" t="s">
        <v>39</v>
      </c>
      <c r="F1327" s="27">
        <v>1</v>
      </c>
      <c r="G1327" s="33">
        <v>1</v>
      </c>
      <c r="H1327" s="41"/>
      <c r="I1327" s="1"/>
      <c r="J1327" s="26"/>
      <c r="K1327" s="27"/>
      <c r="L1327" s="27"/>
      <c r="M1327" s="70"/>
      <c r="N1327" s="1"/>
      <c r="O1327" s="26"/>
      <c r="P1327" s="27"/>
      <c r="Q1327" s="27"/>
      <c r="R1327" s="55" t="s">
        <v>242</v>
      </c>
      <c r="S1327" s="26" t="s">
        <v>38</v>
      </c>
      <c r="T1327" s="26" t="s">
        <v>39</v>
      </c>
      <c r="U1327" s="27">
        <v>0.84745762711864414</v>
      </c>
      <c r="V1327" s="33">
        <v>1</v>
      </c>
      <c r="AG1327" s="31">
        <v>0</v>
      </c>
      <c r="AH1327" t="s">
        <v>44</v>
      </c>
    </row>
    <row r="1328" spans="1:34">
      <c r="A1328" s="15" t="s">
        <v>1399</v>
      </c>
      <c r="B1328" s="8" t="s">
        <v>1362</v>
      </c>
      <c r="C1328" s="41" t="s">
        <v>37</v>
      </c>
      <c r="D1328" s="1" t="s">
        <v>38</v>
      </c>
      <c r="E1328" s="26" t="s">
        <v>39</v>
      </c>
      <c r="F1328" s="27">
        <v>1</v>
      </c>
      <c r="G1328" s="33">
        <v>1</v>
      </c>
      <c r="H1328" s="41"/>
      <c r="I1328" s="1"/>
      <c r="J1328" s="26"/>
      <c r="K1328" s="27"/>
      <c r="L1328" s="27"/>
      <c r="M1328" s="70"/>
      <c r="N1328" s="1"/>
      <c r="O1328" s="26"/>
      <c r="P1328" s="27"/>
      <c r="Q1328" s="27"/>
      <c r="R1328" s="55" t="s">
        <v>242</v>
      </c>
      <c r="S1328" s="26" t="s">
        <v>38</v>
      </c>
      <c r="T1328" s="26" t="s">
        <v>39</v>
      </c>
      <c r="U1328" s="27">
        <v>0.84745762711864414</v>
      </c>
      <c r="V1328" s="33">
        <v>1</v>
      </c>
      <c r="AG1328" s="31">
        <v>0</v>
      </c>
      <c r="AH1328" t="s">
        <v>44</v>
      </c>
    </row>
    <row r="1329" spans="1:34">
      <c r="A1329" s="15" t="s">
        <v>1400</v>
      </c>
      <c r="B1329" s="8" t="s">
        <v>1362</v>
      </c>
      <c r="C1329" s="41" t="s">
        <v>37</v>
      </c>
      <c r="D1329" s="1" t="s">
        <v>38</v>
      </c>
      <c r="E1329" s="26" t="s">
        <v>39</v>
      </c>
      <c r="F1329" s="27">
        <v>1</v>
      </c>
      <c r="G1329" s="33">
        <v>1</v>
      </c>
      <c r="H1329" s="41"/>
      <c r="I1329" s="1"/>
      <c r="J1329" s="26"/>
      <c r="K1329" s="27"/>
      <c r="L1329" s="27"/>
      <c r="M1329" s="70"/>
      <c r="N1329" s="1"/>
      <c r="O1329" s="26"/>
      <c r="P1329" s="27"/>
      <c r="Q1329" s="27"/>
      <c r="R1329" s="55" t="s">
        <v>242</v>
      </c>
      <c r="S1329" s="26" t="s">
        <v>38</v>
      </c>
      <c r="T1329" s="26" t="s">
        <v>39</v>
      </c>
      <c r="U1329" s="27">
        <v>0.84745762711864414</v>
      </c>
      <c r="V1329" s="33">
        <v>1</v>
      </c>
      <c r="AG1329" s="31">
        <v>0</v>
      </c>
      <c r="AH1329" t="s">
        <v>44</v>
      </c>
    </row>
    <row r="1330" spans="1:34">
      <c r="A1330" s="15" t="s">
        <v>1401</v>
      </c>
      <c r="B1330" s="8" t="s">
        <v>1362</v>
      </c>
      <c r="C1330" s="41" t="s">
        <v>37</v>
      </c>
      <c r="D1330" s="1" t="s">
        <v>38</v>
      </c>
      <c r="E1330" s="26" t="s">
        <v>39</v>
      </c>
      <c r="F1330" s="27">
        <v>1</v>
      </c>
      <c r="G1330" s="33">
        <v>1</v>
      </c>
      <c r="H1330" s="41"/>
      <c r="I1330" s="1"/>
      <c r="J1330" s="26"/>
      <c r="K1330" s="27"/>
      <c r="L1330" s="27"/>
      <c r="M1330" s="70"/>
      <c r="N1330" s="1"/>
      <c r="O1330" s="26"/>
      <c r="P1330" s="27"/>
      <c r="Q1330" s="27"/>
      <c r="R1330" s="55" t="s">
        <v>242</v>
      </c>
      <c r="S1330" s="26" t="s">
        <v>38</v>
      </c>
      <c r="T1330" s="26" t="s">
        <v>39</v>
      </c>
      <c r="U1330" s="27">
        <v>0.84745762711864414</v>
      </c>
      <c r="V1330" s="33">
        <v>1</v>
      </c>
      <c r="AG1330" s="31">
        <v>0</v>
      </c>
      <c r="AH1330" t="s">
        <v>44</v>
      </c>
    </row>
    <row r="1331" spans="1:34">
      <c r="A1331" s="15" t="s">
        <v>1402</v>
      </c>
      <c r="B1331" s="8" t="s">
        <v>1362</v>
      </c>
      <c r="C1331" s="41" t="s">
        <v>37</v>
      </c>
      <c r="D1331" s="1" t="s">
        <v>38</v>
      </c>
      <c r="E1331" s="26" t="s">
        <v>39</v>
      </c>
      <c r="F1331" s="27">
        <v>1</v>
      </c>
      <c r="G1331" s="33">
        <v>1</v>
      </c>
      <c r="H1331" s="41"/>
      <c r="I1331" s="1"/>
      <c r="J1331" s="26"/>
      <c r="K1331" s="27"/>
      <c r="L1331" s="27"/>
      <c r="M1331" s="70"/>
      <c r="N1331" s="1"/>
      <c r="O1331" s="26"/>
      <c r="P1331" s="27"/>
      <c r="Q1331" s="27"/>
      <c r="R1331" s="55" t="s">
        <v>242</v>
      </c>
      <c r="S1331" s="26" t="s">
        <v>38</v>
      </c>
      <c r="T1331" s="26" t="s">
        <v>39</v>
      </c>
      <c r="U1331" s="27">
        <v>0.84745762711864414</v>
      </c>
      <c r="V1331" s="33">
        <v>1</v>
      </c>
      <c r="AG1331" s="31">
        <v>0</v>
      </c>
      <c r="AH1331" t="s">
        <v>44</v>
      </c>
    </row>
    <row r="1332" spans="1:34">
      <c r="A1332" s="15" t="s">
        <v>1403</v>
      </c>
      <c r="B1332" s="8" t="s">
        <v>1362</v>
      </c>
      <c r="C1332" s="41" t="s">
        <v>37</v>
      </c>
      <c r="D1332" s="1" t="s">
        <v>38</v>
      </c>
      <c r="E1332" s="26" t="s">
        <v>39</v>
      </c>
      <c r="F1332" s="27">
        <v>1</v>
      </c>
      <c r="G1332" s="33">
        <v>1</v>
      </c>
      <c r="H1332" s="41"/>
      <c r="I1332" s="1"/>
      <c r="J1332" s="26"/>
      <c r="K1332" s="27"/>
      <c r="L1332" s="27"/>
      <c r="M1332" s="70"/>
      <c r="N1332" s="1"/>
      <c r="O1332" s="26"/>
      <c r="P1332" s="27"/>
      <c r="Q1332" s="27"/>
      <c r="R1332" s="55" t="s">
        <v>242</v>
      </c>
      <c r="S1332" s="26" t="s">
        <v>38</v>
      </c>
      <c r="T1332" s="26" t="s">
        <v>39</v>
      </c>
      <c r="U1332" s="27">
        <v>0.84745762711864414</v>
      </c>
      <c r="V1332" s="33">
        <v>1</v>
      </c>
      <c r="AG1332" s="31">
        <v>0</v>
      </c>
      <c r="AH1332" t="s">
        <v>44</v>
      </c>
    </row>
    <row r="1333" spans="1:34">
      <c r="A1333" s="15" t="s">
        <v>1404</v>
      </c>
      <c r="B1333" s="8" t="s">
        <v>1362</v>
      </c>
      <c r="C1333" s="41" t="s">
        <v>37</v>
      </c>
      <c r="D1333" s="1" t="s">
        <v>38</v>
      </c>
      <c r="E1333" s="26" t="s">
        <v>39</v>
      </c>
      <c r="F1333" s="27">
        <v>1</v>
      </c>
      <c r="G1333" s="33">
        <v>1</v>
      </c>
      <c r="H1333" s="41"/>
      <c r="I1333" s="1"/>
      <c r="J1333" s="26"/>
      <c r="K1333" s="27"/>
      <c r="L1333" s="27"/>
      <c r="M1333" s="70"/>
      <c r="N1333" s="1"/>
      <c r="O1333" s="26"/>
      <c r="P1333" s="27"/>
      <c r="Q1333" s="27"/>
      <c r="R1333" s="55" t="s">
        <v>242</v>
      </c>
      <c r="S1333" s="26" t="s">
        <v>38</v>
      </c>
      <c r="T1333" s="26" t="s">
        <v>39</v>
      </c>
      <c r="U1333" s="27">
        <v>0.84745762711864414</v>
      </c>
      <c r="V1333" s="33">
        <v>1</v>
      </c>
      <c r="AG1333" s="31">
        <v>1</v>
      </c>
      <c r="AH1333" t="s">
        <v>73</v>
      </c>
    </row>
    <row r="1334" spans="1:34">
      <c r="A1334" s="15" t="s">
        <v>1405</v>
      </c>
      <c r="B1334" s="8" t="s">
        <v>1362</v>
      </c>
      <c r="C1334" s="41" t="s">
        <v>37</v>
      </c>
      <c r="D1334" s="1" t="s">
        <v>38</v>
      </c>
      <c r="E1334" s="26" t="s">
        <v>39</v>
      </c>
      <c r="F1334" s="27">
        <v>1</v>
      </c>
      <c r="G1334" s="33">
        <v>1</v>
      </c>
      <c r="H1334" s="41"/>
      <c r="I1334" s="1"/>
      <c r="J1334" s="26"/>
      <c r="K1334" s="27"/>
      <c r="L1334" s="27"/>
      <c r="M1334" s="70"/>
      <c r="N1334" s="1"/>
      <c r="O1334" s="26"/>
      <c r="P1334" s="27"/>
      <c r="Q1334" s="27"/>
      <c r="R1334" s="55" t="s">
        <v>242</v>
      </c>
      <c r="S1334" s="26" t="s">
        <v>38</v>
      </c>
      <c r="T1334" s="26" t="s">
        <v>39</v>
      </c>
      <c r="U1334" s="27">
        <v>0.84745762711864414</v>
      </c>
      <c r="V1334" s="33">
        <v>1</v>
      </c>
      <c r="AG1334" s="31">
        <v>1</v>
      </c>
      <c r="AH1334" t="s">
        <v>73</v>
      </c>
    </row>
    <row r="1335" spans="1:34">
      <c r="A1335" s="15" t="s">
        <v>1406</v>
      </c>
      <c r="B1335" s="8" t="s">
        <v>1362</v>
      </c>
      <c r="C1335" s="41" t="s">
        <v>37</v>
      </c>
      <c r="D1335" s="1" t="s">
        <v>38</v>
      </c>
      <c r="E1335" s="26" t="s">
        <v>39</v>
      </c>
      <c r="F1335" s="27">
        <v>1</v>
      </c>
      <c r="G1335" s="33">
        <v>1</v>
      </c>
      <c r="H1335" s="41"/>
      <c r="I1335" s="1"/>
      <c r="J1335" s="26"/>
      <c r="K1335" s="27"/>
      <c r="L1335" s="27"/>
      <c r="M1335" s="70"/>
      <c r="N1335" s="1"/>
      <c r="O1335" s="26"/>
      <c r="P1335" s="27"/>
      <c r="Q1335" s="27"/>
      <c r="R1335" s="55" t="s">
        <v>242</v>
      </c>
      <c r="S1335" s="26" t="s">
        <v>38</v>
      </c>
      <c r="T1335" s="26" t="s">
        <v>39</v>
      </c>
      <c r="U1335" s="27">
        <v>0.84745762711864414</v>
      </c>
      <c r="V1335" s="33">
        <v>1</v>
      </c>
      <c r="AG1335" s="31">
        <v>1</v>
      </c>
      <c r="AH1335" t="s">
        <v>73</v>
      </c>
    </row>
    <row r="1336" spans="1:34">
      <c r="A1336" s="15" t="s">
        <v>1407</v>
      </c>
      <c r="B1336" s="8" t="s">
        <v>1362</v>
      </c>
      <c r="C1336" s="41" t="s">
        <v>37</v>
      </c>
      <c r="D1336" s="1" t="s">
        <v>38</v>
      </c>
      <c r="E1336" s="26" t="s">
        <v>39</v>
      </c>
      <c r="F1336" s="27">
        <v>1</v>
      </c>
      <c r="G1336" s="33">
        <v>1</v>
      </c>
      <c r="H1336" s="41"/>
      <c r="I1336" s="1"/>
      <c r="J1336" s="26"/>
      <c r="K1336" s="27"/>
      <c r="L1336" s="27"/>
      <c r="M1336" s="70"/>
      <c r="N1336" s="1"/>
      <c r="O1336" s="26"/>
      <c r="P1336" s="27"/>
      <c r="Q1336" s="27"/>
      <c r="R1336" s="55" t="s">
        <v>242</v>
      </c>
      <c r="S1336" s="26" t="s">
        <v>38</v>
      </c>
      <c r="T1336" s="26" t="s">
        <v>39</v>
      </c>
      <c r="U1336" s="27">
        <v>0.84745762711864414</v>
      </c>
      <c r="V1336" s="33">
        <v>1</v>
      </c>
      <c r="AG1336" s="31">
        <v>1</v>
      </c>
      <c r="AH1336" t="s">
        <v>73</v>
      </c>
    </row>
    <row r="1337" spans="1:34">
      <c r="A1337" s="15" t="s">
        <v>1408</v>
      </c>
      <c r="B1337" s="8" t="s">
        <v>1362</v>
      </c>
      <c r="C1337" s="41" t="s">
        <v>37</v>
      </c>
      <c r="D1337" s="1" t="s">
        <v>38</v>
      </c>
      <c r="E1337" s="26" t="s">
        <v>39</v>
      </c>
      <c r="F1337" s="27">
        <v>1</v>
      </c>
      <c r="G1337" s="33">
        <v>1</v>
      </c>
      <c r="H1337" s="41"/>
      <c r="I1337" s="1"/>
      <c r="J1337" s="26"/>
      <c r="K1337" s="27"/>
      <c r="L1337" s="27"/>
      <c r="M1337" s="70"/>
      <c r="N1337" s="1"/>
      <c r="O1337" s="26"/>
      <c r="P1337" s="27"/>
      <c r="Q1337" s="27"/>
      <c r="R1337" s="55" t="s">
        <v>242</v>
      </c>
      <c r="S1337" s="26" t="s">
        <v>38</v>
      </c>
      <c r="T1337" s="26" t="s">
        <v>39</v>
      </c>
      <c r="U1337" s="27">
        <v>0.84745762711864414</v>
      </c>
      <c r="V1337" s="33">
        <v>1</v>
      </c>
      <c r="AG1337" s="31">
        <v>1</v>
      </c>
      <c r="AH1337" t="s">
        <v>73</v>
      </c>
    </row>
    <row r="1338" spans="1:34">
      <c r="A1338" s="15" t="s">
        <v>1409</v>
      </c>
      <c r="B1338" s="8" t="s">
        <v>1362</v>
      </c>
      <c r="C1338" s="41" t="s">
        <v>37</v>
      </c>
      <c r="D1338" s="1" t="s">
        <v>38</v>
      </c>
      <c r="E1338" s="26" t="s">
        <v>39</v>
      </c>
      <c r="F1338" s="27">
        <v>1</v>
      </c>
      <c r="G1338" s="33">
        <v>1</v>
      </c>
      <c r="H1338" s="41"/>
      <c r="I1338" s="1"/>
      <c r="J1338" s="26"/>
      <c r="K1338" s="27"/>
      <c r="L1338" s="27"/>
      <c r="M1338" s="70"/>
      <c r="N1338" s="1"/>
      <c r="O1338" s="26"/>
      <c r="P1338" s="27"/>
      <c r="Q1338" s="27"/>
      <c r="R1338" s="55" t="s">
        <v>242</v>
      </c>
      <c r="S1338" s="26" t="s">
        <v>38</v>
      </c>
      <c r="T1338" s="26" t="s">
        <v>39</v>
      </c>
      <c r="U1338" s="27">
        <v>0.84745762711864414</v>
      </c>
      <c r="V1338" s="33">
        <v>1</v>
      </c>
      <c r="AG1338" s="31">
        <v>1</v>
      </c>
      <c r="AH1338" t="s">
        <v>73</v>
      </c>
    </row>
    <row r="1339" spans="1:34">
      <c r="A1339" s="15" t="s">
        <v>1410</v>
      </c>
      <c r="B1339" s="8" t="s">
        <v>1362</v>
      </c>
      <c r="C1339" s="41" t="s">
        <v>37</v>
      </c>
      <c r="D1339" s="1" t="s">
        <v>38</v>
      </c>
      <c r="E1339" s="26" t="s">
        <v>39</v>
      </c>
      <c r="F1339" s="27">
        <v>1</v>
      </c>
      <c r="G1339" s="33">
        <v>1</v>
      </c>
      <c r="H1339" s="41"/>
      <c r="I1339" s="1"/>
      <c r="J1339" s="26"/>
      <c r="K1339" s="27"/>
      <c r="L1339" s="27"/>
      <c r="M1339" s="70"/>
      <c r="N1339" s="1"/>
      <c r="O1339" s="26"/>
      <c r="P1339" s="27"/>
      <c r="Q1339" s="27"/>
      <c r="R1339" s="55" t="s">
        <v>242</v>
      </c>
      <c r="S1339" s="26" t="s">
        <v>38</v>
      </c>
      <c r="T1339" s="26" t="s">
        <v>39</v>
      </c>
      <c r="U1339" s="27">
        <v>0.84745762711864414</v>
      </c>
      <c r="V1339" s="33">
        <v>1</v>
      </c>
      <c r="AG1339" s="31">
        <v>1</v>
      </c>
      <c r="AH1339" t="s">
        <v>73</v>
      </c>
    </row>
    <row r="1340" spans="1:34">
      <c r="A1340" s="15" t="s">
        <v>1411</v>
      </c>
      <c r="B1340" s="8" t="s">
        <v>1362</v>
      </c>
      <c r="C1340" s="41" t="s">
        <v>37</v>
      </c>
      <c r="D1340" s="1" t="s">
        <v>38</v>
      </c>
      <c r="E1340" s="26" t="s">
        <v>39</v>
      </c>
      <c r="F1340" s="27">
        <v>1</v>
      </c>
      <c r="G1340" s="33">
        <v>1</v>
      </c>
      <c r="H1340" s="41"/>
      <c r="I1340" s="1"/>
      <c r="J1340" s="26"/>
      <c r="K1340" s="27"/>
      <c r="L1340" s="27"/>
      <c r="M1340" s="70"/>
      <c r="N1340" s="1"/>
      <c r="O1340" s="26"/>
      <c r="P1340" s="27"/>
      <c r="Q1340" s="27"/>
      <c r="R1340" s="55" t="s">
        <v>242</v>
      </c>
      <c r="S1340" s="26" t="s">
        <v>38</v>
      </c>
      <c r="T1340" s="26" t="s">
        <v>39</v>
      </c>
      <c r="U1340" s="27">
        <v>0.84745762711864414</v>
      </c>
      <c r="V1340" s="33">
        <v>1</v>
      </c>
      <c r="AG1340" s="31">
        <v>1</v>
      </c>
      <c r="AH1340" t="s">
        <v>73</v>
      </c>
    </row>
    <row r="1341" spans="1:34">
      <c r="A1341" s="15" t="s">
        <v>1412</v>
      </c>
      <c r="B1341" s="8" t="s">
        <v>1362</v>
      </c>
      <c r="C1341" s="41" t="s">
        <v>37</v>
      </c>
      <c r="D1341" s="1" t="s">
        <v>38</v>
      </c>
      <c r="E1341" s="26" t="s">
        <v>39</v>
      </c>
      <c r="F1341" s="27">
        <v>1</v>
      </c>
      <c r="G1341" s="33">
        <v>1</v>
      </c>
      <c r="H1341" s="41"/>
      <c r="I1341" s="1"/>
      <c r="J1341" s="26"/>
      <c r="K1341" s="27"/>
      <c r="L1341" s="27"/>
      <c r="M1341" s="70"/>
      <c r="N1341" s="1"/>
      <c r="O1341" s="26"/>
      <c r="P1341" s="27"/>
      <c r="Q1341" s="27"/>
      <c r="R1341" s="55" t="s">
        <v>242</v>
      </c>
      <c r="S1341" s="26" t="s">
        <v>38</v>
      </c>
      <c r="T1341" s="26" t="s">
        <v>39</v>
      </c>
      <c r="U1341" s="27">
        <v>0.84745762711864414</v>
      </c>
      <c r="V1341" s="33">
        <v>1</v>
      </c>
      <c r="AG1341" s="31">
        <v>1</v>
      </c>
      <c r="AH1341" t="s">
        <v>73</v>
      </c>
    </row>
    <row r="1342" spans="1:34">
      <c r="A1342" s="15" t="s">
        <v>1413</v>
      </c>
      <c r="B1342" s="8" t="s">
        <v>1362</v>
      </c>
      <c r="C1342" s="41" t="s">
        <v>37</v>
      </c>
      <c r="D1342" s="1" t="s">
        <v>38</v>
      </c>
      <c r="E1342" s="26" t="s">
        <v>39</v>
      </c>
      <c r="F1342" s="27">
        <v>1</v>
      </c>
      <c r="G1342" s="33">
        <v>1</v>
      </c>
      <c r="H1342" s="41"/>
      <c r="I1342" s="1"/>
      <c r="J1342" s="26"/>
      <c r="K1342" s="27"/>
      <c r="L1342" s="27"/>
      <c r="M1342" s="70"/>
      <c r="N1342" s="1"/>
      <c r="O1342" s="26"/>
      <c r="P1342" s="27"/>
      <c r="Q1342" s="27"/>
      <c r="R1342" s="55" t="s">
        <v>242</v>
      </c>
      <c r="S1342" s="26" t="s">
        <v>38</v>
      </c>
      <c r="T1342" s="26" t="s">
        <v>39</v>
      </c>
      <c r="U1342" s="27">
        <v>0.84745762711864414</v>
      </c>
      <c r="V1342" s="33">
        <v>1</v>
      </c>
      <c r="AG1342" s="31">
        <v>1</v>
      </c>
      <c r="AH1342" t="s">
        <v>73</v>
      </c>
    </row>
    <row r="1343" spans="1:34">
      <c r="A1343" s="15" t="s">
        <v>1414</v>
      </c>
      <c r="B1343" s="8" t="s">
        <v>1362</v>
      </c>
      <c r="C1343" s="41" t="s">
        <v>37</v>
      </c>
      <c r="D1343" s="1" t="s">
        <v>38</v>
      </c>
      <c r="E1343" s="26" t="s">
        <v>39</v>
      </c>
      <c r="F1343" s="27">
        <v>1</v>
      </c>
      <c r="G1343" s="33">
        <v>1</v>
      </c>
      <c r="H1343" s="41"/>
      <c r="I1343" s="1"/>
      <c r="J1343" s="26"/>
      <c r="K1343" s="27"/>
      <c r="L1343" s="27"/>
      <c r="M1343" s="70"/>
      <c r="N1343" s="1"/>
      <c r="O1343" s="26"/>
      <c r="P1343" s="27"/>
      <c r="Q1343" s="27"/>
      <c r="R1343" s="55" t="s">
        <v>242</v>
      </c>
      <c r="S1343" s="26" t="s">
        <v>38</v>
      </c>
      <c r="T1343" s="26" t="s">
        <v>39</v>
      </c>
      <c r="U1343" s="27">
        <v>0.84745762711864414</v>
      </c>
      <c r="V1343" s="33">
        <v>1</v>
      </c>
      <c r="AG1343" s="31">
        <v>1</v>
      </c>
      <c r="AH1343" t="s">
        <v>73</v>
      </c>
    </row>
    <row r="1344" spans="1:34">
      <c r="A1344" s="15" t="s">
        <v>1415</v>
      </c>
      <c r="B1344" s="8" t="s">
        <v>1362</v>
      </c>
      <c r="C1344" s="41" t="s">
        <v>37</v>
      </c>
      <c r="D1344" s="1" t="s">
        <v>38</v>
      </c>
      <c r="E1344" s="26" t="s">
        <v>39</v>
      </c>
      <c r="F1344" s="27">
        <v>1</v>
      </c>
      <c r="G1344" s="33">
        <v>1</v>
      </c>
      <c r="H1344" s="41"/>
      <c r="I1344" s="1"/>
      <c r="J1344" s="26"/>
      <c r="K1344" s="27"/>
      <c r="L1344" s="27"/>
      <c r="M1344" s="70"/>
      <c r="N1344" s="1"/>
      <c r="O1344" s="26"/>
      <c r="P1344" s="27"/>
      <c r="Q1344" s="27"/>
      <c r="R1344" s="55" t="s">
        <v>242</v>
      </c>
      <c r="S1344" s="26" t="s">
        <v>38</v>
      </c>
      <c r="T1344" s="26" t="s">
        <v>39</v>
      </c>
      <c r="U1344" s="27">
        <v>0.84745762711864414</v>
      </c>
      <c r="V1344" s="33">
        <v>1</v>
      </c>
      <c r="AG1344" s="31">
        <v>1</v>
      </c>
      <c r="AH1344" t="s">
        <v>73</v>
      </c>
    </row>
    <row r="1345" spans="1:34">
      <c r="A1345" s="15" t="s">
        <v>1416</v>
      </c>
      <c r="B1345" s="8" t="s">
        <v>1362</v>
      </c>
      <c r="C1345" s="41" t="s">
        <v>37</v>
      </c>
      <c r="D1345" s="1" t="s">
        <v>38</v>
      </c>
      <c r="E1345" s="26" t="s">
        <v>39</v>
      </c>
      <c r="F1345" s="27">
        <v>1</v>
      </c>
      <c r="G1345" s="33">
        <v>1</v>
      </c>
      <c r="H1345" s="41"/>
      <c r="I1345" s="1"/>
      <c r="J1345" s="26"/>
      <c r="K1345" s="27"/>
      <c r="L1345" s="27"/>
      <c r="M1345" s="70"/>
      <c r="N1345" s="1"/>
      <c r="O1345" s="26"/>
      <c r="P1345" s="27"/>
      <c r="Q1345" s="27"/>
      <c r="R1345" s="55" t="s">
        <v>242</v>
      </c>
      <c r="S1345" s="26" t="s">
        <v>38</v>
      </c>
      <c r="T1345" s="26" t="s">
        <v>39</v>
      </c>
      <c r="U1345" s="27">
        <v>0.84745762711864414</v>
      </c>
      <c r="V1345" s="33">
        <v>1</v>
      </c>
      <c r="AG1345" s="31">
        <v>1</v>
      </c>
      <c r="AH1345" t="s">
        <v>73</v>
      </c>
    </row>
    <row r="1346" spans="1:34">
      <c r="A1346" s="15" t="s">
        <v>1417</v>
      </c>
      <c r="B1346" s="8" t="s">
        <v>1362</v>
      </c>
      <c r="C1346" s="41" t="s">
        <v>37</v>
      </c>
      <c r="D1346" s="1" t="s">
        <v>38</v>
      </c>
      <c r="E1346" s="26" t="s">
        <v>39</v>
      </c>
      <c r="F1346" s="27">
        <v>1</v>
      </c>
      <c r="G1346" s="33">
        <v>1</v>
      </c>
      <c r="H1346" s="41"/>
      <c r="I1346" s="1"/>
      <c r="J1346" s="26"/>
      <c r="K1346" s="27"/>
      <c r="L1346" s="27"/>
      <c r="M1346" s="70"/>
      <c r="N1346" s="1"/>
      <c r="O1346" s="26"/>
      <c r="P1346" s="27"/>
      <c r="Q1346" s="27"/>
      <c r="R1346" s="55" t="s">
        <v>242</v>
      </c>
      <c r="S1346" s="26" t="s">
        <v>38</v>
      </c>
      <c r="T1346" s="26" t="s">
        <v>39</v>
      </c>
      <c r="U1346" s="27">
        <v>0.84745762711864414</v>
      </c>
      <c r="V1346" s="33">
        <v>1</v>
      </c>
      <c r="AG1346" s="31">
        <v>1</v>
      </c>
      <c r="AH1346" t="s">
        <v>73</v>
      </c>
    </row>
    <row r="1347" spans="1:34">
      <c r="A1347" s="15" t="s">
        <v>1418</v>
      </c>
      <c r="B1347" s="8" t="s">
        <v>1362</v>
      </c>
      <c r="C1347" s="41" t="s">
        <v>37</v>
      </c>
      <c r="D1347" s="1" t="s">
        <v>38</v>
      </c>
      <c r="E1347" s="26" t="s">
        <v>39</v>
      </c>
      <c r="F1347" s="27">
        <v>1</v>
      </c>
      <c r="G1347" s="33">
        <v>1</v>
      </c>
      <c r="H1347" s="41"/>
      <c r="I1347" s="1"/>
      <c r="J1347" s="26"/>
      <c r="K1347" s="27"/>
      <c r="L1347" s="27"/>
      <c r="M1347" s="70"/>
      <c r="N1347" s="1"/>
      <c r="O1347" s="26"/>
      <c r="P1347" s="27"/>
      <c r="Q1347" s="27"/>
      <c r="R1347" s="55" t="s">
        <v>242</v>
      </c>
      <c r="S1347" s="26" t="s">
        <v>38</v>
      </c>
      <c r="T1347" s="26" t="s">
        <v>39</v>
      </c>
      <c r="U1347" s="27">
        <v>0.84745762711864414</v>
      </c>
      <c r="V1347" s="33">
        <v>1</v>
      </c>
      <c r="AG1347" s="31">
        <v>1</v>
      </c>
      <c r="AH1347" t="s">
        <v>73</v>
      </c>
    </row>
    <row r="1348" spans="1:34">
      <c r="A1348" s="15" t="s">
        <v>1419</v>
      </c>
      <c r="B1348" s="8" t="s">
        <v>1362</v>
      </c>
      <c r="C1348" s="41" t="s">
        <v>37</v>
      </c>
      <c r="D1348" s="1" t="s">
        <v>38</v>
      </c>
      <c r="E1348" s="26" t="s">
        <v>39</v>
      </c>
      <c r="F1348" s="27">
        <v>1</v>
      </c>
      <c r="G1348" s="33">
        <v>1</v>
      </c>
      <c r="H1348" s="41"/>
      <c r="I1348" s="1"/>
      <c r="J1348" s="26"/>
      <c r="K1348" s="27"/>
      <c r="L1348" s="27"/>
      <c r="M1348" s="70"/>
      <c r="N1348" s="1"/>
      <c r="O1348" s="26"/>
      <c r="P1348" s="27"/>
      <c r="Q1348" s="27"/>
      <c r="R1348" s="55" t="s">
        <v>242</v>
      </c>
      <c r="S1348" s="26" t="s">
        <v>38</v>
      </c>
      <c r="T1348" s="26" t="s">
        <v>39</v>
      </c>
      <c r="U1348" s="27">
        <v>0.84745762711864414</v>
      </c>
      <c r="V1348" s="33">
        <v>1</v>
      </c>
      <c r="AG1348" s="31">
        <v>1</v>
      </c>
      <c r="AH1348" t="s">
        <v>73</v>
      </c>
    </row>
    <row r="1349" spans="1:34">
      <c r="A1349" s="15" t="s">
        <v>1420</v>
      </c>
      <c r="B1349" s="8" t="s">
        <v>1362</v>
      </c>
      <c r="C1349" s="41" t="s">
        <v>37</v>
      </c>
      <c r="D1349" s="1" t="s">
        <v>38</v>
      </c>
      <c r="E1349" s="26" t="s">
        <v>39</v>
      </c>
      <c r="F1349" s="27">
        <v>1</v>
      </c>
      <c r="G1349" s="33">
        <v>1</v>
      </c>
      <c r="H1349" s="41"/>
      <c r="I1349" s="1"/>
      <c r="J1349" s="26"/>
      <c r="K1349" s="27"/>
      <c r="L1349" s="27"/>
      <c r="M1349" s="70"/>
      <c r="N1349" s="1"/>
      <c r="O1349" s="26"/>
      <c r="P1349" s="27"/>
      <c r="Q1349" s="27"/>
      <c r="R1349" s="55" t="s">
        <v>242</v>
      </c>
      <c r="S1349" s="26" t="s">
        <v>38</v>
      </c>
      <c r="T1349" s="26" t="s">
        <v>39</v>
      </c>
      <c r="U1349" s="27">
        <v>0.84745762711864414</v>
      </c>
      <c r="V1349" s="33">
        <v>1</v>
      </c>
      <c r="AG1349" s="31">
        <v>1</v>
      </c>
      <c r="AH1349" t="s">
        <v>73</v>
      </c>
    </row>
    <row r="1350" spans="1:34">
      <c r="A1350" s="15" t="s">
        <v>1421</v>
      </c>
      <c r="B1350" s="8" t="s">
        <v>1362</v>
      </c>
      <c r="C1350" s="41" t="s">
        <v>37</v>
      </c>
      <c r="D1350" s="1" t="s">
        <v>38</v>
      </c>
      <c r="E1350" s="26" t="s">
        <v>39</v>
      </c>
      <c r="F1350" s="27">
        <v>1</v>
      </c>
      <c r="G1350" s="33">
        <v>1</v>
      </c>
      <c r="H1350" s="41"/>
      <c r="I1350" s="1"/>
      <c r="J1350" s="26"/>
      <c r="K1350" s="27"/>
      <c r="L1350" s="27"/>
      <c r="M1350" s="70"/>
      <c r="N1350" s="1"/>
      <c r="O1350" s="26"/>
      <c r="P1350" s="27"/>
      <c r="Q1350" s="27"/>
      <c r="R1350" s="55" t="s">
        <v>242</v>
      </c>
      <c r="S1350" s="26" t="s">
        <v>38</v>
      </c>
      <c r="T1350" s="26" t="s">
        <v>39</v>
      </c>
      <c r="U1350" s="27">
        <v>0.84745762711864414</v>
      </c>
      <c r="V1350" s="33">
        <v>1</v>
      </c>
      <c r="AG1350" s="31">
        <v>1</v>
      </c>
      <c r="AH1350" t="s">
        <v>73</v>
      </c>
    </row>
    <row r="1351" spans="1:34">
      <c r="A1351" s="15" t="s">
        <v>1422</v>
      </c>
      <c r="B1351" s="8" t="s">
        <v>1362</v>
      </c>
      <c r="C1351" s="41" t="s">
        <v>37</v>
      </c>
      <c r="D1351" s="1" t="s">
        <v>38</v>
      </c>
      <c r="E1351" s="26" t="s">
        <v>39</v>
      </c>
      <c r="F1351" s="27">
        <v>1</v>
      </c>
      <c r="G1351" s="33">
        <v>1</v>
      </c>
      <c r="H1351" s="41"/>
      <c r="I1351" s="1"/>
      <c r="J1351" s="26"/>
      <c r="K1351" s="27"/>
      <c r="L1351" s="27"/>
      <c r="M1351" s="70"/>
      <c r="N1351" s="1"/>
      <c r="O1351" s="26"/>
      <c r="P1351" s="27"/>
      <c r="Q1351" s="27"/>
      <c r="R1351" s="55" t="s">
        <v>242</v>
      </c>
      <c r="S1351" s="26" t="s">
        <v>38</v>
      </c>
      <c r="T1351" s="26" t="s">
        <v>39</v>
      </c>
      <c r="U1351" s="27">
        <v>0.84745762711864414</v>
      </c>
      <c r="V1351" s="33">
        <v>1</v>
      </c>
      <c r="AG1351" s="31">
        <v>1</v>
      </c>
      <c r="AH1351" t="s">
        <v>73</v>
      </c>
    </row>
    <row r="1352" spans="1:34">
      <c r="A1352" s="15" t="s">
        <v>1423</v>
      </c>
      <c r="B1352" s="8" t="s">
        <v>1362</v>
      </c>
      <c r="C1352" s="41" t="s">
        <v>37</v>
      </c>
      <c r="D1352" s="1" t="s">
        <v>38</v>
      </c>
      <c r="E1352" s="26" t="s">
        <v>39</v>
      </c>
      <c r="F1352" s="27">
        <v>1</v>
      </c>
      <c r="G1352" s="33">
        <v>1</v>
      </c>
      <c r="H1352" s="41"/>
      <c r="I1352" s="1"/>
      <c r="J1352" s="26"/>
      <c r="K1352" s="27"/>
      <c r="L1352" s="27"/>
      <c r="M1352" s="70"/>
      <c r="N1352" s="1"/>
      <c r="O1352" s="26"/>
      <c r="P1352" s="27"/>
      <c r="Q1352" s="27"/>
      <c r="R1352" s="55" t="s">
        <v>242</v>
      </c>
      <c r="S1352" s="26" t="s">
        <v>38</v>
      </c>
      <c r="T1352" s="26" t="s">
        <v>39</v>
      </c>
      <c r="U1352" s="27">
        <v>0.84745762711864414</v>
      </c>
      <c r="V1352" s="33">
        <v>1</v>
      </c>
      <c r="AG1352" s="31">
        <v>1</v>
      </c>
      <c r="AH1352" t="s">
        <v>73</v>
      </c>
    </row>
    <row r="1353" spans="1:34">
      <c r="A1353" s="15" t="s">
        <v>1424</v>
      </c>
      <c r="B1353" s="8" t="s">
        <v>1362</v>
      </c>
      <c r="C1353" s="41" t="s">
        <v>37</v>
      </c>
      <c r="D1353" s="1" t="s">
        <v>38</v>
      </c>
      <c r="E1353" s="26" t="s">
        <v>39</v>
      </c>
      <c r="F1353" s="27">
        <v>1</v>
      </c>
      <c r="G1353" s="33">
        <v>1</v>
      </c>
      <c r="H1353" s="41"/>
      <c r="I1353" s="1"/>
      <c r="J1353" s="26"/>
      <c r="K1353" s="27"/>
      <c r="L1353" s="27"/>
      <c r="M1353" s="70"/>
      <c r="N1353" s="1"/>
      <c r="O1353" s="26"/>
      <c r="P1353" s="27"/>
      <c r="Q1353" s="27"/>
      <c r="R1353" s="55" t="s">
        <v>242</v>
      </c>
      <c r="S1353" s="26" t="s">
        <v>38</v>
      </c>
      <c r="T1353" s="26" t="s">
        <v>39</v>
      </c>
      <c r="U1353" s="27">
        <v>0.84745762711864414</v>
      </c>
      <c r="V1353" s="33">
        <v>1</v>
      </c>
      <c r="AG1353" s="31">
        <v>1</v>
      </c>
      <c r="AH1353" t="s">
        <v>73</v>
      </c>
    </row>
    <row r="1354" spans="1:34">
      <c r="A1354" s="15" t="s">
        <v>1425</v>
      </c>
      <c r="B1354" s="8" t="s">
        <v>1362</v>
      </c>
      <c r="C1354" s="41" t="s">
        <v>37</v>
      </c>
      <c r="D1354" s="1" t="s">
        <v>38</v>
      </c>
      <c r="E1354" s="26" t="s">
        <v>39</v>
      </c>
      <c r="F1354" s="27">
        <v>1</v>
      </c>
      <c r="G1354" s="33">
        <v>1</v>
      </c>
      <c r="H1354" s="41"/>
      <c r="I1354" s="1"/>
      <c r="J1354" s="26"/>
      <c r="K1354" s="27"/>
      <c r="L1354" s="27"/>
      <c r="M1354" s="70"/>
      <c r="N1354" s="1"/>
      <c r="O1354" s="26"/>
      <c r="P1354" s="27"/>
      <c r="Q1354" s="27"/>
      <c r="R1354" s="55" t="s">
        <v>242</v>
      </c>
      <c r="S1354" s="26" t="s">
        <v>38</v>
      </c>
      <c r="T1354" s="26" t="s">
        <v>39</v>
      </c>
      <c r="U1354" s="27">
        <v>0.84745762711864414</v>
      </c>
      <c r="V1354" s="33">
        <v>1</v>
      </c>
      <c r="AG1354" s="31">
        <v>1</v>
      </c>
      <c r="AH1354" t="s">
        <v>73</v>
      </c>
    </row>
    <row r="1355" spans="1:34">
      <c r="A1355" s="15" t="s">
        <v>1426</v>
      </c>
      <c r="B1355" s="8" t="s">
        <v>1362</v>
      </c>
      <c r="C1355" s="41" t="s">
        <v>37</v>
      </c>
      <c r="D1355" s="1" t="s">
        <v>38</v>
      </c>
      <c r="E1355" s="26" t="s">
        <v>39</v>
      </c>
      <c r="F1355" s="27">
        <v>1</v>
      </c>
      <c r="G1355" s="33">
        <v>1</v>
      </c>
      <c r="H1355" s="41"/>
      <c r="I1355" s="1"/>
      <c r="J1355" s="26"/>
      <c r="K1355" s="27"/>
      <c r="L1355" s="27"/>
      <c r="M1355" s="70"/>
      <c r="N1355" s="1"/>
      <c r="O1355" s="26"/>
      <c r="P1355" s="27"/>
      <c r="Q1355" s="27"/>
      <c r="R1355" s="55" t="s">
        <v>242</v>
      </c>
      <c r="S1355" s="26" t="s">
        <v>38</v>
      </c>
      <c r="T1355" s="26" t="s">
        <v>39</v>
      </c>
      <c r="U1355" s="27">
        <v>0.84745762711864414</v>
      </c>
      <c r="V1355" s="33">
        <v>1</v>
      </c>
      <c r="AG1355" s="31">
        <v>1</v>
      </c>
      <c r="AH1355" t="s">
        <v>73</v>
      </c>
    </row>
    <row r="1356" spans="1:34">
      <c r="A1356" s="15" t="s">
        <v>1427</v>
      </c>
      <c r="B1356" s="8" t="s">
        <v>1362</v>
      </c>
      <c r="C1356" s="41" t="s">
        <v>37</v>
      </c>
      <c r="D1356" s="1" t="s">
        <v>38</v>
      </c>
      <c r="E1356" s="26" t="s">
        <v>39</v>
      </c>
      <c r="F1356" s="27">
        <v>1</v>
      </c>
      <c r="G1356" s="33">
        <v>1</v>
      </c>
      <c r="H1356" s="41"/>
      <c r="I1356" s="1"/>
      <c r="J1356" s="26"/>
      <c r="K1356" s="27"/>
      <c r="L1356" s="27"/>
      <c r="M1356" s="70"/>
      <c r="N1356" s="1"/>
      <c r="O1356" s="26"/>
      <c r="P1356" s="27"/>
      <c r="Q1356" s="27"/>
      <c r="R1356" s="55" t="s">
        <v>242</v>
      </c>
      <c r="S1356" s="26" t="s">
        <v>38</v>
      </c>
      <c r="T1356" s="26" t="s">
        <v>39</v>
      </c>
      <c r="U1356" s="27">
        <v>0.84745762711864414</v>
      </c>
      <c r="V1356" s="33">
        <v>1</v>
      </c>
      <c r="AG1356" s="31">
        <v>1</v>
      </c>
      <c r="AH1356" t="s">
        <v>73</v>
      </c>
    </row>
    <row r="1357" spans="1:34">
      <c r="A1357" s="15" t="s">
        <v>1428</v>
      </c>
      <c r="B1357" s="8" t="s">
        <v>1362</v>
      </c>
      <c r="C1357" s="41" t="s">
        <v>37</v>
      </c>
      <c r="D1357" s="1" t="s">
        <v>38</v>
      </c>
      <c r="E1357" s="26" t="s">
        <v>39</v>
      </c>
      <c r="F1357" s="27">
        <v>1</v>
      </c>
      <c r="G1357" s="33">
        <v>1</v>
      </c>
      <c r="H1357" s="41"/>
      <c r="I1357" s="1"/>
      <c r="J1357" s="26"/>
      <c r="K1357" s="27"/>
      <c r="L1357" s="27"/>
      <c r="M1357" s="70"/>
      <c r="N1357" s="1"/>
      <c r="O1357" s="26"/>
      <c r="P1357" s="27"/>
      <c r="Q1357" s="27"/>
      <c r="R1357" s="55" t="s">
        <v>242</v>
      </c>
      <c r="S1357" s="26" t="s">
        <v>38</v>
      </c>
      <c r="T1357" s="26" t="s">
        <v>39</v>
      </c>
      <c r="U1357" s="27">
        <v>0.84745762711864414</v>
      </c>
      <c r="V1357" s="33">
        <v>1</v>
      </c>
      <c r="AG1357" s="31">
        <v>1</v>
      </c>
      <c r="AH1357" t="s">
        <v>73</v>
      </c>
    </row>
    <row r="1358" spans="1:34">
      <c r="A1358" s="15" t="s">
        <v>1429</v>
      </c>
      <c r="B1358" s="8" t="s">
        <v>1362</v>
      </c>
      <c r="C1358" s="41" t="s">
        <v>37</v>
      </c>
      <c r="D1358" s="1" t="s">
        <v>38</v>
      </c>
      <c r="E1358" s="26" t="s">
        <v>39</v>
      </c>
      <c r="F1358" s="27">
        <v>1</v>
      </c>
      <c r="G1358" s="33">
        <v>1</v>
      </c>
      <c r="H1358" s="41"/>
      <c r="I1358" s="1"/>
      <c r="J1358" s="26"/>
      <c r="K1358" s="27"/>
      <c r="L1358" s="27"/>
      <c r="M1358" s="70"/>
      <c r="N1358" s="1"/>
      <c r="O1358" s="26"/>
      <c r="P1358" s="27"/>
      <c r="Q1358" s="27"/>
      <c r="R1358" s="55" t="s">
        <v>242</v>
      </c>
      <c r="S1358" s="26" t="s">
        <v>38</v>
      </c>
      <c r="T1358" s="26" t="s">
        <v>39</v>
      </c>
      <c r="U1358" s="27">
        <v>0.84745762711864414</v>
      </c>
      <c r="V1358" s="33">
        <v>1</v>
      </c>
      <c r="AG1358" s="31">
        <v>1</v>
      </c>
      <c r="AH1358" t="s">
        <v>73</v>
      </c>
    </row>
    <row r="1359" spans="1:34">
      <c r="A1359" s="15" t="s">
        <v>1430</v>
      </c>
      <c r="B1359" s="8" t="s">
        <v>1362</v>
      </c>
      <c r="C1359" s="41" t="s">
        <v>37</v>
      </c>
      <c r="D1359" s="1" t="s">
        <v>38</v>
      </c>
      <c r="E1359" s="26" t="s">
        <v>39</v>
      </c>
      <c r="F1359" s="27">
        <v>1</v>
      </c>
      <c r="G1359" s="33">
        <v>1</v>
      </c>
      <c r="H1359" s="41"/>
      <c r="I1359" s="1"/>
      <c r="J1359" s="26"/>
      <c r="K1359" s="27"/>
      <c r="L1359" s="27"/>
      <c r="M1359" s="70"/>
      <c r="N1359" s="1"/>
      <c r="O1359" s="26"/>
      <c r="P1359" s="27"/>
      <c r="Q1359" s="27"/>
      <c r="R1359" s="55" t="s">
        <v>242</v>
      </c>
      <c r="S1359" s="26" t="s">
        <v>38</v>
      </c>
      <c r="T1359" s="26" t="s">
        <v>39</v>
      </c>
      <c r="U1359" s="27">
        <v>0.84745762711864414</v>
      </c>
      <c r="V1359" s="33">
        <v>1</v>
      </c>
      <c r="AG1359" s="31">
        <v>1</v>
      </c>
      <c r="AH1359" t="s">
        <v>73</v>
      </c>
    </row>
    <row r="1360" spans="1:34">
      <c r="A1360" s="15" t="s">
        <v>1431</v>
      </c>
      <c r="B1360" s="8" t="s">
        <v>1362</v>
      </c>
      <c r="C1360" s="41" t="s">
        <v>37</v>
      </c>
      <c r="D1360" s="1" t="s">
        <v>38</v>
      </c>
      <c r="E1360" s="26" t="s">
        <v>39</v>
      </c>
      <c r="F1360" s="27">
        <v>1</v>
      </c>
      <c r="G1360" s="33">
        <v>1</v>
      </c>
      <c r="H1360" s="41"/>
      <c r="I1360" s="1"/>
      <c r="J1360" s="26"/>
      <c r="K1360" s="27"/>
      <c r="L1360" s="27"/>
      <c r="M1360" s="70"/>
      <c r="N1360" s="1"/>
      <c r="O1360" s="26"/>
      <c r="P1360" s="27"/>
      <c r="Q1360" s="27"/>
      <c r="R1360" s="55" t="s">
        <v>242</v>
      </c>
      <c r="S1360" s="26" t="s">
        <v>38</v>
      </c>
      <c r="T1360" s="26" t="s">
        <v>39</v>
      </c>
      <c r="U1360" s="27">
        <v>0.84745762711864414</v>
      </c>
      <c r="V1360" s="33">
        <v>1</v>
      </c>
      <c r="AG1360" s="31">
        <v>1</v>
      </c>
      <c r="AH1360" t="s">
        <v>73</v>
      </c>
    </row>
    <row r="1361" spans="1:34">
      <c r="A1361" s="15" t="s">
        <v>1432</v>
      </c>
      <c r="B1361" s="8" t="s">
        <v>1362</v>
      </c>
      <c r="C1361" s="41" t="s">
        <v>37</v>
      </c>
      <c r="D1361" s="1" t="s">
        <v>38</v>
      </c>
      <c r="E1361" s="26" t="s">
        <v>39</v>
      </c>
      <c r="F1361" s="27">
        <v>1</v>
      </c>
      <c r="G1361" s="33">
        <v>1</v>
      </c>
      <c r="H1361" s="41"/>
      <c r="I1361" s="1"/>
      <c r="J1361" s="26"/>
      <c r="K1361" s="27"/>
      <c r="L1361" s="27"/>
      <c r="M1361" s="70"/>
      <c r="N1361" s="1"/>
      <c r="O1361" s="26"/>
      <c r="P1361" s="27"/>
      <c r="Q1361" s="27"/>
      <c r="R1361" s="55" t="s">
        <v>242</v>
      </c>
      <c r="S1361" s="26" t="s">
        <v>38</v>
      </c>
      <c r="T1361" s="26" t="s">
        <v>39</v>
      </c>
      <c r="U1361" s="27">
        <v>0.84745762711864414</v>
      </c>
      <c r="V1361" s="33">
        <v>1</v>
      </c>
      <c r="AG1361" s="31">
        <v>0.5</v>
      </c>
      <c r="AH1361" t="s">
        <v>285</v>
      </c>
    </row>
    <row r="1362" spans="1:34">
      <c r="A1362" s="15" t="s">
        <v>1433</v>
      </c>
      <c r="B1362" s="8" t="s">
        <v>1362</v>
      </c>
      <c r="C1362" s="41" t="s">
        <v>37</v>
      </c>
      <c r="D1362" s="1" t="s">
        <v>38</v>
      </c>
      <c r="E1362" s="26" t="s">
        <v>39</v>
      </c>
      <c r="F1362" s="27">
        <v>1</v>
      </c>
      <c r="G1362" s="33">
        <v>1</v>
      </c>
      <c r="H1362" s="41"/>
      <c r="I1362" s="1"/>
      <c r="J1362" s="26"/>
      <c r="K1362" s="27"/>
      <c r="L1362" s="27"/>
      <c r="M1362" s="70"/>
      <c r="N1362" s="1"/>
      <c r="O1362" s="26"/>
      <c r="P1362" s="27"/>
      <c r="Q1362" s="27"/>
      <c r="R1362" s="55" t="s">
        <v>242</v>
      </c>
      <c r="S1362" s="26" t="s">
        <v>38</v>
      </c>
      <c r="T1362" s="26" t="s">
        <v>39</v>
      </c>
      <c r="U1362" s="27">
        <v>0.84745762711864414</v>
      </c>
      <c r="V1362" s="33">
        <v>1</v>
      </c>
      <c r="AG1362" s="31">
        <v>0.5</v>
      </c>
      <c r="AH1362" t="s">
        <v>285</v>
      </c>
    </row>
    <row r="1363" spans="1:34">
      <c r="A1363" s="15" t="s">
        <v>1434</v>
      </c>
      <c r="B1363" s="8" t="s">
        <v>1362</v>
      </c>
      <c r="C1363" s="41" t="s">
        <v>37</v>
      </c>
      <c r="D1363" s="1" t="s">
        <v>38</v>
      </c>
      <c r="E1363" s="26" t="s">
        <v>39</v>
      </c>
      <c r="F1363" s="27">
        <v>1</v>
      </c>
      <c r="G1363" s="33">
        <v>1</v>
      </c>
      <c r="H1363" s="41"/>
      <c r="I1363" s="1"/>
      <c r="J1363" s="26"/>
      <c r="K1363" s="27"/>
      <c r="L1363" s="27"/>
      <c r="M1363" s="70"/>
      <c r="N1363" s="1"/>
      <c r="O1363" s="26"/>
      <c r="P1363" s="27"/>
      <c r="Q1363" s="27"/>
      <c r="R1363" s="55" t="s">
        <v>242</v>
      </c>
      <c r="S1363" s="26" t="s">
        <v>38</v>
      </c>
      <c r="T1363" s="26" t="s">
        <v>39</v>
      </c>
      <c r="U1363" s="27">
        <v>0.84745762711864414</v>
      </c>
      <c r="V1363" s="33">
        <v>1</v>
      </c>
      <c r="AG1363" s="31">
        <v>0.5</v>
      </c>
      <c r="AH1363" t="s">
        <v>285</v>
      </c>
    </row>
    <row r="1364" spans="1:34">
      <c r="A1364" s="15" t="s">
        <v>1435</v>
      </c>
      <c r="B1364" s="8" t="s">
        <v>1362</v>
      </c>
      <c r="C1364" s="41" t="s">
        <v>37</v>
      </c>
      <c r="D1364" s="1" t="s">
        <v>38</v>
      </c>
      <c r="E1364" s="26" t="s">
        <v>39</v>
      </c>
      <c r="F1364" s="27">
        <v>1</v>
      </c>
      <c r="G1364" s="33">
        <v>1</v>
      </c>
      <c r="H1364" s="41"/>
      <c r="I1364" s="1"/>
      <c r="J1364" s="26"/>
      <c r="K1364" s="27"/>
      <c r="L1364" s="27"/>
      <c r="M1364" s="70"/>
      <c r="N1364" s="1"/>
      <c r="O1364" s="26"/>
      <c r="P1364" s="27"/>
      <c r="Q1364" s="27"/>
      <c r="R1364" s="55" t="s">
        <v>242</v>
      </c>
      <c r="S1364" s="26" t="s">
        <v>38</v>
      </c>
      <c r="T1364" s="26" t="s">
        <v>39</v>
      </c>
      <c r="U1364" s="27">
        <v>0.84745762711864414</v>
      </c>
      <c r="V1364" s="33">
        <v>1</v>
      </c>
      <c r="AG1364" s="31">
        <v>0.5</v>
      </c>
      <c r="AH1364" t="s">
        <v>285</v>
      </c>
    </row>
    <row r="1365" spans="1:34">
      <c r="A1365" s="15" t="s">
        <v>1436</v>
      </c>
      <c r="B1365" s="8" t="s">
        <v>1362</v>
      </c>
      <c r="C1365" s="41" t="s">
        <v>37</v>
      </c>
      <c r="D1365" s="1" t="s">
        <v>38</v>
      </c>
      <c r="E1365" s="26" t="s">
        <v>39</v>
      </c>
      <c r="F1365" s="27">
        <v>1</v>
      </c>
      <c r="G1365" s="33">
        <v>1</v>
      </c>
      <c r="H1365" s="41"/>
      <c r="I1365" s="1"/>
      <c r="J1365" s="26"/>
      <c r="K1365" s="27"/>
      <c r="L1365" s="27"/>
      <c r="M1365" s="70"/>
      <c r="N1365" s="1"/>
      <c r="O1365" s="26"/>
      <c r="P1365" s="27"/>
      <c r="Q1365" s="27"/>
      <c r="R1365" s="55" t="s">
        <v>242</v>
      </c>
      <c r="S1365" s="26" t="s">
        <v>38</v>
      </c>
      <c r="T1365" s="26" t="s">
        <v>39</v>
      </c>
      <c r="U1365" s="27">
        <v>0.84745762711864414</v>
      </c>
      <c r="V1365" s="33">
        <v>1</v>
      </c>
      <c r="AG1365" s="31">
        <v>0.5</v>
      </c>
      <c r="AH1365" t="s">
        <v>285</v>
      </c>
    </row>
    <row r="1366" spans="1:34">
      <c r="A1366" s="15" t="s">
        <v>1437</v>
      </c>
      <c r="B1366" s="8" t="s">
        <v>1362</v>
      </c>
      <c r="C1366" s="41" t="s">
        <v>37</v>
      </c>
      <c r="D1366" s="1" t="s">
        <v>38</v>
      </c>
      <c r="E1366" s="26" t="s">
        <v>39</v>
      </c>
      <c r="F1366" s="27">
        <v>1</v>
      </c>
      <c r="G1366" s="33">
        <v>1</v>
      </c>
      <c r="H1366" s="41"/>
      <c r="I1366" s="1"/>
      <c r="J1366" s="26"/>
      <c r="K1366" s="27"/>
      <c r="L1366" s="27"/>
      <c r="M1366" s="70"/>
      <c r="N1366" s="1"/>
      <c r="O1366" s="26"/>
      <c r="P1366" s="27"/>
      <c r="Q1366" s="27"/>
      <c r="R1366" s="55" t="s">
        <v>242</v>
      </c>
      <c r="S1366" s="26" t="s">
        <v>38</v>
      </c>
      <c r="T1366" s="26" t="s">
        <v>39</v>
      </c>
      <c r="U1366" s="27">
        <v>0.84745762711864414</v>
      </c>
      <c r="V1366" s="33">
        <v>1</v>
      </c>
      <c r="AG1366" s="31">
        <v>0.5</v>
      </c>
      <c r="AH1366" t="s">
        <v>285</v>
      </c>
    </row>
    <row r="1367" spans="1:34">
      <c r="A1367" s="15" t="s">
        <v>1438</v>
      </c>
      <c r="B1367" s="8" t="s">
        <v>1362</v>
      </c>
      <c r="C1367" s="41" t="s">
        <v>37</v>
      </c>
      <c r="D1367" s="1" t="s">
        <v>38</v>
      </c>
      <c r="E1367" s="26" t="s">
        <v>39</v>
      </c>
      <c r="F1367" s="27">
        <v>1</v>
      </c>
      <c r="G1367" s="33">
        <v>1</v>
      </c>
      <c r="H1367" s="41"/>
      <c r="I1367" s="1"/>
      <c r="J1367" s="26"/>
      <c r="K1367" s="27"/>
      <c r="L1367" s="27"/>
      <c r="M1367" s="70"/>
      <c r="N1367" s="1"/>
      <c r="O1367" s="26"/>
      <c r="P1367" s="27"/>
      <c r="Q1367" s="27"/>
      <c r="R1367" s="55" t="s">
        <v>242</v>
      </c>
      <c r="S1367" s="26" t="s">
        <v>38</v>
      </c>
      <c r="T1367" s="26" t="s">
        <v>39</v>
      </c>
      <c r="U1367" s="27">
        <v>0.84745762711864414</v>
      </c>
      <c r="V1367" s="33">
        <v>1</v>
      </c>
      <c r="AG1367" s="31">
        <v>0.5</v>
      </c>
      <c r="AH1367" t="s">
        <v>285</v>
      </c>
    </row>
    <row r="1368" spans="1:34">
      <c r="A1368" s="15" t="s">
        <v>1439</v>
      </c>
      <c r="B1368" s="8" t="s">
        <v>1362</v>
      </c>
      <c r="C1368" s="41" t="s">
        <v>37</v>
      </c>
      <c r="D1368" s="1" t="s">
        <v>38</v>
      </c>
      <c r="E1368" s="26" t="s">
        <v>39</v>
      </c>
      <c r="F1368" s="27">
        <v>1</v>
      </c>
      <c r="G1368" s="33">
        <v>1</v>
      </c>
      <c r="H1368" s="41"/>
      <c r="I1368" s="1"/>
      <c r="J1368" s="26"/>
      <c r="K1368" s="27"/>
      <c r="L1368" s="27"/>
      <c r="M1368" s="70"/>
      <c r="N1368" s="1"/>
      <c r="O1368" s="26"/>
      <c r="P1368" s="27"/>
      <c r="Q1368" s="27"/>
      <c r="R1368" s="55" t="s">
        <v>242</v>
      </c>
      <c r="S1368" s="26" t="s">
        <v>38</v>
      </c>
      <c r="T1368" s="26" t="s">
        <v>39</v>
      </c>
      <c r="U1368" s="27">
        <v>0.84745762711864414</v>
      </c>
      <c r="V1368" s="33">
        <v>1</v>
      </c>
      <c r="AG1368" s="31">
        <v>0.5</v>
      </c>
      <c r="AH1368" t="s">
        <v>285</v>
      </c>
    </row>
    <row r="1369" spans="1:34">
      <c r="A1369" s="15" t="s">
        <v>1440</v>
      </c>
      <c r="B1369" s="8" t="s">
        <v>1362</v>
      </c>
      <c r="C1369" s="41" t="s">
        <v>37</v>
      </c>
      <c r="D1369" s="1" t="s">
        <v>38</v>
      </c>
      <c r="E1369" s="26" t="s">
        <v>39</v>
      </c>
      <c r="F1369" s="27">
        <v>1</v>
      </c>
      <c r="G1369" s="33">
        <v>1</v>
      </c>
      <c r="H1369" s="41"/>
      <c r="I1369" s="1"/>
      <c r="J1369" s="26"/>
      <c r="K1369" s="27"/>
      <c r="L1369" s="27"/>
      <c r="M1369" s="70"/>
      <c r="N1369" s="1"/>
      <c r="O1369" s="26"/>
      <c r="P1369" s="27"/>
      <c r="Q1369" s="27"/>
      <c r="R1369" s="55" t="s">
        <v>242</v>
      </c>
      <c r="S1369" s="26" t="s">
        <v>38</v>
      </c>
      <c r="T1369" s="26" t="s">
        <v>39</v>
      </c>
      <c r="U1369" s="27">
        <v>0.84745762711864414</v>
      </c>
      <c r="V1369" s="33">
        <v>1</v>
      </c>
      <c r="AG1369" s="31">
        <v>0.5</v>
      </c>
      <c r="AH1369" t="s">
        <v>285</v>
      </c>
    </row>
    <row r="1370" spans="1:34">
      <c r="A1370" s="15" t="s">
        <v>1441</v>
      </c>
      <c r="B1370" s="8" t="s">
        <v>1362</v>
      </c>
      <c r="C1370" s="41" t="s">
        <v>37</v>
      </c>
      <c r="D1370" s="1" t="s">
        <v>38</v>
      </c>
      <c r="E1370" s="26" t="s">
        <v>39</v>
      </c>
      <c r="F1370" s="27">
        <v>1</v>
      </c>
      <c r="G1370" s="33">
        <v>1</v>
      </c>
      <c r="H1370" s="41"/>
      <c r="I1370" s="1"/>
      <c r="J1370" s="26"/>
      <c r="K1370" s="27"/>
      <c r="L1370" s="27"/>
      <c r="M1370" s="70"/>
      <c r="N1370" s="1"/>
      <c r="O1370" s="26"/>
      <c r="P1370" s="27"/>
      <c r="Q1370" s="27"/>
      <c r="R1370" s="55" t="s">
        <v>242</v>
      </c>
      <c r="S1370" s="26" t="s">
        <v>38</v>
      </c>
      <c r="T1370" s="26" t="s">
        <v>39</v>
      </c>
      <c r="U1370" s="27">
        <v>0.84745762711864414</v>
      </c>
      <c r="V1370" s="33">
        <v>1</v>
      </c>
      <c r="AG1370" s="31">
        <v>0.5</v>
      </c>
      <c r="AH1370" t="s">
        <v>285</v>
      </c>
    </row>
    <row r="1371" spans="1:34">
      <c r="A1371" s="15" t="s">
        <v>1442</v>
      </c>
      <c r="B1371" s="8" t="s">
        <v>1362</v>
      </c>
      <c r="C1371" s="41" t="s">
        <v>37</v>
      </c>
      <c r="D1371" s="1" t="s">
        <v>38</v>
      </c>
      <c r="E1371" s="26" t="s">
        <v>39</v>
      </c>
      <c r="F1371" s="27">
        <v>1</v>
      </c>
      <c r="G1371" s="33">
        <v>1</v>
      </c>
      <c r="H1371" s="41"/>
      <c r="I1371" s="1"/>
      <c r="J1371" s="26"/>
      <c r="K1371" s="27"/>
      <c r="L1371" s="27"/>
      <c r="M1371" s="70"/>
      <c r="N1371" s="1"/>
      <c r="O1371" s="26"/>
      <c r="P1371" s="27"/>
      <c r="Q1371" s="27"/>
      <c r="R1371" s="55" t="s">
        <v>242</v>
      </c>
      <c r="S1371" s="26" t="s">
        <v>38</v>
      </c>
      <c r="T1371" s="26" t="s">
        <v>39</v>
      </c>
      <c r="U1371" s="27">
        <v>0.84745762711864414</v>
      </c>
      <c r="V1371" s="33">
        <v>1</v>
      </c>
      <c r="AG1371" s="31">
        <v>0.5</v>
      </c>
      <c r="AH1371" t="s">
        <v>285</v>
      </c>
    </row>
    <row r="1372" spans="1:34">
      <c r="A1372" s="15" t="s">
        <v>1443</v>
      </c>
      <c r="B1372" s="8" t="s">
        <v>1362</v>
      </c>
      <c r="C1372" s="41" t="s">
        <v>37</v>
      </c>
      <c r="D1372" s="1" t="s">
        <v>38</v>
      </c>
      <c r="E1372" s="26" t="s">
        <v>39</v>
      </c>
      <c r="F1372" s="27">
        <v>1</v>
      </c>
      <c r="G1372" s="33">
        <v>1</v>
      </c>
      <c r="H1372" s="41"/>
      <c r="I1372" s="1"/>
      <c r="J1372" s="26"/>
      <c r="K1372" s="27"/>
      <c r="L1372" s="27"/>
      <c r="M1372" s="70"/>
      <c r="N1372" s="1"/>
      <c r="O1372" s="26"/>
      <c r="P1372" s="27"/>
      <c r="Q1372" s="27"/>
      <c r="R1372" s="55" t="s">
        <v>242</v>
      </c>
      <c r="S1372" s="26" t="s">
        <v>38</v>
      </c>
      <c r="T1372" s="26" t="s">
        <v>39</v>
      </c>
      <c r="U1372" s="27">
        <v>0.84745762711864414</v>
      </c>
      <c r="V1372" s="33">
        <v>1</v>
      </c>
      <c r="AG1372" s="31">
        <v>0.5</v>
      </c>
      <c r="AH1372" t="s">
        <v>285</v>
      </c>
    </row>
    <row r="1373" spans="1:34">
      <c r="A1373" s="15" t="s">
        <v>1444</v>
      </c>
      <c r="B1373" s="8" t="s">
        <v>1362</v>
      </c>
      <c r="C1373" s="41" t="s">
        <v>37</v>
      </c>
      <c r="D1373" s="1" t="s">
        <v>38</v>
      </c>
      <c r="E1373" s="26" t="s">
        <v>39</v>
      </c>
      <c r="F1373" s="27">
        <v>1</v>
      </c>
      <c r="G1373" s="33">
        <v>1</v>
      </c>
      <c r="H1373" s="41"/>
      <c r="I1373" s="1"/>
      <c r="J1373" s="26"/>
      <c r="K1373" s="27"/>
      <c r="L1373" s="27"/>
      <c r="M1373" s="70"/>
      <c r="N1373" s="1"/>
      <c r="O1373" s="26"/>
      <c r="P1373" s="27"/>
      <c r="Q1373" s="27"/>
      <c r="R1373" s="55" t="s">
        <v>242</v>
      </c>
      <c r="S1373" s="26" t="s">
        <v>38</v>
      </c>
      <c r="T1373" s="26" t="s">
        <v>39</v>
      </c>
      <c r="U1373" s="27">
        <v>0.84745762711864414</v>
      </c>
      <c r="V1373" s="33">
        <v>1</v>
      </c>
      <c r="AG1373" s="31">
        <v>0.5</v>
      </c>
      <c r="AH1373" t="s">
        <v>285</v>
      </c>
    </row>
    <row r="1374" spans="1:34">
      <c r="A1374" s="16" t="s">
        <v>1445</v>
      </c>
      <c r="B1374" s="8" t="s">
        <v>1362</v>
      </c>
      <c r="C1374" s="41" t="s">
        <v>37</v>
      </c>
      <c r="D1374" s="1" t="s">
        <v>38</v>
      </c>
      <c r="E1374" s="26" t="s">
        <v>39</v>
      </c>
      <c r="F1374" s="27">
        <v>1</v>
      </c>
      <c r="G1374" s="33">
        <v>1</v>
      </c>
      <c r="H1374" s="41"/>
      <c r="I1374" s="1"/>
      <c r="J1374" s="26"/>
      <c r="K1374" s="27"/>
      <c r="L1374" s="27"/>
      <c r="M1374" s="70"/>
      <c r="N1374" s="1"/>
      <c r="O1374" s="26"/>
      <c r="P1374" s="27"/>
      <c r="Q1374" s="27"/>
      <c r="R1374" s="55" t="s">
        <v>242</v>
      </c>
      <c r="S1374" s="26" t="s">
        <v>38</v>
      </c>
      <c r="T1374" s="26" t="s">
        <v>39</v>
      </c>
      <c r="U1374" s="27">
        <v>0.84745762711864414</v>
      </c>
      <c r="V1374" s="33">
        <v>1</v>
      </c>
      <c r="AG1374" s="31">
        <v>0.5</v>
      </c>
      <c r="AH1374" t="s">
        <v>285</v>
      </c>
    </row>
    <row r="1375" spans="1:34" s="6" customFormat="1">
      <c r="A1375" s="15" t="s">
        <v>1446</v>
      </c>
      <c r="B1375" s="9" t="s">
        <v>1447</v>
      </c>
      <c r="C1375" s="41" t="s">
        <v>37</v>
      </c>
      <c r="D1375" s="1" t="s">
        <v>38</v>
      </c>
      <c r="E1375" s="26" t="s">
        <v>39</v>
      </c>
      <c r="F1375" s="27">
        <v>0.94339622641509424</v>
      </c>
      <c r="G1375" s="33">
        <v>0.5</v>
      </c>
      <c r="H1375" s="26" t="s">
        <v>40</v>
      </c>
      <c r="I1375" s="26" t="s">
        <v>41</v>
      </c>
      <c r="J1375" s="26" t="s">
        <v>42</v>
      </c>
      <c r="K1375" s="27">
        <v>2.3255813953488373</v>
      </c>
      <c r="L1375" s="27">
        <v>0.5</v>
      </c>
      <c r="M1375" s="70"/>
      <c r="N1375" s="26"/>
      <c r="O1375" s="26"/>
      <c r="P1375" s="27"/>
      <c r="Q1375" s="36"/>
      <c r="R1375" s="26" t="s">
        <v>1448</v>
      </c>
      <c r="S1375" s="26" t="e">
        <v>#N/A</v>
      </c>
      <c r="T1375" s="26" t="e">
        <v>#N/A</v>
      </c>
      <c r="U1375" s="27" t="e">
        <v>#N/A</v>
      </c>
      <c r="V1375" s="33">
        <v>1</v>
      </c>
      <c r="W1375" s="28"/>
      <c r="X1375" s="28"/>
      <c r="Y1375" s="28"/>
      <c r="Z1375" s="29"/>
      <c r="AA1375" s="28"/>
      <c r="AB1375" s="74"/>
      <c r="AC1375" s="28"/>
      <c r="AD1375" s="28"/>
      <c r="AE1375" s="28"/>
      <c r="AF1375" s="39"/>
      <c r="AG1375" s="29">
        <v>0</v>
      </c>
      <c r="AH1375" s="6" t="s">
        <v>44</v>
      </c>
    </row>
    <row r="1376" spans="1:34">
      <c r="A1376" s="15" t="s">
        <v>1449</v>
      </c>
      <c r="B1376" s="8" t="s">
        <v>1447</v>
      </c>
      <c r="C1376" s="41" t="s">
        <v>37</v>
      </c>
      <c r="D1376" s="1" t="s">
        <v>38</v>
      </c>
      <c r="E1376" s="26" t="s">
        <v>39</v>
      </c>
      <c r="F1376" s="27">
        <v>0.94339622641509424</v>
      </c>
      <c r="G1376" s="33">
        <v>0.5</v>
      </c>
      <c r="H1376" s="26" t="s">
        <v>40</v>
      </c>
      <c r="I1376" s="26" t="s">
        <v>41</v>
      </c>
      <c r="J1376" s="26" t="s">
        <v>42</v>
      </c>
      <c r="K1376" s="27">
        <v>2.3255813953488373</v>
      </c>
      <c r="L1376" s="27">
        <v>0.5</v>
      </c>
      <c r="M1376" s="70"/>
      <c r="N1376" s="26"/>
      <c r="O1376" s="26"/>
      <c r="P1376" s="27"/>
      <c r="Q1376" s="36"/>
      <c r="R1376" s="26" t="s">
        <v>1448</v>
      </c>
      <c r="S1376" s="26" t="e">
        <v>#N/A</v>
      </c>
      <c r="T1376" s="26" t="e">
        <v>#N/A</v>
      </c>
      <c r="U1376" s="27" t="e">
        <v>#N/A</v>
      </c>
      <c r="V1376" s="33">
        <v>1</v>
      </c>
      <c r="AG1376" s="31">
        <v>0</v>
      </c>
      <c r="AH1376" t="s">
        <v>44</v>
      </c>
    </row>
    <row r="1377" spans="1:34">
      <c r="A1377" s="15" t="s">
        <v>1450</v>
      </c>
      <c r="B1377" s="8" t="s">
        <v>1447</v>
      </c>
      <c r="C1377" s="41" t="s">
        <v>37</v>
      </c>
      <c r="D1377" s="1" t="s">
        <v>38</v>
      </c>
      <c r="E1377" s="26" t="s">
        <v>39</v>
      </c>
      <c r="F1377" s="27">
        <v>0.94339622641509424</v>
      </c>
      <c r="G1377" s="33">
        <v>0.5</v>
      </c>
      <c r="H1377" s="26" t="s">
        <v>40</v>
      </c>
      <c r="I1377" s="26" t="s">
        <v>41</v>
      </c>
      <c r="J1377" s="26" t="s">
        <v>42</v>
      </c>
      <c r="K1377" s="27">
        <v>2.3255813953488373</v>
      </c>
      <c r="L1377" s="27">
        <v>0.5</v>
      </c>
      <c r="M1377" s="70"/>
      <c r="N1377" s="26"/>
      <c r="O1377" s="26"/>
      <c r="P1377" s="27"/>
      <c r="Q1377" s="36"/>
      <c r="R1377" s="26" t="s">
        <v>1448</v>
      </c>
      <c r="S1377" s="26" t="e">
        <v>#N/A</v>
      </c>
      <c r="T1377" s="26" t="e">
        <v>#N/A</v>
      </c>
      <c r="U1377" s="27" t="e">
        <v>#N/A</v>
      </c>
      <c r="V1377" s="33">
        <v>1</v>
      </c>
      <c r="AG1377" s="31">
        <v>0</v>
      </c>
      <c r="AH1377" t="s">
        <v>44</v>
      </c>
    </row>
    <row r="1378" spans="1:34">
      <c r="A1378" s="15" t="s">
        <v>1451</v>
      </c>
      <c r="B1378" s="8" t="s">
        <v>1447</v>
      </c>
      <c r="C1378" s="41" t="s">
        <v>37</v>
      </c>
      <c r="D1378" s="1" t="s">
        <v>38</v>
      </c>
      <c r="E1378" s="26" t="s">
        <v>39</v>
      </c>
      <c r="F1378" s="27">
        <v>0.94339622641509424</v>
      </c>
      <c r="G1378" s="33">
        <v>0.5</v>
      </c>
      <c r="H1378" s="26" t="s">
        <v>40</v>
      </c>
      <c r="I1378" s="26" t="s">
        <v>41</v>
      </c>
      <c r="J1378" s="26" t="s">
        <v>42</v>
      </c>
      <c r="K1378" s="27">
        <v>2.3255813953488373</v>
      </c>
      <c r="L1378" s="27">
        <v>0.5</v>
      </c>
      <c r="M1378" s="70"/>
      <c r="N1378" s="26"/>
      <c r="O1378" s="26"/>
      <c r="P1378" s="27"/>
      <c r="Q1378" s="36"/>
      <c r="R1378" s="26" t="s">
        <v>1448</v>
      </c>
      <c r="S1378" s="26" t="e">
        <v>#N/A</v>
      </c>
      <c r="T1378" s="26" t="e">
        <v>#N/A</v>
      </c>
      <c r="U1378" s="27" t="e">
        <v>#N/A</v>
      </c>
      <c r="V1378" s="33">
        <v>1</v>
      </c>
      <c r="AG1378" s="31">
        <v>0</v>
      </c>
      <c r="AH1378" t="s">
        <v>44</v>
      </c>
    </row>
    <row r="1379" spans="1:34">
      <c r="A1379" s="15" t="s">
        <v>1452</v>
      </c>
      <c r="B1379" s="8" t="s">
        <v>1447</v>
      </c>
      <c r="C1379" s="41" t="s">
        <v>37</v>
      </c>
      <c r="D1379" s="1" t="s">
        <v>38</v>
      </c>
      <c r="E1379" s="26" t="s">
        <v>39</v>
      </c>
      <c r="F1379" s="27">
        <v>0.94339622641509424</v>
      </c>
      <c r="G1379" s="33">
        <v>0.5</v>
      </c>
      <c r="H1379" s="26" t="s">
        <v>40</v>
      </c>
      <c r="I1379" s="26" t="s">
        <v>41</v>
      </c>
      <c r="J1379" s="26" t="s">
        <v>42</v>
      </c>
      <c r="K1379" s="27">
        <v>2.3255813953488373</v>
      </c>
      <c r="L1379" s="27">
        <v>0.5</v>
      </c>
      <c r="M1379" s="70"/>
      <c r="N1379" s="26"/>
      <c r="O1379" s="26"/>
      <c r="P1379" s="27"/>
      <c r="Q1379" s="36"/>
      <c r="R1379" s="26" t="s">
        <v>1448</v>
      </c>
      <c r="S1379" s="26" t="e">
        <v>#N/A</v>
      </c>
      <c r="T1379" s="26" t="e">
        <v>#N/A</v>
      </c>
      <c r="U1379" s="27" t="e">
        <v>#N/A</v>
      </c>
      <c r="V1379" s="33">
        <v>1</v>
      </c>
      <c r="AG1379" s="31">
        <v>0</v>
      </c>
      <c r="AH1379" t="s">
        <v>44</v>
      </c>
    </row>
    <row r="1380" spans="1:34">
      <c r="A1380" s="15" t="s">
        <v>1453</v>
      </c>
      <c r="B1380" s="8" t="s">
        <v>1447</v>
      </c>
      <c r="C1380" s="41" t="s">
        <v>37</v>
      </c>
      <c r="D1380" s="1" t="s">
        <v>38</v>
      </c>
      <c r="E1380" s="26" t="s">
        <v>39</v>
      </c>
      <c r="F1380" s="27">
        <v>0.94339622641509424</v>
      </c>
      <c r="G1380" s="33">
        <v>0.5</v>
      </c>
      <c r="H1380" s="26" t="s">
        <v>40</v>
      </c>
      <c r="I1380" s="26" t="s">
        <v>41</v>
      </c>
      <c r="J1380" s="26" t="s">
        <v>42</v>
      </c>
      <c r="K1380" s="27">
        <v>2.3255813953488373</v>
      </c>
      <c r="L1380" s="27">
        <v>0.5</v>
      </c>
      <c r="M1380" s="70"/>
      <c r="N1380" s="26"/>
      <c r="O1380" s="26"/>
      <c r="P1380" s="27"/>
      <c r="Q1380" s="36"/>
      <c r="R1380" s="26" t="s">
        <v>1448</v>
      </c>
      <c r="S1380" s="26" t="e">
        <v>#N/A</v>
      </c>
      <c r="T1380" s="26" t="e">
        <v>#N/A</v>
      </c>
      <c r="U1380" s="27" t="e">
        <v>#N/A</v>
      </c>
      <c r="V1380" s="33">
        <v>1</v>
      </c>
      <c r="AG1380" s="31">
        <v>0</v>
      </c>
      <c r="AH1380" t="s">
        <v>44</v>
      </c>
    </row>
    <row r="1381" spans="1:34">
      <c r="A1381" s="15" t="s">
        <v>1454</v>
      </c>
      <c r="B1381" s="8" t="s">
        <v>1447</v>
      </c>
      <c r="C1381" s="41" t="s">
        <v>37</v>
      </c>
      <c r="D1381" s="1" t="s">
        <v>38</v>
      </c>
      <c r="E1381" s="26" t="s">
        <v>39</v>
      </c>
      <c r="F1381" s="27">
        <v>0.94339622641509424</v>
      </c>
      <c r="G1381" s="33">
        <v>0.5</v>
      </c>
      <c r="H1381" s="26" t="s">
        <v>40</v>
      </c>
      <c r="I1381" s="26" t="s">
        <v>41</v>
      </c>
      <c r="J1381" s="26" t="s">
        <v>42</v>
      </c>
      <c r="K1381" s="27">
        <v>2.3255813953488373</v>
      </c>
      <c r="L1381" s="27">
        <v>0.5</v>
      </c>
      <c r="M1381" s="70"/>
      <c r="N1381" s="26"/>
      <c r="O1381" s="26"/>
      <c r="P1381" s="27"/>
      <c r="Q1381" s="36"/>
      <c r="R1381" s="26" t="s">
        <v>1448</v>
      </c>
      <c r="S1381" s="26" t="e">
        <v>#N/A</v>
      </c>
      <c r="T1381" s="26" t="e">
        <v>#N/A</v>
      </c>
      <c r="U1381" s="27" t="e">
        <v>#N/A</v>
      </c>
      <c r="V1381" s="33">
        <v>1</v>
      </c>
      <c r="AG1381" s="31">
        <v>0</v>
      </c>
      <c r="AH1381" t="s">
        <v>44</v>
      </c>
    </row>
    <row r="1382" spans="1:34">
      <c r="A1382" s="15" t="s">
        <v>1455</v>
      </c>
      <c r="B1382" s="8" t="s">
        <v>1447</v>
      </c>
      <c r="C1382" s="41" t="s">
        <v>37</v>
      </c>
      <c r="D1382" s="1" t="s">
        <v>38</v>
      </c>
      <c r="E1382" s="26" t="s">
        <v>39</v>
      </c>
      <c r="F1382" s="27">
        <v>0.94339622641509424</v>
      </c>
      <c r="G1382" s="33">
        <v>0.5</v>
      </c>
      <c r="H1382" s="26" t="s">
        <v>40</v>
      </c>
      <c r="I1382" s="26" t="s">
        <v>41</v>
      </c>
      <c r="J1382" s="26" t="s">
        <v>42</v>
      </c>
      <c r="K1382" s="27">
        <v>2.3255813953488373</v>
      </c>
      <c r="L1382" s="27">
        <v>0.5</v>
      </c>
      <c r="M1382" s="70"/>
      <c r="N1382" s="26"/>
      <c r="O1382" s="26"/>
      <c r="P1382" s="27"/>
      <c r="Q1382" s="36"/>
      <c r="R1382" s="26" t="s">
        <v>1448</v>
      </c>
      <c r="S1382" s="26" t="e">
        <v>#N/A</v>
      </c>
      <c r="T1382" s="26" t="e">
        <v>#N/A</v>
      </c>
      <c r="U1382" s="27" t="e">
        <v>#N/A</v>
      </c>
      <c r="V1382" s="33">
        <v>1</v>
      </c>
      <c r="AG1382" s="31">
        <v>0</v>
      </c>
      <c r="AH1382" t="s">
        <v>44</v>
      </c>
    </row>
    <row r="1383" spans="1:34">
      <c r="A1383" s="15" t="s">
        <v>1456</v>
      </c>
      <c r="B1383" s="8" t="s">
        <v>1447</v>
      </c>
      <c r="C1383" s="41" t="s">
        <v>37</v>
      </c>
      <c r="D1383" s="1" t="s">
        <v>38</v>
      </c>
      <c r="E1383" s="26" t="s">
        <v>39</v>
      </c>
      <c r="F1383" s="27">
        <v>0.94339622641509424</v>
      </c>
      <c r="G1383" s="33">
        <v>0.5</v>
      </c>
      <c r="H1383" s="26" t="s">
        <v>40</v>
      </c>
      <c r="I1383" s="26" t="s">
        <v>41</v>
      </c>
      <c r="J1383" s="26" t="s">
        <v>42</v>
      </c>
      <c r="K1383" s="27">
        <v>2.3255813953488373</v>
      </c>
      <c r="L1383" s="27">
        <v>0.5</v>
      </c>
      <c r="M1383" s="70"/>
      <c r="N1383" s="26"/>
      <c r="O1383" s="26"/>
      <c r="P1383" s="27"/>
      <c r="Q1383" s="36"/>
      <c r="R1383" s="26" t="s">
        <v>1448</v>
      </c>
      <c r="S1383" s="26" t="e">
        <v>#N/A</v>
      </c>
      <c r="T1383" s="26" t="e">
        <v>#N/A</v>
      </c>
      <c r="U1383" s="27" t="e">
        <v>#N/A</v>
      </c>
      <c r="V1383" s="33">
        <v>1</v>
      </c>
      <c r="AG1383" s="31">
        <v>0</v>
      </c>
      <c r="AH1383" t="s">
        <v>44</v>
      </c>
    </row>
    <row r="1384" spans="1:34">
      <c r="A1384" s="15" t="s">
        <v>1457</v>
      </c>
      <c r="B1384" s="8" t="s">
        <v>1447</v>
      </c>
      <c r="C1384" s="41" t="s">
        <v>37</v>
      </c>
      <c r="D1384" s="1" t="s">
        <v>38</v>
      </c>
      <c r="E1384" s="26" t="s">
        <v>39</v>
      </c>
      <c r="F1384" s="27">
        <v>0.94339622641509424</v>
      </c>
      <c r="G1384" s="33">
        <v>0.5</v>
      </c>
      <c r="H1384" s="26" t="s">
        <v>40</v>
      </c>
      <c r="I1384" s="26" t="s">
        <v>41</v>
      </c>
      <c r="J1384" s="26" t="s">
        <v>42</v>
      </c>
      <c r="K1384" s="27">
        <v>2.3255813953488373</v>
      </c>
      <c r="L1384" s="27">
        <v>0.5</v>
      </c>
      <c r="M1384" s="70"/>
      <c r="N1384" s="26"/>
      <c r="O1384" s="26"/>
      <c r="P1384" s="27"/>
      <c r="Q1384" s="36"/>
      <c r="R1384" s="26" t="s">
        <v>1448</v>
      </c>
      <c r="S1384" s="26" t="e">
        <v>#N/A</v>
      </c>
      <c r="T1384" s="26" t="e">
        <v>#N/A</v>
      </c>
      <c r="U1384" s="27" t="e">
        <v>#N/A</v>
      </c>
      <c r="V1384" s="33">
        <v>1</v>
      </c>
      <c r="AG1384" s="31">
        <v>0</v>
      </c>
      <c r="AH1384" t="s">
        <v>44</v>
      </c>
    </row>
    <row r="1385" spans="1:34">
      <c r="A1385" s="15" t="s">
        <v>1458</v>
      </c>
      <c r="B1385" s="8" t="s">
        <v>1447</v>
      </c>
      <c r="C1385" s="41" t="s">
        <v>37</v>
      </c>
      <c r="D1385" s="1" t="s">
        <v>38</v>
      </c>
      <c r="E1385" s="26" t="s">
        <v>39</v>
      </c>
      <c r="F1385" s="27">
        <v>0.94339622641509424</v>
      </c>
      <c r="G1385" s="33">
        <v>0.5</v>
      </c>
      <c r="H1385" s="26" t="s">
        <v>40</v>
      </c>
      <c r="I1385" s="26" t="s">
        <v>41</v>
      </c>
      <c r="J1385" s="26" t="s">
        <v>42</v>
      </c>
      <c r="K1385" s="27">
        <v>2.3255813953488373</v>
      </c>
      <c r="L1385" s="27">
        <v>0.5</v>
      </c>
      <c r="M1385" s="70"/>
      <c r="N1385" s="26"/>
      <c r="O1385" s="26"/>
      <c r="P1385" s="27"/>
      <c r="Q1385" s="36"/>
      <c r="R1385" s="26" t="s">
        <v>1448</v>
      </c>
      <c r="S1385" s="26" t="e">
        <v>#N/A</v>
      </c>
      <c r="T1385" s="26" t="e">
        <v>#N/A</v>
      </c>
      <c r="U1385" s="27" t="e">
        <v>#N/A</v>
      </c>
      <c r="V1385" s="33">
        <v>1</v>
      </c>
      <c r="AG1385" s="31">
        <v>0</v>
      </c>
      <c r="AH1385" t="s">
        <v>44</v>
      </c>
    </row>
    <row r="1386" spans="1:34">
      <c r="A1386" s="15" t="s">
        <v>1459</v>
      </c>
      <c r="B1386" s="8" t="s">
        <v>1447</v>
      </c>
      <c r="C1386" s="41" t="s">
        <v>37</v>
      </c>
      <c r="D1386" s="1" t="s">
        <v>38</v>
      </c>
      <c r="E1386" s="26" t="s">
        <v>39</v>
      </c>
      <c r="F1386" s="27">
        <v>0.94339622641509424</v>
      </c>
      <c r="G1386" s="33">
        <v>0.5</v>
      </c>
      <c r="H1386" s="26" t="s">
        <v>40</v>
      </c>
      <c r="I1386" s="26" t="s">
        <v>41</v>
      </c>
      <c r="J1386" s="26" t="s">
        <v>42</v>
      </c>
      <c r="K1386" s="27">
        <v>2.3255813953488373</v>
      </c>
      <c r="L1386" s="27">
        <v>0.5</v>
      </c>
      <c r="M1386" s="70"/>
      <c r="N1386" s="26"/>
      <c r="O1386" s="26"/>
      <c r="P1386" s="27"/>
      <c r="Q1386" s="36"/>
      <c r="R1386" s="26" t="s">
        <v>1448</v>
      </c>
      <c r="S1386" s="26" t="e">
        <v>#N/A</v>
      </c>
      <c r="T1386" s="26" t="e">
        <v>#N/A</v>
      </c>
      <c r="U1386" s="27" t="e">
        <v>#N/A</v>
      </c>
      <c r="V1386" s="33">
        <v>1</v>
      </c>
      <c r="AG1386" s="31">
        <v>0</v>
      </c>
      <c r="AH1386" t="s">
        <v>44</v>
      </c>
    </row>
    <row r="1387" spans="1:34">
      <c r="A1387" s="15" t="s">
        <v>1460</v>
      </c>
      <c r="B1387" s="8" t="s">
        <v>1447</v>
      </c>
      <c r="C1387" s="41" t="s">
        <v>37</v>
      </c>
      <c r="D1387" s="1" t="s">
        <v>38</v>
      </c>
      <c r="E1387" s="26" t="s">
        <v>39</v>
      </c>
      <c r="F1387" s="27">
        <v>0.94339622641509424</v>
      </c>
      <c r="G1387" s="33">
        <v>0.5</v>
      </c>
      <c r="H1387" s="26" t="s">
        <v>40</v>
      </c>
      <c r="I1387" s="26" t="s">
        <v>41</v>
      </c>
      <c r="J1387" s="26" t="s">
        <v>42</v>
      </c>
      <c r="K1387" s="27">
        <v>2.3255813953488373</v>
      </c>
      <c r="L1387" s="27">
        <v>0.5</v>
      </c>
      <c r="M1387" s="70"/>
      <c r="N1387" s="26"/>
      <c r="O1387" s="26"/>
      <c r="P1387" s="27"/>
      <c r="Q1387" s="36"/>
      <c r="R1387" s="26" t="s">
        <v>1448</v>
      </c>
      <c r="S1387" s="26" t="e">
        <v>#N/A</v>
      </c>
      <c r="T1387" s="26" t="e">
        <v>#N/A</v>
      </c>
      <c r="U1387" s="27" t="e">
        <v>#N/A</v>
      </c>
      <c r="V1387" s="33">
        <v>1</v>
      </c>
      <c r="AG1387" s="31">
        <v>0</v>
      </c>
      <c r="AH1387" t="s">
        <v>44</v>
      </c>
    </row>
    <row r="1388" spans="1:34">
      <c r="A1388" s="15" t="s">
        <v>1461</v>
      </c>
      <c r="B1388" s="8" t="s">
        <v>1447</v>
      </c>
      <c r="C1388" s="41" t="s">
        <v>37</v>
      </c>
      <c r="D1388" s="1" t="s">
        <v>38</v>
      </c>
      <c r="E1388" s="26" t="s">
        <v>39</v>
      </c>
      <c r="F1388" s="27">
        <v>0.94339622641509424</v>
      </c>
      <c r="G1388" s="33">
        <v>0.5</v>
      </c>
      <c r="H1388" s="26" t="s">
        <v>40</v>
      </c>
      <c r="I1388" s="26" t="s">
        <v>41</v>
      </c>
      <c r="J1388" s="26" t="s">
        <v>42</v>
      </c>
      <c r="K1388" s="27">
        <v>2.3255813953488373</v>
      </c>
      <c r="L1388" s="27">
        <v>0.5</v>
      </c>
      <c r="M1388" s="70"/>
      <c r="N1388" s="26"/>
      <c r="O1388" s="26"/>
      <c r="P1388" s="27"/>
      <c r="Q1388" s="36"/>
      <c r="R1388" s="26" t="s">
        <v>1448</v>
      </c>
      <c r="S1388" s="26" t="e">
        <v>#N/A</v>
      </c>
      <c r="T1388" s="26" t="e">
        <v>#N/A</v>
      </c>
      <c r="U1388" s="27" t="e">
        <v>#N/A</v>
      </c>
      <c r="V1388" s="33">
        <v>1</v>
      </c>
      <c r="AG1388" s="31">
        <v>0</v>
      </c>
      <c r="AH1388" t="s">
        <v>44</v>
      </c>
    </row>
    <row r="1389" spans="1:34">
      <c r="A1389" s="15" t="s">
        <v>1462</v>
      </c>
      <c r="B1389" s="8" t="s">
        <v>1447</v>
      </c>
      <c r="C1389" s="41" t="s">
        <v>37</v>
      </c>
      <c r="D1389" s="1" t="s">
        <v>38</v>
      </c>
      <c r="E1389" s="26" t="s">
        <v>39</v>
      </c>
      <c r="F1389" s="27">
        <v>0.94339622641509424</v>
      </c>
      <c r="G1389" s="33">
        <v>0.5</v>
      </c>
      <c r="H1389" s="26" t="s">
        <v>40</v>
      </c>
      <c r="I1389" s="26" t="s">
        <v>41</v>
      </c>
      <c r="J1389" s="26" t="s">
        <v>42</v>
      </c>
      <c r="K1389" s="27">
        <v>2.3255813953488373</v>
      </c>
      <c r="L1389" s="27">
        <v>0.5</v>
      </c>
      <c r="M1389" s="70"/>
      <c r="N1389" s="26"/>
      <c r="O1389" s="26"/>
      <c r="P1389" s="27"/>
      <c r="Q1389" s="36"/>
      <c r="R1389" s="26" t="s">
        <v>1448</v>
      </c>
      <c r="S1389" s="26" t="e">
        <v>#N/A</v>
      </c>
      <c r="T1389" s="26" t="e">
        <v>#N/A</v>
      </c>
      <c r="U1389" s="27" t="e">
        <v>#N/A</v>
      </c>
      <c r="V1389" s="33">
        <v>1</v>
      </c>
      <c r="AG1389" s="31">
        <v>0</v>
      </c>
      <c r="AH1389" t="s">
        <v>44</v>
      </c>
    </row>
    <row r="1390" spans="1:34">
      <c r="A1390" s="15" t="s">
        <v>1463</v>
      </c>
      <c r="B1390" s="8" t="s">
        <v>1447</v>
      </c>
      <c r="C1390" s="41" t="s">
        <v>37</v>
      </c>
      <c r="D1390" s="1" t="s">
        <v>38</v>
      </c>
      <c r="E1390" s="26" t="s">
        <v>39</v>
      </c>
      <c r="F1390" s="27">
        <v>0.94339622641509424</v>
      </c>
      <c r="G1390" s="33">
        <v>0.5</v>
      </c>
      <c r="H1390" s="26" t="s">
        <v>40</v>
      </c>
      <c r="I1390" s="26" t="s">
        <v>41</v>
      </c>
      <c r="J1390" s="26" t="s">
        <v>42</v>
      </c>
      <c r="K1390" s="27">
        <v>2.3255813953488373</v>
      </c>
      <c r="L1390" s="27">
        <v>0.5</v>
      </c>
      <c r="M1390" s="70"/>
      <c r="N1390" s="26"/>
      <c r="O1390" s="26"/>
      <c r="P1390" s="27"/>
      <c r="Q1390" s="36"/>
      <c r="R1390" s="26" t="s">
        <v>1448</v>
      </c>
      <c r="S1390" s="26" t="e">
        <v>#N/A</v>
      </c>
      <c r="T1390" s="26" t="e">
        <v>#N/A</v>
      </c>
      <c r="U1390" s="27" t="e">
        <v>#N/A</v>
      </c>
      <c r="V1390" s="33">
        <v>1</v>
      </c>
      <c r="AG1390" s="31">
        <v>0</v>
      </c>
      <c r="AH1390" t="s">
        <v>44</v>
      </c>
    </row>
    <row r="1391" spans="1:34">
      <c r="A1391" s="15" t="s">
        <v>1464</v>
      </c>
      <c r="B1391" s="8" t="s">
        <v>1447</v>
      </c>
      <c r="C1391" s="41" t="s">
        <v>37</v>
      </c>
      <c r="D1391" s="1" t="s">
        <v>38</v>
      </c>
      <c r="E1391" s="26" t="s">
        <v>39</v>
      </c>
      <c r="F1391" s="27">
        <v>0.94339622641509424</v>
      </c>
      <c r="G1391" s="33">
        <v>0.5</v>
      </c>
      <c r="H1391" s="26" t="s">
        <v>40</v>
      </c>
      <c r="I1391" s="26" t="s">
        <v>41</v>
      </c>
      <c r="J1391" s="26" t="s">
        <v>42</v>
      </c>
      <c r="K1391" s="27">
        <v>2.3255813953488373</v>
      </c>
      <c r="L1391" s="27">
        <v>0.5</v>
      </c>
      <c r="M1391" s="70"/>
      <c r="N1391" s="26"/>
      <c r="O1391" s="26"/>
      <c r="P1391" s="27"/>
      <c r="Q1391" s="36"/>
      <c r="R1391" s="26" t="s">
        <v>1448</v>
      </c>
      <c r="S1391" s="26" t="e">
        <v>#N/A</v>
      </c>
      <c r="T1391" s="26" t="e">
        <v>#N/A</v>
      </c>
      <c r="U1391" s="27" t="e">
        <v>#N/A</v>
      </c>
      <c r="V1391" s="33">
        <v>1</v>
      </c>
      <c r="AG1391" s="31">
        <v>0</v>
      </c>
      <c r="AH1391" t="s">
        <v>44</v>
      </c>
    </row>
    <row r="1392" spans="1:34">
      <c r="A1392" s="15" t="s">
        <v>1465</v>
      </c>
      <c r="B1392" s="8" t="s">
        <v>1447</v>
      </c>
      <c r="C1392" s="41" t="s">
        <v>37</v>
      </c>
      <c r="D1392" s="1" t="s">
        <v>38</v>
      </c>
      <c r="E1392" s="26" t="s">
        <v>39</v>
      </c>
      <c r="F1392" s="27">
        <v>0.94339622641509424</v>
      </c>
      <c r="G1392" s="33">
        <v>0.5</v>
      </c>
      <c r="H1392" s="26" t="s">
        <v>40</v>
      </c>
      <c r="I1392" s="26" t="s">
        <v>41</v>
      </c>
      <c r="J1392" s="26" t="s">
        <v>42</v>
      </c>
      <c r="K1392" s="27">
        <v>2.3255813953488373</v>
      </c>
      <c r="L1392" s="27">
        <v>0.5</v>
      </c>
      <c r="M1392" s="70"/>
      <c r="N1392" s="26"/>
      <c r="O1392" s="26"/>
      <c r="P1392" s="27"/>
      <c r="Q1392" s="36"/>
      <c r="R1392" s="26" t="s">
        <v>1448</v>
      </c>
      <c r="S1392" s="26" t="e">
        <v>#N/A</v>
      </c>
      <c r="T1392" s="26" t="e">
        <v>#N/A</v>
      </c>
      <c r="U1392" s="27" t="e">
        <v>#N/A</v>
      </c>
      <c r="V1392" s="33">
        <v>1</v>
      </c>
      <c r="AG1392" s="31">
        <v>0</v>
      </c>
      <c r="AH1392" t="s">
        <v>44</v>
      </c>
    </row>
    <row r="1393" spans="1:34">
      <c r="A1393" s="15" t="s">
        <v>1466</v>
      </c>
      <c r="B1393" s="8" t="s">
        <v>1447</v>
      </c>
      <c r="C1393" s="41" t="s">
        <v>37</v>
      </c>
      <c r="D1393" s="1" t="s">
        <v>38</v>
      </c>
      <c r="E1393" s="26" t="s">
        <v>39</v>
      </c>
      <c r="F1393" s="27">
        <v>0.94339622641509424</v>
      </c>
      <c r="G1393" s="33">
        <v>0.5</v>
      </c>
      <c r="H1393" s="26" t="s">
        <v>40</v>
      </c>
      <c r="I1393" s="26" t="s">
        <v>41</v>
      </c>
      <c r="J1393" s="26" t="s">
        <v>42</v>
      </c>
      <c r="K1393" s="27">
        <v>2.3255813953488373</v>
      </c>
      <c r="L1393" s="27">
        <v>0.5</v>
      </c>
      <c r="M1393" s="70"/>
      <c r="N1393" s="26"/>
      <c r="O1393" s="26"/>
      <c r="P1393" s="27"/>
      <c r="Q1393" s="36"/>
      <c r="R1393" s="26" t="s">
        <v>1448</v>
      </c>
      <c r="S1393" s="26" t="e">
        <v>#N/A</v>
      </c>
      <c r="T1393" s="26" t="e">
        <v>#N/A</v>
      </c>
      <c r="U1393" s="27" t="e">
        <v>#N/A</v>
      </c>
      <c r="V1393" s="33">
        <v>1</v>
      </c>
      <c r="AG1393" s="31">
        <v>0</v>
      </c>
      <c r="AH1393" t="s">
        <v>44</v>
      </c>
    </row>
    <row r="1394" spans="1:34">
      <c r="A1394" s="15" t="s">
        <v>1467</v>
      </c>
      <c r="B1394" s="8" t="s">
        <v>1447</v>
      </c>
      <c r="C1394" s="41" t="s">
        <v>37</v>
      </c>
      <c r="D1394" s="1" t="s">
        <v>38</v>
      </c>
      <c r="E1394" s="26" t="s">
        <v>39</v>
      </c>
      <c r="F1394" s="27">
        <v>0.94339622641509424</v>
      </c>
      <c r="G1394" s="33">
        <v>0.5</v>
      </c>
      <c r="H1394" s="26" t="s">
        <v>40</v>
      </c>
      <c r="I1394" s="26" t="s">
        <v>41</v>
      </c>
      <c r="J1394" s="26" t="s">
        <v>42</v>
      </c>
      <c r="K1394" s="27">
        <v>2.3255813953488373</v>
      </c>
      <c r="L1394" s="27">
        <v>0.5</v>
      </c>
      <c r="M1394" s="70"/>
      <c r="N1394" s="26"/>
      <c r="O1394" s="26"/>
      <c r="P1394" s="27"/>
      <c r="Q1394" s="36"/>
      <c r="R1394" s="26" t="s">
        <v>1448</v>
      </c>
      <c r="S1394" s="26" t="e">
        <v>#N/A</v>
      </c>
      <c r="T1394" s="26" t="e">
        <v>#N/A</v>
      </c>
      <c r="U1394" s="27" t="e">
        <v>#N/A</v>
      </c>
      <c r="V1394" s="33">
        <v>1</v>
      </c>
      <c r="AG1394" s="31">
        <v>0</v>
      </c>
      <c r="AH1394" t="s">
        <v>44</v>
      </c>
    </row>
    <row r="1395" spans="1:34">
      <c r="A1395" s="15" t="s">
        <v>1468</v>
      </c>
      <c r="B1395" s="8" t="s">
        <v>1447</v>
      </c>
      <c r="C1395" s="41" t="s">
        <v>37</v>
      </c>
      <c r="D1395" s="1" t="s">
        <v>38</v>
      </c>
      <c r="E1395" s="26" t="s">
        <v>39</v>
      </c>
      <c r="F1395" s="27">
        <v>0.94339622641509424</v>
      </c>
      <c r="G1395" s="33">
        <v>0.5</v>
      </c>
      <c r="H1395" s="26" t="s">
        <v>40</v>
      </c>
      <c r="I1395" s="26" t="s">
        <v>41</v>
      </c>
      <c r="J1395" s="26" t="s">
        <v>42</v>
      </c>
      <c r="K1395" s="27">
        <v>2.3255813953488373</v>
      </c>
      <c r="L1395" s="27">
        <v>0.5</v>
      </c>
      <c r="M1395" s="70"/>
      <c r="N1395" s="26"/>
      <c r="O1395" s="26"/>
      <c r="P1395" s="27"/>
      <c r="Q1395" s="36"/>
      <c r="R1395" s="26" t="s">
        <v>1448</v>
      </c>
      <c r="S1395" s="26" t="e">
        <v>#N/A</v>
      </c>
      <c r="T1395" s="26" t="e">
        <v>#N/A</v>
      </c>
      <c r="U1395" s="27" t="e">
        <v>#N/A</v>
      </c>
      <c r="V1395" s="33">
        <v>1</v>
      </c>
      <c r="AG1395" s="31">
        <v>0</v>
      </c>
      <c r="AH1395" t="s">
        <v>44</v>
      </c>
    </row>
    <row r="1396" spans="1:34">
      <c r="A1396" s="15" t="s">
        <v>1469</v>
      </c>
      <c r="B1396" s="8" t="s">
        <v>1447</v>
      </c>
      <c r="C1396" s="41" t="s">
        <v>37</v>
      </c>
      <c r="D1396" s="1" t="s">
        <v>38</v>
      </c>
      <c r="E1396" s="26" t="s">
        <v>39</v>
      </c>
      <c r="F1396" s="27">
        <v>0.94339622641509424</v>
      </c>
      <c r="G1396" s="33">
        <v>0.5</v>
      </c>
      <c r="H1396" s="26" t="s">
        <v>40</v>
      </c>
      <c r="I1396" s="26" t="s">
        <v>41</v>
      </c>
      <c r="J1396" s="26" t="s">
        <v>42</v>
      </c>
      <c r="K1396" s="27">
        <v>2.3255813953488373</v>
      </c>
      <c r="L1396" s="27">
        <v>0.5</v>
      </c>
      <c r="M1396" s="70"/>
      <c r="N1396" s="26"/>
      <c r="O1396" s="26"/>
      <c r="P1396" s="27"/>
      <c r="Q1396" s="36"/>
      <c r="R1396" s="26" t="s">
        <v>1448</v>
      </c>
      <c r="S1396" s="26" t="e">
        <v>#N/A</v>
      </c>
      <c r="T1396" s="26" t="e">
        <v>#N/A</v>
      </c>
      <c r="U1396" s="27" t="e">
        <v>#N/A</v>
      </c>
      <c r="V1396" s="33">
        <v>1</v>
      </c>
      <c r="AG1396" s="31">
        <v>0</v>
      </c>
      <c r="AH1396" t="s">
        <v>44</v>
      </c>
    </row>
    <row r="1397" spans="1:34">
      <c r="A1397" s="15" t="s">
        <v>1470</v>
      </c>
      <c r="B1397" s="8" t="s">
        <v>1447</v>
      </c>
      <c r="C1397" s="41" t="s">
        <v>37</v>
      </c>
      <c r="D1397" s="1" t="s">
        <v>38</v>
      </c>
      <c r="E1397" s="26" t="s">
        <v>39</v>
      </c>
      <c r="F1397" s="27">
        <v>0.94339622641509424</v>
      </c>
      <c r="G1397" s="33">
        <v>0.5</v>
      </c>
      <c r="H1397" s="26" t="s">
        <v>40</v>
      </c>
      <c r="I1397" s="26" t="s">
        <v>41</v>
      </c>
      <c r="J1397" s="26" t="s">
        <v>42</v>
      </c>
      <c r="K1397" s="27">
        <v>2.3255813953488373</v>
      </c>
      <c r="L1397" s="27">
        <v>0.5</v>
      </c>
      <c r="M1397" s="70"/>
      <c r="N1397" s="26"/>
      <c r="O1397" s="26"/>
      <c r="P1397" s="27"/>
      <c r="Q1397" s="36"/>
      <c r="R1397" s="26" t="s">
        <v>1448</v>
      </c>
      <c r="S1397" s="26" t="e">
        <v>#N/A</v>
      </c>
      <c r="T1397" s="26" t="e">
        <v>#N/A</v>
      </c>
      <c r="U1397" s="27" t="e">
        <v>#N/A</v>
      </c>
      <c r="V1397" s="33">
        <v>1</v>
      </c>
      <c r="AG1397" s="31">
        <v>0</v>
      </c>
      <c r="AH1397" t="s">
        <v>44</v>
      </c>
    </row>
    <row r="1398" spans="1:34">
      <c r="A1398" s="15" t="s">
        <v>1471</v>
      </c>
      <c r="B1398" s="8" t="s">
        <v>1447</v>
      </c>
      <c r="C1398" s="41" t="s">
        <v>37</v>
      </c>
      <c r="D1398" s="1" t="s">
        <v>38</v>
      </c>
      <c r="E1398" s="26" t="s">
        <v>39</v>
      </c>
      <c r="F1398" s="27">
        <v>0.94339622641509424</v>
      </c>
      <c r="G1398" s="33">
        <v>0.5</v>
      </c>
      <c r="H1398" s="26" t="s">
        <v>40</v>
      </c>
      <c r="I1398" s="26" t="s">
        <v>41</v>
      </c>
      <c r="J1398" s="26" t="s">
        <v>42</v>
      </c>
      <c r="K1398" s="27">
        <v>2.3255813953488373</v>
      </c>
      <c r="L1398" s="27">
        <v>0.5</v>
      </c>
      <c r="M1398" s="70"/>
      <c r="N1398" s="26"/>
      <c r="O1398" s="26"/>
      <c r="P1398" s="27"/>
      <c r="Q1398" s="36"/>
      <c r="R1398" s="26" t="s">
        <v>1448</v>
      </c>
      <c r="S1398" s="26" t="e">
        <v>#N/A</v>
      </c>
      <c r="T1398" s="26" t="e">
        <v>#N/A</v>
      </c>
      <c r="U1398" s="27" t="e">
        <v>#N/A</v>
      </c>
      <c r="V1398" s="33">
        <v>1</v>
      </c>
      <c r="AG1398" s="31">
        <v>0</v>
      </c>
      <c r="AH1398" t="s">
        <v>44</v>
      </c>
    </row>
    <row r="1399" spans="1:34">
      <c r="A1399" s="15" t="s">
        <v>1472</v>
      </c>
      <c r="B1399" s="8" t="s">
        <v>1447</v>
      </c>
      <c r="C1399" s="41" t="s">
        <v>37</v>
      </c>
      <c r="D1399" s="1" t="s">
        <v>38</v>
      </c>
      <c r="E1399" s="26" t="s">
        <v>39</v>
      </c>
      <c r="F1399" s="27">
        <v>0.94339622641509424</v>
      </c>
      <c r="G1399" s="33">
        <v>0.5</v>
      </c>
      <c r="H1399" s="26" t="s">
        <v>40</v>
      </c>
      <c r="I1399" s="26" t="s">
        <v>41</v>
      </c>
      <c r="J1399" s="26" t="s">
        <v>42</v>
      </c>
      <c r="K1399" s="27">
        <v>2.3255813953488373</v>
      </c>
      <c r="L1399" s="27">
        <v>0.5</v>
      </c>
      <c r="M1399" s="70"/>
      <c r="N1399" s="26"/>
      <c r="O1399" s="26"/>
      <c r="P1399" s="27"/>
      <c r="Q1399" s="36"/>
      <c r="R1399" s="26" t="s">
        <v>1448</v>
      </c>
      <c r="S1399" s="26" t="e">
        <v>#N/A</v>
      </c>
      <c r="T1399" s="26" t="e">
        <v>#N/A</v>
      </c>
      <c r="U1399" s="27" t="e">
        <v>#N/A</v>
      </c>
      <c r="V1399" s="33">
        <v>1</v>
      </c>
      <c r="AG1399" s="31">
        <v>0</v>
      </c>
      <c r="AH1399" t="s">
        <v>44</v>
      </c>
    </row>
    <row r="1400" spans="1:34">
      <c r="A1400" s="15" t="s">
        <v>1473</v>
      </c>
      <c r="B1400" s="8" t="s">
        <v>1447</v>
      </c>
      <c r="C1400" s="41" t="s">
        <v>37</v>
      </c>
      <c r="D1400" s="1" t="s">
        <v>38</v>
      </c>
      <c r="E1400" s="26" t="s">
        <v>39</v>
      </c>
      <c r="F1400" s="27">
        <v>0.94339622641509424</v>
      </c>
      <c r="G1400" s="33">
        <v>0.5</v>
      </c>
      <c r="H1400" s="26" t="s">
        <v>40</v>
      </c>
      <c r="I1400" s="26" t="s">
        <v>41</v>
      </c>
      <c r="J1400" s="26" t="s">
        <v>42</v>
      </c>
      <c r="K1400" s="27">
        <v>2.3255813953488373</v>
      </c>
      <c r="L1400" s="27">
        <v>0.5</v>
      </c>
      <c r="M1400" s="70"/>
      <c r="N1400" s="26"/>
      <c r="O1400" s="26"/>
      <c r="P1400" s="27"/>
      <c r="Q1400" s="36"/>
      <c r="R1400" s="26" t="s">
        <v>1448</v>
      </c>
      <c r="S1400" s="26" t="e">
        <v>#N/A</v>
      </c>
      <c r="T1400" s="26" t="e">
        <v>#N/A</v>
      </c>
      <c r="U1400" s="27" t="e">
        <v>#N/A</v>
      </c>
      <c r="V1400" s="33">
        <v>1</v>
      </c>
      <c r="AG1400" s="31">
        <v>0</v>
      </c>
      <c r="AH1400" t="s">
        <v>44</v>
      </c>
    </row>
    <row r="1401" spans="1:34">
      <c r="A1401" s="15" t="s">
        <v>1474</v>
      </c>
      <c r="B1401" s="8" t="s">
        <v>1447</v>
      </c>
      <c r="C1401" s="41" t="s">
        <v>37</v>
      </c>
      <c r="D1401" s="1" t="s">
        <v>38</v>
      </c>
      <c r="E1401" s="26" t="s">
        <v>39</v>
      </c>
      <c r="F1401" s="27">
        <v>0.94339622641509424</v>
      </c>
      <c r="G1401" s="33">
        <v>0.5</v>
      </c>
      <c r="H1401" s="26" t="s">
        <v>40</v>
      </c>
      <c r="I1401" s="26" t="s">
        <v>41</v>
      </c>
      <c r="J1401" s="26" t="s">
        <v>42</v>
      </c>
      <c r="K1401" s="27">
        <v>2.3255813953488373</v>
      </c>
      <c r="L1401" s="27">
        <v>0.5</v>
      </c>
      <c r="M1401" s="70"/>
      <c r="N1401" s="26"/>
      <c r="O1401" s="26"/>
      <c r="P1401" s="27"/>
      <c r="Q1401" s="36"/>
      <c r="R1401" s="26" t="s">
        <v>1448</v>
      </c>
      <c r="S1401" s="26" t="e">
        <v>#N/A</v>
      </c>
      <c r="T1401" s="26" t="e">
        <v>#N/A</v>
      </c>
      <c r="U1401" s="27" t="e">
        <v>#N/A</v>
      </c>
      <c r="V1401" s="33">
        <v>1</v>
      </c>
      <c r="AG1401" s="31">
        <v>0</v>
      </c>
      <c r="AH1401" t="s">
        <v>44</v>
      </c>
    </row>
    <row r="1402" spans="1:34">
      <c r="A1402" s="15" t="s">
        <v>1475</v>
      </c>
      <c r="B1402" s="8" t="s">
        <v>1447</v>
      </c>
      <c r="C1402" s="41" t="s">
        <v>37</v>
      </c>
      <c r="D1402" s="1" t="s">
        <v>38</v>
      </c>
      <c r="E1402" s="26" t="s">
        <v>39</v>
      </c>
      <c r="F1402" s="27">
        <v>0.94339622641509424</v>
      </c>
      <c r="G1402" s="33">
        <v>0.5</v>
      </c>
      <c r="H1402" s="26" t="s">
        <v>40</v>
      </c>
      <c r="I1402" s="26" t="s">
        <v>41</v>
      </c>
      <c r="J1402" s="26" t="s">
        <v>42</v>
      </c>
      <c r="K1402" s="27">
        <v>2.3255813953488373</v>
      </c>
      <c r="L1402" s="27">
        <v>0.5</v>
      </c>
      <c r="M1402" s="70"/>
      <c r="N1402" s="26"/>
      <c r="O1402" s="26"/>
      <c r="P1402" s="27"/>
      <c r="Q1402" s="36"/>
      <c r="R1402" s="26" t="s">
        <v>1448</v>
      </c>
      <c r="S1402" s="26" t="e">
        <v>#N/A</v>
      </c>
      <c r="T1402" s="26" t="e">
        <v>#N/A</v>
      </c>
      <c r="U1402" s="27" t="e">
        <v>#N/A</v>
      </c>
      <c r="V1402" s="33">
        <v>1</v>
      </c>
      <c r="AG1402" s="31">
        <v>0</v>
      </c>
      <c r="AH1402" t="s">
        <v>44</v>
      </c>
    </row>
    <row r="1403" spans="1:34">
      <c r="A1403" s="15" t="s">
        <v>1476</v>
      </c>
      <c r="B1403" s="8" t="s">
        <v>1447</v>
      </c>
      <c r="C1403" s="41" t="s">
        <v>37</v>
      </c>
      <c r="D1403" s="1" t="s">
        <v>38</v>
      </c>
      <c r="E1403" s="26" t="s">
        <v>39</v>
      </c>
      <c r="F1403" s="27">
        <v>0.94339622641509424</v>
      </c>
      <c r="G1403" s="33">
        <v>0.5</v>
      </c>
      <c r="H1403" s="26" t="s">
        <v>40</v>
      </c>
      <c r="I1403" s="26" t="s">
        <v>41</v>
      </c>
      <c r="J1403" s="26" t="s">
        <v>42</v>
      </c>
      <c r="K1403" s="27">
        <v>2.3255813953488373</v>
      </c>
      <c r="L1403" s="27">
        <v>0.5</v>
      </c>
      <c r="M1403" s="70"/>
      <c r="N1403" s="26"/>
      <c r="O1403" s="26"/>
      <c r="P1403" s="27"/>
      <c r="Q1403" s="36"/>
      <c r="R1403" s="26" t="s">
        <v>1448</v>
      </c>
      <c r="S1403" s="26" t="e">
        <v>#N/A</v>
      </c>
      <c r="T1403" s="26" t="e">
        <v>#N/A</v>
      </c>
      <c r="U1403" s="27" t="e">
        <v>#N/A</v>
      </c>
      <c r="V1403" s="33">
        <v>1</v>
      </c>
      <c r="AG1403" s="31">
        <v>1</v>
      </c>
      <c r="AH1403" t="s">
        <v>73</v>
      </c>
    </row>
    <row r="1404" spans="1:34">
      <c r="A1404" s="15" t="s">
        <v>1477</v>
      </c>
      <c r="B1404" s="8" t="s">
        <v>1447</v>
      </c>
      <c r="C1404" s="41" t="s">
        <v>37</v>
      </c>
      <c r="D1404" s="1" t="s">
        <v>38</v>
      </c>
      <c r="E1404" s="26" t="s">
        <v>39</v>
      </c>
      <c r="F1404" s="27">
        <v>0.94339622641509424</v>
      </c>
      <c r="G1404" s="33">
        <v>0.5</v>
      </c>
      <c r="H1404" s="26" t="s">
        <v>40</v>
      </c>
      <c r="I1404" s="26" t="s">
        <v>41</v>
      </c>
      <c r="J1404" s="26" t="s">
        <v>42</v>
      </c>
      <c r="K1404" s="27">
        <v>2.3255813953488373</v>
      </c>
      <c r="L1404" s="27">
        <v>0.5</v>
      </c>
      <c r="M1404" s="70"/>
      <c r="N1404" s="26"/>
      <c r="O1404" s="26"/>
      <c r="P1404" s="27"/>
      <c r="Q1404" s="36"/>
      <c r="R1404" s="26" t="s">
        <v>1448</v>
      </c>
      <c r="S1404" s="26" t="e">
        <v>#N/A</v>
      </c>
      <c r="T1404" s="26" t="e">
        <v>#N/A</v>
      </c>
      <c r="U1404" s="27" t="e">
        <v>#N/A</v>
      </c>
      <c r="V1404" s="33">
        <v>1</v>
      </c>
      <c r="AG1404" s="31">
        <v>1</v>
      </c>
      <c r="AH1404" t="s">
        <v>73</v>
      </c>
    </row>
    <row r="1405" spans="1:34">
      <c r="A1405" s="15" t="s">
        <v>1478</v>
      </c>
      <c r="B1405" s="8" t="s">
        <v>1447</v>
      </c>
      <c r="C1405" s="41" t="s">
        <v>37</v>
      </c>
      <c r="D1405" s="1" t="s">
        <v>38</v>
      </c>
      <c r="E1405" s="26" t="s">
        <v>39</v>
      </c>
      <c r="F1405" s="27">
        <v>0.94339622641509424</v>
      </c>
      <c r="G1405" s="33">
        <v>0.5</v>
      </c>
      <c r="H1405" s="26" t="s">
        <v>40</v>
      </c>
      <c r="I1405" s="26" t="s">
        <v>41</v>
      </c>
      <c r="J1405" s="26" t="s">
        <v>42</v>
      </c>
      <c r="K1405" s="27">
        <v>2.3255813953488373</v>
      </c>
      <c r="L1405" s="27">
        <v>0.5</v>
      </c>
      <c r="M1405" s="70"/>
      <c r="N1405" s="26"/>
      <c r="O1405" s="26"/>
      <c r="P1405" s="27"/>
      <c r="Q1405" s="36"/>
      <c r="R1405" s="26" t="s">
        <v>1448</v>
      </c>
      <c r="S1405" s="26" t="e">
        <v>#N/A</v>
      </c>
      <c r="T1405" s="26" t="e">
        <v>#N/A</v>
      </c>
      <c r="U1405" s="27" t="e">
        <v>#N/A</v>
      </c>
      <c r="V1405" s="33">
        <v>1</v>
      </c>
      <c r="AG1405" s="31">
        <v>1</v>
      </c>
      <c r="AH1405" t="s">
        <v>73</v>
      </c>
    </row>
    <row r="1406" spans="1:34">
      <c r="A1406" s="15" t="s">
        <v>1479</v>
      </c>
      <c r="B1406" s="8" t="s">
        <v>1447</v>
      </c>
      <c r="C1406" s="41" t="s">
        <v>37</v>
      </c>
      <c r="D1406" s="1" t="s">
        <v>38</v>
      </c>
      <c r="E1406" s="26" t="s">
        <v>39</v>
      </c>
      <c r="F1406" s="27">
        <v>0.94339622641509424</v>
      </c>
      <c r="G1406" s="33">
        <v>0.5</v>
      </c>
      <c r="H1406" s="26" t="s">
        <v>40</v>
      </c>
      <c r="I1406" s="26" t="s">
        <v>41</v>
      </c>
      <c r="J1406" s="26" t="s">
        <v>42</v>
      </c>
      <c r="K1406" s="27">
        <v>2.3255813953488373</v>
      </c>
      <c r="L1406" s="27">
        <v>0.5</v>
      </c>
      <c r="M1406" s="70"/>
      <c r="N1406" s="26"/>
      <c r="O1406" s="26"/>
      <c r="P1406" s="27"/>
      <c r="Q1406" s="36"/>
      <c r="R1406" s="26" t="s">
        <v>1448</v>
      </c>
      <c r="S1406" s="26" t="e">
        <v>#N/A</v>
      </c>
      <c r="T1406" s="26" t="e">
        <v>#N/A</v>
      </c>
      <c r="U1406" s="27" t="e">
        <v>#N/A</v>
      </c>
      <c r="V1406" s="33">
        <v>1</v>
      </c>
      <c r="AG1406" s="31">
        <v>1</v>
      </c>
      <c r="AH1406" t="s">
        <v>73</v>
      </c>
    </row>
    <row r="1407" spans="1:34">
      <c r="A1407" s="15" t="s">
        <v>1480</v>
      </c>
      <c r="B1407" s="8" t="s">
        <v>1447</v>
      </c>
      <c r="C1407" s="41" t="s">
        <v>37</v>
      </c>
      <c r="D1407" s="1" t="s">
        <v>38</v>
      </c>
      <c r="E1407" s="26" t="s">
        <v>39</v>
      </c>
      <c r="F1407" s="27">
        <v>0.94339622641509424</v>
      </c>
      <c r="G1407" s="33">
        <v>0.5</v>
      </c>
      <c r="H1407" s="26" t="s">
        <v>40</v>
      </c>
      <c r="I1407" s="26" t="s">
        <v>41</v>
      </c>
      <c r="J1407" s="26" t="s">
        <v>42</v>
      </c>
      <c r="K1407" s="27">
        <v>2.3255813953488373</v>
      </c>
      <c r="L1407" s="27">
        <v>0.5</v>
      </c>
      <c r="M1407" s="70"/>
      <c r="N1407" s="26"/>
      <c r="O1407" s="26"/>
      <c r="P1407" s="27"/>
      <c r="Q1407" s="36"/>
      <c r="R1407" s="26" t="s">
        <v>1448</v>
      </c>
      <c r="S1407" s="26" t="e">
        <v>#N/A</v>
      </c>
      <c r="T1407" s="26" t="e">
        <v>#N/A</v>
      </c>
      <c r="U1407" s="27" t="e">
        <v>#N/A</v>
      </c>
      <c r="V1407" s="33">
        <v>1</v>
      </c>
      <c r="AG1407" s="31">
        <v>1</v>
      </c>
      <c r="AH1407" t="s">
        <v>73</v>
      </c>
    </row>
    <row r="1408" spans="1:34">
      <c r="A1408" s="15" t="s">
        <v>1481</v>
      </c>
      <c r="B1408" s="8" t="s">
        <v>1447</v>
      </c>
      <c r="C1408" s="41" t="s">
        <v>37</v>
      </c>
      <c r="D1408" s="1" t="s">
        <v>38</v>
      </c>
      <c r="E1408" s="26" t="s">
        <v>39</v>
      </c>
      <c r="F1408" s="27">
        <v>0.94339622641509424</v>
      </c>
      <c r="G1408" s="33">
        <v>0.5</v>
      </c>
      <c r="H1408" s="26" t="s">
        <v>40</v>
      </c>
      <c r="I1408" s="26" t="s">
        <v>41</v>
      </c>
      <c r="J1408" s="26" t="s">
        <v>42</v>
      </c>
      <c r="K1408" s="27">
        <v>2.3255813953488373</v>
      </c>
      <c r="L1408" s="27">
        <v>0.5</v>
      </c>
      <c r="M1408" s="70"/>
      <c r="N1408" s="26"/>
      <c r="O1408" s="26"/>
      <c r="P1408" s="27"/>
      <c r="Q1408" s="36"/>
      <c r="R1408" s="26" t="s">
        <v>1448</v>
      </c>
      <c r="S1408" s="26" t="e">
        <v>#N/A</v>
      </c>
      <c r="T1408" s="26" t="e">
        <v>#N/A</v>
      </c>
      <c r="U1408" s="27" t="e">
        <v>#N/A</v>
      </c>
      <c r="V1408" s="33">
        <v>1</v>
      </c>
      <c r="AG1408" s="31">
        <v>1</v>
      </c>
      <c r="AH1408" t="s">
        <v>73</v>
      </c>
    </row>
    <row r="1409" spans="1:34">
      <c r="A1409" s="15" t="s">
        <v>1482</v>
      </c>
      <c r="B1409" s="8" t="s">
        <v>1447</v>
      </c>
      <c r="C1409" s="41" t="s">
        <v>37</v>
      </c>
      <c r="D1409" s="1" t="s">
        <v>38</v>
      </c>
      <c r="E1409" s="26" t="s">
        <v>39</v>
      </c>
      <c r="F1409" s="27">
        <v>0.94339622641509424</v>
      </c>
      <c r="G1409" s="33">
        <v>0.5</v>
      </c>
      <c r="H1409" s="26" t="s">
        <v>40</v>
      </c>
      <c r="I1409" s="26" t="s">
        <v>41</v>
      </c>
      <c r="J1409" s="26" t="s">
        <v>42</v>
      </c>
      <c r="K1409" s="27">
        <v>2.3255813953488373</v>
      </c>
      <c r="L1409" s="27">
        <v>0.5</v>
      </c>
      <c r="M1409" s="70"/>
      <c r="N1409" s="26"/>
      <c r="O1409" s="26"/>
      <c r="P1409" s="27"/>
      <c r="Q1409" s="36"/>
      <c r="R1409" s="26" t="s">
        <v>1448</v>
      </c>
      <c r="S1409" s="26" t="e">
        <v>#N/A</v>
      </c>
      <c r="T1409" s="26" t="e">
        <v>#N/A</v>
      </c>
      <c r="U1409" s="27" t="e">
        <v>#N/A</v>
      </c>
      <c r="V1409" s="33">
        <v>1</v>
      </c>
      <c r="AG1409" s="31">
        <v>1</v>
      </c>
      <c r="AH1409" t="s">
        <v>73</v>
      </c>
    </row>
    <row r="1410" spans="1:34">
      <c r="A1410" s="15" t="s">
        <v>1483</v>
      </c>
      <c r="B1410" s="8" t="s">
        <v>1447</v>
      </c>
      <c r="C1410" s="41" t="s">
        <v>37</v>
      </c>
      <c r="D1410" s="1" t="s">
        <v>38</v>
      </c>
      <c r="E1410" s="26" t="s">
        <v>39</v>
      </c>
      <c r="F1410" s="27">
        <v>0.94339622641509424</v>
      </c>
      <c r="G1410" s="33">
        <v>0.5</v>
      </c>
      <c r="H1410" s="26" t="s">
        <v>40</v>
      </c>
      <c r="I1410" s="26" t="s">
        <v>41</v>
      </c>
      <c r="J1410" s="26" t="s">
        <v>42</v>
      </c>
      <c r="K1410" s="27">
        <v>2.3255813953488373</v>
      </c>
      <c r="L1410" s="27">
        <v>0.5</v>
      </c>
      <c r="M1410" s="70"/>
      <c r="N1410" s="26"/>
      <c r="O1410" s="26"/>
      <c r="P1410" s="27"/>
      <c r="Q1410" s="36"/>
      <c r="R1410" s="26" t="s">
        <v>1448</v>
      </c>
      <c r="S1410" s="26" t="e">
        <v>#N/A</v>
      </c>
      <c r="T1410" s="26" t="e">
        <v>#N/A</v>
      </c>
      <c r="U1410" s="27" t="e">
        <v>#N/A</v>
      </c>
      <c r="V1410" s="33">
        <v>1</v>
      </c>
      <c r="AG1410" s="31">
        <v>0</v>
      </c>
      <c r="AH1410" t="s">
        <v>44</v>
      </c>
    </row>
    <row r="1411" spans="1:34">
      <c r="A1411" s="15" t="s">
        <v>1484</v>
      </c>
      <c r="B1411" s="8" t="s">
        <v>1447</v>
      </c>
      <c r="C1411" s="41" t="s">
        <v>37</v>
      </c>
      <c r="D1411" s="1" t="s">
        <v>38</v>
      </c>
      <c r="E1411" s="26" t="s">
        <v>39</v>
      </c>
      <c r="F1411" s="27">
        <v>0.94339622641509424</v>
      </c>
      <c r="G1411" s="33">
        <v>0.5</v>
      </c>
      <c r="H1411" s="26" t="s">
        <v>40</v>
      </c>
      <c r="I1411" s="26" t="s">
        <v>41</v>
      </c>
      <c r="J1411" s="26" t="s">
        <v>42</v>
      </c>
      <c r="K1411" s="27">
        <v>2.3255813953488373</v>
      </c>
      <c r="L1411" s="27">
        <v>0.5</v>
      </c>
      <c r="M1411" s="70"/>
      <c r="N1411" s="26"/>
      <c r="O1411" s="26"/>
      <c r="P1411" s="27"/>
      <c r="Q1411" s="36"/>
      <c r="R1411" s="26" t="s">
        <v>1448</v>
      </c>
      <c r="S1411" s="26" t="e">
        <v>#N/A</v>
      </c>
      <c r="T1411" s="26" t="e">
        <v>#N/A</v>
      </c>
      <c r="U1411" s="27" t="e">
        <v>#N/A</v>
      </c>
      <c r="V1411" s="33">
        <v>1</v>
      </c>
      <c r="AG1411" s="31">
        <v>0</v>
      </c>
      <c r="AH1411" t="s">
        <v>44</v>
      </c>
    </row>
    <row r="1412" spans="1:34">
      <c r="A1412" s="15" t="s">
        <v>1485</v>
      </c>
      <c r="B1412" s="8" t="s">
        <v>1447</v>
      </c>
      <c r="C1412" s="41" t="s">
        <v>37</v>
      </c>
      <c r="D1412" s="1" t="s">
        <v>38</v>
      </c>
      <c r="E1412" s="26" t="s">
        <v>39</v>
      </c>
      <c r="F1412" s="27">
        <v>0.94339622641509424</v>
      </c>
      <c r="G1412" s="33">
        <v>0.5</v>
      </c>
      <c r="H1412" s="26" t="s">
        <v>40</v>
      </c>
      <c r="I1412" s="26" t="s">
        <v>41</v>
      </c>
      <c r="J1412" s="26" t="s">
        <v>42</v>
      </c>
      <c r="K1412" s="27">
        <v>2.3255813953488373</v>
      </c>
      <c r="L1412" s="27">
        <v>0.5</v>
      </c>
      <c r="M1412" s="70"/>
      <c r="N1412" s="26"/>
      <c r="O1412" s="26"/>
      <c r="P1412" s="27"/>
      <c r="Q1412" s="36"/>
      <c r="R1412" s="26" t="s">
        <v>1448</v>
      </c>
      <c r="S1412" s="26" t="e">
        <v>#N/A</v>
      </c>
      <c r="T1412" s="26" t="e">
        <v>#N/A</v>
      </c>
      <c r="U1412" s="27" t="e">
        <v>#N/A</v>
      </c>
      <c r="V1412" s="33">
        <v>1</v>
      </c>
      <c r="AG1412" s="31">
        <v>0</v>
      </c>
      <c r="AH1412" t="s">
        <v>44</v>
      </c>
    </row>
    <row r="1413" spans="1:34">
      <c r="A1413" s="15" t="s">
        <v>1486</v>
      </c>
      <c r="B1413" s="8" t="s">
        <v>1447</v>
      </c>
      <c r="C1413" s="41" t="s">
        <v>37</v>
      </c>
      <c r="D1413" s="1" t="s">
        <v>38</v>
      </c>
      <c r="E1413" s="26" t="s">
        <v>39</v>
      </c>
      <c r="F1413" s="27">
        <v>0.94339622641509424</v>
      </c>
      <c r="G1413" s="33">
        <v>0.5</v>
      </c>
      <c r="H1413" s="26" t="s">
        <v>40</v>
      </c>
      <c r="I1413" s="26" t="s">
        <v>41</v>
      </c>
      <c r="J1413" s="26" t="s">
        <v>42</v>
      </c>
      <c r="K1413" s="27">
        <v>2.3255813953488373</v>
      </c>
      <c r="L1413" s="27">
        <v>0.5</v>
      </c>
      <c r="M1413" s="70"/>
      <c r="N1413" s="26"/>
      <c r="O1413" s="26"/>
      <c r="P1413" s="27"/>
      <c r="Q1413" s="36"/>
      <c r="R1413" s="26" t="s">
        <v>1448</v>
      </c>
      <c r="S1413" s="26" t="e">
        <v>#N/A</v>
      </c>
      <c r="T1413" s="26" t="e">
        <v>#N/A</v>
      </c>
      <c r="U1413" s="27" t="e">
        <v>#N/A</v>
      </c>
      <c r="V1413" s="33">
        <v>1</v>
      </c>
      <c r="AG1413" s="31">
        <v>0</v>
      </c>
      <c r="AH1413" t="s">
        <v>44</v>
      </c>
    </row>
    <row r="1414" spans="1:34">
      <c r="A1414" s="15" t="s">
        <v>1487</v>
      </c>
      <c r="B1414" s="8" t="s">
        <v>1447</v>
      </c>
      <c r="C1414" s="41" t="s">
        <v>37</v>
      </c>
      <c r="D1414" s="1" t="s">
        <v>38</v>
      </c>
      <c r="E1414" s="26" t="s">
        <v>39</v>
      </c>
      <c r="F1414" s="27">
        <v>0.94339622641509424</v>
      </c>
      <c r="G1414" s="33">
        <v>0.5</v>
      </c>
      <c r="H1414" s="26" t="s">
        <v>40</v>
      </c>
      <c r="I1414" s="26" t="s">
        <v>41</v>
      </c>
      <c r="J1414" s="26" t="s">
        <v>42</v>
      </c>
      <c r="K1414" s="27">
        <v>2.3255813953488373</v>
      </c>
      <c r="L1414" s="27">
        <v>0.5</v>
      </c>
      <c r="M1414" s="70"/>
      <c r="N1414" s="26"/>
      <c r="O1414" s="26"/>
      <c r="P1414" s="27"/>
      <c r="Q1414" s="36"/>
      <c r="R1414" s="26" t="s">
        <v>1448</v>
      </c>
      <c r="S1414" s="26" t="e">
        <v>#N/A</v>
      </c>
      <c r="T1414" s="26" t="e">
        <v>#N/A</v>
      </c>
      <c r="U1414" s="27" t="e">
        <v>#N/A</v>
      </c>
      <c r="V1414" s="33">
        <v>1</v>
      </c>
      <c r="AG1414" s="31">
        <v>0</v>
      </c>
      <c r="AH1414" t="s">
        <v>44</v>
      </c>
    </row>
    <row r="1415" spans="1:34">
      <c r="A1415" s="15" t="s">
        <v>1488</v>
      </c>
      <c r="B1415" s="8" t="s">
        <v>1447</v>
      </c>
      <c r="C1415" s="41" t="s">
        <v>37</v>
      </c>
      <c r="D1415" s="1" t="s">
        <v>38</v>
      </c>
      <c r="E1415" s="26" t="s">
        <v>39</v>
      </c>
      <c r="F1415" s="27">
        <v>0.94339622641509424</v>
      </c>
      <c r="G1415" s="33">
        <v>0.5</v>
      </c>
      <c r="H1415" s="26" t="s">
        <v>40</v>
      </c>
      <c r="I1415" s="26" t="s">
        <v>41</v>
      </c>
      <c r="J1415" s="26" t="s">
        <v>42</v>
      </c>
      <c r="K1415" s="27">
        <v>2.3255813953488373</v>
      </c>
      <c r="L1415" s="27">
        <v>0.5</v>
      </c>
      <c r="M1415" s="70"/>
      <c r="N1415" s="26"/>
      <c r="O1415" s="26"/>
      <c r="P1415" s="27"/>
      <c r="Q1415" s="36"/>
      <c r="R1415" s="26" t="s">
        <v>1448</v>
      </c>
      <c r="S1415" s="26" t="e">
        <v>#N/A</v>
      </c>
      <c r="T1415" s="26" t="e">
        <v>#N/A</v>
      </c>
      <c r="U1415" s="27" t="e">
        <v>#N/A</v>
      </c>
      <c r="V1415" s="33">
        <v>1</v>
      </c>
      <c r="AG1415" s="31">
        <v>0</v>
      </c>
      <c r="AH1415" t="s">
        <v>44</v>
      </c>
    </row>
    <row r="1416" spans="1:34">
      <c r="A1416" s="15" t="s">
        <v>1489</v>
      </c>
      <c r="B1416" s="8" t="s">
        <v>1447</v>
      </c>
      <c r="C1416" s="41" t="s">
        <v>37</v>
      </c>
      <c r="D1416" s="1" t="s">
        <v>38</v>
      </c>
      <c r="E1416" s="26" t="s">
        <v>39</v>
      </c>
      <c r="F1416" s="27">
        <v>0.94339622641509424</v>
      </c>
      <c r="G1416" s="33">
        <v>0.5</v>
      </c>
      <c r="H1416" s="26" t="s">
        <v>40</v>
      </c>
      <c r="I1416" s="26" t="s">
        <v>41</v>
      </c>
      <c r="J1416" s="26" t="s">
        <v>42</v>
      </c>
      <c r="K1416" s="27">
        <v>2.3255813953488373</v>
      </c>
      <c r="L1416" s="27">
        <v>0.5</v>
      </c>
      <c r="M1416" s="70"/>
      <c r="N1416" s="26"/>
      <c r="O1416" s="26"/>
      <c r="P1416" s="27"/>
      <c r="Q1416" s="36"/>
      <c r="R1416" s="26" t="s">
        <v>1448</v>
      </c>
      <c r="S1416" s="26" t="e">
        <v>#N/A</v>
      </c>
      <c r="T1416" s="26" t="e">
        <v>#N/A</v>
      </c>
      <c r="U1416" s="27" t="e">
        <v>#N/A</v>
      </c>
      <c r="V1416" s="33">
        <v>1</v>
      </c>
      <c r="AG1416" s="31">
        <v>0</v>
      </c>
      <c r="AH1416" t="s">
        <v>44</v>
      </c>
    </row>
    <row r="1417" spans="1:34">
      <c r="A1417" s="15" t="s">
        <v>1490</v>
      </c>
      <c r="B1417" s="8" t="s">
        <v>1447</v>
      </c>
      <c r="C1417" s="41" t="s">
        <v>37</v>
      </c>
      <c r="D1417" s="1" t="s">
        <v>38</v>
      </c>
      <c r="E1417" s="26" t="s">
        <v>39</v>
      </c>
      <c r="F1417" s="27">
        <v>0.94339622641509424</v>
      </c>
      <c r="G1417" s="33">
        <v>0.5</v>
      </c>
      <c r="H1417" s="26" t="s">
        <v>40</v>
      </c>
      <c r="I1417" s="26" t="s">
        <v>41</v>
      </c>
      <c r="J1417" s="26" t="s">
        <v>42</v>
      </c>
      <c r="K1417" s="27">
        <v>2.3255813953488373</v>
      </c>
      <c r="L1417" s="27">
        <v>0.5</v>
      </c>
      <c r="M1417" s="70"/>
      <c r="N1417" s="26"/>
      <c r="O1417" s="26"/>
      <c r="P1417" s="27"/>
      <c r="Q1417" s="36"/>
      <c r="R1417" s="26" t="s">
        <v>1448</v>
      </c>
      <c r="S1417" s="26" t="e">
        <v>#N/A</v>
      </c>
      <c r="T1417" s="26" t="e">
        <v>#N/A</v>
      </c>
      <c r="U1417" s="27" t="e">
        <v>#N/A</v>
      </c>
      <c r="V1417" s="33">
        <v>1</v>
      </c>
      <c r="AG1417" s="31">
        <v>0</v>
      </c>
      <c r="AH1417" t="s">
        <v>44</v>
      </c>
    </row>
    <row r="1418" spans="1:34">
      <c r="A1418" s="15" t="s">
        <v>1491</v>
      </c>
      <c r="B1418" s="8" t="s">
        <v>1447</v>
      </c>
      <c r="C1418" s="41" t="s">
        <v>37</v>
      </c>
      <c r="D1418" s="1" t="s">
        <v>38</v>
      </c>
      <c r="E1418" s="26" t="s">
        <v>39</v>
      </c>
      <c r="F1418" s="27">
        <v>0.94339622641509424</v>
      </c>
      <c r="G1418" s="33">
        <v>0.5</v>
      </c>
      <c r="H1418" s="26" t="s">
        <v>40</v>
      </c>
      <c r="I1418" s="26" t="s">
        <v>41</v>
      </c>
      <c r="J1418" s="26" t="s">
        <v>42</v>
      </c>
      <c r="K1418" s="27">
        <v>2.3255813953488373</v>
      </c>
      <c r="L1418" s="27">
        <v>0.5</v>
      </c>
      <c r="M1418" s="70"/>
      <c r="N1418" s="26"/>
      <c r="O1418" s="26"/>
      <c r="P1418" s="27"/>
      <c r="Q1418" s="36"/>
      <c r="R1418" s="26" t="s">
        <v>1448</v>
      </c>
      <c r="S1418" s="26" t="e">
        <v>#N/A</v>
      </c>
      <c r="T1418" s="26" t="e">
        <v>#N/A</v>
      </c>
      <c r="U1418" s="27" t="e">
        <v>#N/A</v>
      </c>
      <c r="V1418" s="33">
        <v>1</v>
      </c>
      <c r="AG1418" s="31">
        <v>0</v>
      </c>
      <c r="AH1418" t="s">
        <v>44</v>
      </c>
    </row>
    <row r="1419" spans="1:34">
      <c r="A1419" s="15" t="s">
        <v>1492</v>
      </c>
      <c r="B1419" s="8" t="s">
        <v>1447</v>
      </c>
      <c r="C1419" s="41" t="s">
        <v>37</v>
      </c>
      <c r="D1419" s="1" t="s">
        <v>38</v>
      </c>
      <c r="E1419" s="26" t="s">
        <v>39</v>
      </c>
      <c r="F1419" s="27">
        <v>0.94339622641509424</v>
      </c>
      <c r="G1419" s="33">
        <v>0.5</v>
      </c>
      <c r="H1419" s="26" t="s">
        <v>40</v>
      </c>
      <c r="I1419" s="26" t="s">
        <v>41</v>
      </c>
      <c r="J1419" s="26" t="s">
        <v>42</v>
      </c>
      <c r="K1419" s="27">
        <v>2.3255813953488373</v>
      </c>
      <c r="L1419" s="27">
        <v>0.5</v>
      </c>
      <c r="M1419" s="70"/>
      <c r="N1419" s="26"/>
      <c r="O1419" s="26"/>
      <c r="P1419" s="27"/>
      <c r="Q1419" s="36"/>
      <c r="R1419" s="26" t="s">
        <v>1448</v>
      </c>
      <c r="S1419" s="26" t="e">
        <v>#N/A</v>
      </c>
      <c r="T1419" s="26" t="e">
        <v>#N/A</v>
      </c>
      <c r="U1419" s="27" t="e">
        <v>#N/A</v>
      </c>
      <c r="V1419" s="33">
        <v>1</v>
      </c>
      <c r="AG1419" s="31">
        <v>0</v>
      </c>
      <c r="AH1419" t="s">
        <v>44</v>
      </c>
    </row>
    <row r="1420" spans="1:34">
      <c r="A1420" s="15" t="s">
        <v>1493</v>
      </c>
      <c r="B1420" s="8" t="s">
        <v>1447</v>
      </c>
      <c r="C1420" s="41" t="s">
        <v>37</v>
      </c>
      <c r="D1420" s="1" t="s">
        <v>38</v>
      </c>
      <c r="E1420" s="26" t="s">
        <v>39</v>
      </c>
      <c r="F1420" s="27">
        <v>0.94339622641509424</v>
      </c>
      <c r="G1420" s="33">
        <v>0.5</v>
      </c>
      <c r="H1420" s="26" t="s">
        <v>40</v>
      </c>
      <c r="I1420" s="26" t="s">
        <v>41</v>
      </c>
      <c r="J1420" s="26" t="s">
        <v>42</v>
      </c>
      <c r="K1420" s="27">
        <v>2.3255813953488373</v>
      </c>
      <c r="L1420" s="27">
        <v>0.5</v>
      </c>
      <c r="M1420" s="70"/>
      <c r="N1420" s="26"/>
      <c r="O1420" s="26"/>
      <c r="P1420" s="27"/>
      <c r="Q1420" s="36"/>
      <c r="R1420" s="26" t="s">
        <v>1448</v>
      </c>
      <c r="S1420" s="26" t="e">
        <v>#N/A</v>
      </c>
      <c r="T1420" s="26" t="e">
        <v>#N/A</v>
      </c>
      <c r="U1420" s="27" t="e">
        <v>#N/A</v>
      </c>
      <c r="V1420" s="33">
        <v>1</v>
      </c>
      <c r="AG1420" s="31">
        <v>0</v>
      </c>
      <c r="AH1420" t="s">
        <v>44</v>
      </c>
    </row>
    <row r="1421" spans="1:34">
      <c r="A1421" s="15" t="s">
        <v>1494</v>
      </c>
      <c r="B1421" s="8" t="s">
        <v>1447</v>
      </c>
      <c r="C1421" s="41" t="s">
        <v>37</v>
      </c>
      <c r="D1421" s="1" t="s">
        <v>38</v>
      </c>
      <c r="E1421" s="26" t="s">
        <v>39</v>
      </c>
      <c r="F1421" s="27">
        <v>0.94339622641509424</v>
      </c>
      <c r="G1421" s="33">
        <v>0.5</v>
      </c>
      <c r="H1421" s="26" t="s">
        <v>40</v>
      </c>
      <c r="I1421" s="26" t="s">
        <v>41</v>
      </c>
      <c r="J1421" s="26" t="s">
        <v>42</v>
      </c>
      <c r="K1421" s="27">
        <v>2.3255813953488373</v>
      </c>
      <c r="L1421" s="27">
        <v>0.5</v>
      </c>
      <c r="M1421" s="70"/>
      <c r="N1421" s="26"/>
      <c r="O1421" s="26"/>
      <c r="P1421" s="27"/>
      <c r="Q1421" s="36"/>
      <c r="R1421" s="26" t="s">
        <v>1448</v>
      </c>
      <c r="S1421" s="26" t="e">
        <v>#N/A</v>
      </c>
      <c r="T1421" s="26" t="e">
        <v>#N/A</v>
      </c>
      <c r="U1421" s="27" t="e">
        <v>#N/A</v>
      </c>
      <c r="V1421" s="33">
        <v>1</v>
      </c>
      <c r="AG1421" s="31">
        <v>0</v>
      </c>
      <c r="AH1421" t="s">
        <v>44</v>
      </c>
    </row>
    <row r="1422" spans="1:34">
      <c r="A1422" s="15" t="s">
        <v>1495</v>
      </c>
      <c r="B1422" s="8" t="s">
        <v>1447</v>
      </c>
      <c r="C1422" s="41" t="s">
        <v>37</v>
      </c>
      <c r="D1422" s="1" t="s">
        <v>38</v>
      </c>
      <c r="E1422" s="26" t="s">
        <v>39</v>
      </c>
      <c r="F1422" s="27">
        <v>0.94339622641509424</v>
      </c>
      <c r="G1422" s="33">
        <v>0.5</v>
      </c>
      <c r="H1422" s="26" t="s">
        <v>40</v>
      </c>
      <c r="I1422" s="26" t="s">
        <v>41</v>
      </c>
      <c r="J1422" s="26" t="s">
        <v>42</v>
      </c>
      <c r="K1422" s="27">
        <v>2.3255813953488373</v>
      </c>
      <c r="L1422" s="27">
        <v>0.5</v>
      </c>
      <c r="M1422" s="70"/>
      <c r="N1422" s="26"/>
      <c r="O1422" s="26"/>
      <c r="P1422" s="27"/>
      <c r="Q1422" s="36"/>
      <c r="R1422" s="26" t="s">
        <v>1448</v>
      </c>
      <c r="S1422" s="26" t="e">
        <v>#N/A</v>
      </c>
      <c r="T1422" s="26" t="e">
        <v>#N/A</v>
      </c>
      <c r="U1422" s="27" t="e">
        <v>#N/A</v>
      </c>
      <c r="V1422" s="33">
        <v>1</v>
      </c>
      <c r="AG1422" s="31">
        <v>0</v>
      </c>
      <c r="AH1422" t="s">
        <v>44</v>
      </c>
    </row>
    <row r="1423" spans="1:34">
      <c r="A1423" s="15" t="s">
        <v>1496</v>
      </c>
      <c r="B1423" s="8" t="s">
        <v>1447</v>
      </c>
      <c r="C1423" s="41" t="s">
        <v>37</v>
      </c>
      <c r="D1423" s="1" t="s">
        <v>38</v>
      </c>
      <c r="E1423" s="26" t="s">
        <v>39</v>
      </c>
      <c r="F1423" s="27">
        <v>0.94339622641509424</v>
      </c>
      <c r="G1423" s="33">
        <v>0.5</v>
      </c>
      <c r="H1423" s="26" t="s">
        <v>40</v>
      </c>
      <c r="I1423" s="26" t="s">
        <v>41</v>
      </c>
      <c r="J1423" s="26" t="s">
        <v>42</v>
      </c>
      <c r="K1423" s="27">
        <v>2.3255813953488373</v>
      </c>
      <c r="L1423" s="27">
        <v>0.5</v>
      </c>
      <c r="M1423" s="70"/>
      <c r="N1423" s="26"/>
      <c r="O1423" s="26"/>
      <c r="P1423" s="27"/>
      <c r="Q1423" s="36"/>
      <c r="R1423" s="26" t="s">
        <v>1448</v>
      </c>
      <c r="S1423" s="26" t="e">
        <v>#N/A</v>
      </c>
      <c r="T1423" s="26" t="e">
        <v>#N/A</v>
      </c>
      <c r="U1423" s="27" t="e">
        <v>#N/A</v>
      </c>
      <c r="V1423" s="33">
        <v>1</v>
      </c>
      <c r="AG1423" s="31">
        <v>0</v>
      </c>
      <c r="AH1423" t="s">
        <v>44</v>
      </c>
    </row>
    <row r="1424" spans="1:34">
      <c r="A1424" s="15" t="s">
        <v>1497</v>
      </c>
      <c r="B1424" s="8" t="s">
        <v>1447</v>
      </c>
      <c r="C1424" s="41" t="s">
        <v>37</v>
      </c>
      <c r="D1424" s="1" t="s">
        <v>38</v>
      </c>
      <c r="E1424" s="26" t="s">
        <v>39</v>
      </c>
      <c r="F1424" s="27">
        <v>0.94339622641509424</v>
      </c>
      <c r="G1424" s="33">
        <v>0.5</v>
      </c>
      <c r="H1424" s="26" t="s">
        <v>40</v>
      </c>
      <c r="I1424" s="26" t="s">
        <v>41</v>
      </c>
      <c r="J1424" s="26" t="s">
        <v>42</v>
      </c>
      <c r="K1424" s="27">
        <v>2.3255813953488373</v>
      </c>
      <c r="L1424" s="27">
        <v>0.5</v>
      </c>
      <c r="M1424" s="70"/>
      <c r="N1424" s="26"/>
      <c r="O1424" s="26"/>
      <c r="P1424" s="27"/>
      <c r="Q1424" s="36"/>
      <c r="R1424" s="26" t="s">
        <v>1448</v>
      </c>
      <c r="S1424" s="26" t="e">
        <v>#N/A</v>
      </c>
      <c r="T1424" s="26" t="e">
        <v>#N/A</v>
      </c>
      <c r="U1424" s="27" t="e">
        <v>#N/A</v>
      </c>
      <c r="V1424" s="33">
        <v>1</v>
      </c>
      <c r="AG1424" s="31">
        <v>0</v>
      </c>
      <c r="AH1424" t="s">
        <v>44</v>
      </c>
    </row>
    <row r="1425" spans="1:34">
      <c r="A1425" s="15" t="s">
        <v>1498</v>
      </c>
      <c r="B1425" s="8" t="s">
        <v>1447</v>
      </c>
      <c r="C1425" s="41" t="s">
        <v>37</v>
      </c>
      <c r="D1425" s="1" t="s">
        <v>38</v>
      </c>
      <c r="E1425" s="26" t="s">
        <v>39</v>
      </c>
      <c r="F1425" s="27">
        <v>0.94339622641509424</v>
      </c>
      <c r="G1425" s="33">
        <v>0.5</v>
      </c>
      <c r="H1425" s="26" t="s">
        <v>40</v>
      </c>
      <c r="I1425" s="26" t="s">
        <v>41</v>
      </c>
      <c r="J1425" s="26" t="s">
        <v>42</v>
      </c>
      <c r="K1425" s="27">
        <v>2.3255813953488373</v>
      </c>
      <c r="L1425" s="27">
        <v>0.5</v>
      </c>
      <c r="M1425" s="70"/>
      <c r="N1425" s="26"/>
      <c r="O1425" s="26"/>
      <c r="P1425" s="27"/>
      <c r="Q1425" s="36"/>
      <c r="R1425" s="26" t="s">
        <v>1448</v>
      </c>
      <c r="S1425" s="26" t="e">
        <v>#N/A</v>
      </c>
      <c r="T1425" s="26" t="e">
        <v>#N/A</v>
      </c>
      <c r="U1425" s="27" t="e">
        <v>#N/A</v>
      </c>
      <c r="V1425" s="33">
        <v>1</v>
      </c>
      <c r="AG1425" s="31">
        <v>0</v>
      </c>
      <c r="AH1425" t="s">
        <v>44</v>
      </c>
    </row>
    <row r="1426" spans="1:34">
      <c r="A1426" s="15" t="s">
        <v>1499</v>
      </c>
      <c r="B1426" s="8" t="s">
        <v>1447</v>
      </c>
      <c r="C1426" s="41" t="s">
        <v>37</v>
      </c>
      <c r="D1426" s="1" t="s">
        <v>38</v>
      </c>
      <c r="E1426" s="26" t="s">
        <v>39</v>
      </c>
      <c r="F1426" s="27">
        <v>0.94339622641509424</v>
      </c>
      <c r="G1426" s="33">
        <v>0.5</v>
      </c>
      <c r="H1426" s="26" t="s">
        <v>40</v>
      </c>
      <c r="I1426" s="26" t="s">
        <v>41</v>
      </c>
      <c r="J1426" s="26" t="s">
        <v>42</v>
      </c>
      <c r="K1426" s="27">
        <v>2.3255813953488373</v>
      </c>
      <c r="L1426" s="27">
        <v>0.5</v>
      </c>
      <c r="M1426" s="70"/>
      <c r="N1426" s="26"/>
      <c r="O1426" s="26"/>
      <c r="P1426" s="27"/>
      <c r="Q1426" s="36"/>
      <c r="R1426" s="26" t="s">
        <v>1448</v>
      </c>
      <c r="S1426" s="26" t="e">
        <v>#N/A</v>
      </c>
      <c r="T1426" s="26" t="e">
        <v>#N/A</v>
      </c>
      <c r="U1426" s="27" t="e">
        <v>#N/A</v>
      </c>
      <c r="V1426" s="33">
        <v>1</v>
      </c>
      <c r="AG1426" s="31">
        <v>0</v>
      </c>
      <c r="AH1426" t="s">
        <v>44</v>
      </c>
    </row>
    <row r="1427" spans="1:34">
      <c r="A1427" s="15" t="s">
        <v>1500</v>
      </c>
      <c r="B1427" s="8" t="s">
        <v>1447</v>
      </c>
      <c r="C1427" s="41" t="s">
        <v>37</v>
      </c>
      <c r="D1427" s="1" t="s">
        <v>38</v>
      </c>
      <c r="E1427" s="26" t="s">
        <v>39</v>
      </c>
      <c r="F1427" s="27">
        <v>0.94339622641509424</v>
      </c>
      <c r="G1427" s="33">
        <v>0.5</v>
      </c>
      <c r="H1427" s="26" t="s">
        <v>40</v>
      </c>
      <c r="I1427" s="26" t="s">
        <v>41</v>
      </c>
      <c r="J1427" s="26" t="s">
        <v>42</v>
      </c>
      <c r="K1427" s="27">
        <v>2.3255813953488373</v>
      </c>
      <c r="L1427" s="27">
        <v>0.5</v>
      </c>
      <c r="M1427" s="70"/>
      <c r="N1427" s="26"/>
      <c r="O1427" s="26"/>
      <c r="P1427" s="27"/>
      <c r="Q1427" s="36"/>
      <c r="R1427" s="26" t="s">
        <v>1448</v>
      </c>
      <c r="S1427" s="26" t="e">
        <v>#N/A</v>
      </c>
      <c r="T1427" s="26" t="e">
        <v>#N/A</v>
      </c>
      <c r="U1427" s="27" t="e">
        <v>#N/A</v>
      </c>
      <c r="V1427" s="33">
        <v>1</v>
      </c>
      <c r="AG1427" s="31">
        <v>0</v>
      </c>
      <c r="AH1427" t="s">
        <v>44</v>
      </c>
    </row>
    <row r="1428" spans="1:34">
      <c r="A1428" s="15" t="s">
        <v>1501</v>
      </c>
      <c r="B1428" s="8" t="s">
        <v>1447</v>
      </c>
      <c r="C1428" s="41" t="s">
        <v>37</v>
      </c>
      <c r="D1428" s="1" t="s">
        <v>38</v>
      </c>
      <c r="E1428" s="26" t="s">
        <v>39</v>
      </c>
      <c r="F1428" s="27">
        <v>0.94339622641509424</v>
      </c>
      <c r="G1428" s="33">
        <v>0.5</v>
      </c>
      <c r="H1428" s="26" t="s">
        <v>40</v>
      </c>
      <c r="I1428" s="26" t="s">
        <v>41</v>
      </c>
      <c r="J1428" s="26" t="s">
        <v>42</v>
      </c>
      <c r="K1428" s="27">
        <v>2.3255813953488373</v>
      </c>
      <c r="L1428" s="27">
        <v>0.5</v>
      </c>
      <c r="M1428" s="70"/>
      <c r="N1428" s="26"/>
      <c r="O1428" s="26"/>
      <c r="P1428" s="27"/>
      <c r="Q1428" s="36"/>
      <c r="R1428" s="26" t="s">
        <v>1448</v>
      </c>
      <c r="S1428" s="26" t="e">
        <v>#N/A</v>
      </c>
      <c r="T1428" s="26" t="e">
        <v>#N/A</v>
      </c>
      <c r="U1428" s="27" t="e">
        <v>#N/A</v>
      </c>
      <c r="V1428" s="33">
        <v>1</v>
      </c>
      <c r="AG1428" s="31">
        <v>0</v>
      </c>
      <c r="AH1428" t="s">
        <v>44</v>
      </c>
    </row>
    <row r="1429" spans="1:34">
      <c r="A1429" s="15" t="s">
        <v>1502</v>
      </c>
      <c r="B1429" s="8" t="s">
        <v>1447</v>
      </c>
      <c r="C1429" s="41" t="s">
        <v>37</v>
      </c>
      <c r="D1429" s="1" t="s">
        <v>38</v>
      </c>
      <c r="E1429" s="26" t="s">
        <v>39</v>
      </c>
      <c r="F1429" s="27">
        <v>0.94339622641509424</v>
      </c>
      <c r="G1429" s="33">
        <v>0.5</v>
      </c>
      <c r="H1429" s="26" t="s">
        <v>40</v>
      </c>
      <c r="I1429" s="26" t="s">
        <v>41</v>
      </c>
      <c r="J1429" s="26" t="s">
        <v>42</v>
      </c>
      <c r="K1429" s="27">
        <v>2.3255813953488373</v>
      </c>
      <c r="L1429" s="27">
        <v>0.5</v>
      </c>
      <c r="M1429" s="70"/>
      <c r="N1429" s="26"/>
      <c r="O1429" s="26"/>
      <c r="P1429" s="27"/>
      <c r="Q1429" s="36"/>
      <c r="R1429" s="26" t="s">
        <v>1448</v>
      </c>
      <c r="S1429" s="26" t="e">
        <v>#N/A</v>
      </c>
      <c r="T1429" s="26" t="e">
        <v>#N/A</v>
      </c>
      <c r="U1429" s="27" t="e">
        <v>#N/A</v>
      </c>
      <c r="V1429" s="33">
        <v>1</v>
      </c>
      <c r="AG1429" s="31">
        <v>0</v>
      </c>
      <c r="AH1429" t="s">
        <v>44</v>
      </c>
    </row>
    <row r="1430" spans="1:34">
      <c r="A1430" s="16" t="s">
        <v>1503</v>
      </c>
      <c r="B1430" s="8" t="s">
        <v>1447</v>
      </c>
      <c r="C1430" s="41" t="s">
        <v>37</v>
      </c>
      <c r="D1430" s="1" t="s">
        <v>38</v>
      </c>
      <c r="E1430" s="26" t="s">
        <v>39</v>
      </c>
      <c r="F1430" s="27">
        <v>0.94339622641509424</v>
      </c>
      <c r="G1430" s="33">
        <v>0.5</v>
      </c>
      <c r="H1430" s="26" t="s">
        <v>40</v>
      </c>
      <c r="I1430" s="26" t="s">
        <v>41</v>
      </c>
      <c r="J1430" s="26" t="s">
        <v>42</v>
      </c>
      <c r="K1430" s="27">
        <v>2.3255813953488373</v>
      </c>
      <c r="L1430" s="27">
        <v>0.5</v>
      </c>
      <c r="M1430" s="70"/>
      <c r="N1430" s="26"/>
      <c r="O1430" s="26"/>
      <c r="P1430" s="27"/>
      <c r="Q1430" s="36"/>
      <c r="R1430" s="26" t="s">
        <v>1448</v>
      </c>
      <c r="S1430" s="26" t="e">
        <v>#N/A</v>
      </c>
      <c r="T1430" s="26" t="e">
        <v>#N/A</v>
      </c>
      <c r="U1430" s="27" t="e">
        <v>#N/A</v>
      </c>
      <c r="V1430" s="33">
        <v>1</v>
      </c>
      <c r="AG1430" s="31">
        <v>0</v>
      </c>
      <c r="AH1430" t="s">
        <v>44</v>
      </c>
    </row>
    <row r="1431" spans="1:34" s="6" customFormat="1">
      <c r="A1431" s="15" t="s">
        <v>1504</v>
      </c>
      <c r="B1431" s="9" t="s">
        <v>1505</v>
      </c>
      <c r="C1431" s="45" t="s">
        <v>160</v>
      </c>
      <c r="D1431" s="46" t="s">
        <v>38</v>
      </c>
      <c r="E1431" s="47" t="s">
        <v>39</v>
      </c>
      <c r="F1431" s="48">
        <v>0.81300813008130079</v>
      </c>
      <c r="G1431" s="49">
        <v>1</v>
      </c>
      <c r="H1431" s="47"/>
      <c r="I1431" s="47"/>
      <c r="J1431" s="47"/>
      <c r="K1431" s="48"/>
      <c r="L1431" s="48"/>
      <c r="M1431" s="72"/>
      <c r="N1431" s="47"/>
      <c r="O1431" s="47"/>
      <c r="P1431" s="48"/>
      <c r="Q1431" s="50"/>
      <c r="R1431" s="54" t="s">
        <v>161</v>
      </c>
      <c r="S1431" s="47" t="s">
        <v>38</v>
      </c>
      <c r="T1431" s="47" t="s">
        <v>39</v>
      </c>
      <c r="U1431" s="48">
        <v>0.83333333333333337</v>
      </c>
      <c r="V1431" s="49">
        <v>1</v>
      </c>
      <c r="W1431" s="28"/>
      <c r="X1431" s="28"/>
      <c r="Y1431" s="28"/>
      <c r="Z1431" s="29"/>
      <c r="AA1431" s="28"/>
      <c r="AB1431" s="74"/>
      <c r="AC1431" s="28"/>
      <c r="AD1431" s="28"/>
      <c r="AE1431" s="28"/>
      <c r="AF1431" s="39"/>
      <c r="AG1431" s="29">
        <v>0</v>
      </c>
      <c r="AH1431" s="6" t="s">
        <v>44</v>
      </c>
    </row>
    <row r="1432" spans="1:34">
      <c r="A1432" s="15" t="s">
        <v>1506</v>
      </c>
      <c r="B1432" s="8" t="s">
        <v>1505</v>
      </c>
      <c r="C1432" s="41" t="s">
        <v>160</v>
      </c>
      <c r="D1432" s="1" t="s">
        <v>38</v>
      </c>
      <c r="E1432" s="26" t="s">
        <v>39</v>
      </c>
      <c r="F1432" s="27">
        <v>0.81300813008130079</v>
      </c>
      <c r="G1432" s="33">
        <v>1</v>
      </c>
      <c r="R1432" s="55" t="s">
        <v>161</v>
      </c>
      <c r="S1432" s="26" t="s">
        <v>38</v>
      </c>
      <c r="T1432" s="26" t="s">
        <v>39</v>
      </c>
      <c r="U1432" s="27">
        <v>0.83333333333333337</v>
      </c>
      <c r="V1432" s="33">
        <v>1</v>
      </c>
      <c r="AG1432" s="31">
        <v>0</v>
      </c>
      <c r="AH1432" t="s">
        <v>44</v>
      </c>
    </row>
    <row r="1433" spans="1:34">
      <c r="A1433" s="15" t="s">
        <v>1507</v>
      </c>
      <c r="B1433" s="8" t="s">
        <v>1505</v>
      </c>
      <c r="C1433" s="41" t="s">
        <v>160</v>
      </c>
      <c r="D1433" s="1" t="s">
        <v>38</v>
      </c>
      <c r="E1433" s="26" t="s">
        <v>39</v>
      </c>
      <c r="F1433" s="27">
        <v>0.81300813008130079</v>
      </c>
      <c r="G1433" s="33">
        <v>1</v>
      </c>
      <c r="R1433" s="55" t="s">
        <v>161</v>
      </c>
      <c r="S1433" s="26" t="s">
        <v>38</v>
      </c>
      <c r="T1433" s="26" t="s">
        <v>39</v>
      </c>
      <c r="U1433" s="27">
        <v>0.83333333333333337</v>
      </c>
      <c r="V1433" s="33">
        <v>1</v>
      </c>
      <c r="AG1433" s="31">
        <v>0</v>
      </c>
      <c r="AH1433" t="s">
        <v>44</v>
      </c>
    </row>
    <row r="1434" spans="1:34">
      <c r="A1434" s="15" t="s">
        <v>1508</v>
      </c>
      <c r="B1434" s="8" t="s">
        <v>1505</v>
      </c>
      <c r="C1434" s="41" t="s">
        <v>160</v>
      </c>
      <c r="D1434" s="1" t="s">
        <v>38</v>
      </c>
      <c r="E1434" s="26" t="s">
        <v>39</v>
      </c>
      <c r="F1434" s="27">
        <v>0.81300813008130079</v>
      </c>
      <c r="G1434" s="33">
        <v>1</v>
      </c>
      <c r="R1434" s="55" t="s">
        <v>161</v>
      </c>
      <c r="S1434" s="26" t="s">
        <v>38</v>
      </c>
      <c r="T1434" s="26" t="s">
        <v>39</v>
      </c>
      <c r="U1434" s="27">
        <v>0.83333333333333337</v>
      </c>
      <c r="V1434" s="33">
        <v>1</v>
      </c>
      <c r="AG1434" s="31">
        <v>0</v>
      </c>
      <c r="AH1434" t="s">
        <v>44</v>
      </c>
    </row>
    <row r="1435" spans="1:34">
      <c r="A1435" s="15" t="s">
        <v>1509</v>
      </c>
      <c r="B1435" s="8" t="s">
        <v>1505</v>
      </c>
      <c r="C1435" s="41" t="s">
        <v>160</v>
      </c>
      <c r="D1435" s="1" t="s">
        <v>38</v>
      </c>
      <c r="E1435" s="26" t="s">
        <v>39</v>
      </c>
      <c r="F1435" s="27">
        <v>0.81300813008130079</v>
      </c>
      <c r="G1435" s="33">
        <v>1</v>
      </c>
      <c r="R1435" s="55" t="s">
        <v>161</v>
      </c>
      <c r="S1435" s="26" t="s">
        <v>38</v>
      </c>
      <c r="T1435" s="26" t="s">
        <v>39</v>
      </c>
      <c r="U1435" s="27">
        <v>0.83333333333333337</v>
      </c>
      <c r="V1435" s="33">
        <v>1</v>
      </c>
      <c r="AG1435" s="31">
        <v>0</v>
      </c>
      <c r="AH1435" t="s">
        <v>44</v>
      </c>
    </row>
    <row r="1436" spans="1:34">
      <c r="A1436" s="15" t="s">
        <v>1510</v>
      </c>
      <c r="B1436" s="8" t="s">
        <v>1505</v>
      </c>
      <c r="C1436" s="41" t="s">
        <v>160</v>
      </c>
      <c r="D1436" s="1" t="s">
        <v>38</v>
      </c>
      <c r="E1436" s="26" t="s">
        <v>39</v>
      </c>
      <c r="F1436" s="27">
        <v>0.81300813008130079</v>
      </c>
      <c r="G1436" s="33">
        <v>1</v>
      </c>
      <c r="R1436" s="55" t="s">
        <v>161</v>
      </c>
      <c r="S1436" s="26" t="s">
        <v>38</v>
      </c>
      <c r="T1436" s="26" t="s">
        <v>39</v>
      </c>
      <c r="U1436" s="27">
        <v>0.83333333333333337</v>
      </c>
      <c r="V1436" s="33">
        <v>1</v>
      </c>
      <c r="AG1436" s="31">
        <v>0</v>
      </c>
      <c r="AH1436" t="s">
        <v>44</v>
      </c>
    </row>
    <row r="1437" spans="1:34">
      <c r="A1437" s="15" t="s">
        <v>1511</v>
      </c>
      <c r="B1437" s="8" t="s">
        <v>1505</v>
      </c>
      <c r="C1437" s="41" t="s">
        <v>160</v>
      </c>
      <c r="D1437" s="1" t="s">
        <v>38</v>
      </c>
      <c r="E1437" s="26" t="s">
        <v>39</v>
      </c>
      <c r="F1437" s="27">
        <v>0.81300813008130079</v>
      </c>
      <c r="G1437" s="33">
        <v>1</v>
      </c>
      <c r="R1437" s="55" t="s">
        <v>161</v>
      </c>
      <c r="S1437" s="26" t="s">
        <v>38</v>
      </c>
      <c r="T1437" s="26" t="s">
        <v>39</v>
      </c>
      <c r="U1437" s="27">
        <v>0.83333333333333337</v>
      </c>
      <c r="V1437" s="33">
        <v>1</v>
      </c>
      <c r="AG1437" s="31">
        <v>0</v>
      </c>
      <c r="AH1437" t="s">
        <v>44</v>
      </c>
    </row>
    <row r="1438" spans="1:34">
      <c r="A1438" s="15" t="s">
        <v>1512</v>
      </c>
      <c r="B1438" s="8" t="s">
        <v>1505</v>
      </c>
      <c r="C1438" s="41" t="s">
        <v>160</v>
      </c>
      <c r="D1438" s="1" t="s">
        <v>38</v>
      </c>
      <c r="E1438" s="26" t="s">
        <v>39</v>
      </c>
      <c r="F1438" s="27">
        <v>0.81300813008130079</v>
      </c>
      <c r="G1438" s="33">
        <v>1</v>
      </c>
      <c r="R1438" s="55" t="s">
        <v>161</v>
      </c>
      <c r="S1438" s="26" t="s">
        <v>38</v>
      </c>
      <c r="T1438" s="26" t="s">
        <v>39</v>
      </c>
      <c r="U1438" s="27">
        <v>0.83333333333333337</v>
      </c>
      <c r="V1438" s="33">
        <v>1</v>
      </c>
      <c r="AG1438" s="31">
        <v>0</v>
      </c>
      <c r="AH1438" t="s">
        <v>44</v>
      </c>
    </row>
    <row r="1439" spans="1:34">
      <c r="A1439" s="15" t="s">
        <v>1513</v>
      </c>
      <c r="B1439" s="8" t="s">
        <v>1505</v>
      </c>
      <c r="C1439" s="41" t="s">
        <v>160</v>
      </c>
      <c r="D1439" s="1" t="s">
        <v>38</v>
      </c>
      <c r="E1439" s="26" t="s">
        <v>39</v>
      </c>
      <c r="F1439" s="27">
        <v>0.81300813008130079</v>
      </c>
      <c r="G1439" s="33">
        <v>1</v>
      </c>
      <c r="R1439" s="55" t="s">
        <v>161</v>
      </c>
      <c r="S1439" s="26" t="s">
        <v>38</v>
      </c>
      <c r="T1439" s="26" t="s">
        <v>39</v>
      </c>
      <c r="U1439" s="27">
        <v>0.83333333333333337</v>
      </c>
      <c r="V1439" s="33">
        <v>1</v>
      </c>
      <c r="AG1439" s="31">
        <v>0</v>
      </c>
      <c r="AH1439" t="s">
        <v>44</v>
      </c>
    </row>
    <row r="1440" spans="1:34">
      <c r="A1440" s="15" t="s">
        <v>1514</v>
      </c>
      <c r="B1440" s="8" t="s">
        <v>1505</v>
      </c>
      <c r="C1440" s="41" t="s">
        <v>160</v>
      </c>
      <c r="D1440" s="1" t="s">
        <v>38</v>
      </c>
      <c r="E1440" s="26" t="s">
        <v>39</v>
      </c>
      <c r="F1440" s="27">
        <v>0.81300813008130079</v>
      </c>
      <c r="G1440" s="33">
        <v>1</v>
      </c>
      <c r="R1440" s="55" t="s">
        <v>161</v>
      </c>
      <c r="S1440" s="26" t="s">
        <v>38</v>
      </c>
      <c r="T1440" s="26" t="s">
        <v>39</v>
      </c>
      <c r="U1440" s="27">
        <v>0.83333333333333337</v>
      </c>
      <c r="V1440" s="33">
        <v>1</v>
      </c>
      <c r="AG1440" s="31">
        <v>0</v>
      </c>
      <c r="AH1440" t="s">
        <v>44</v>
      </c>
    </row>
    <row r="1441" spans="1:34">
      <c r="A1441" s="15" t="s">
        <v>1515</v>
      </c>
      <c r="B1441" s="8" t="s">
        <v>1505</v>
      </c>
      <c r="C1441" s="41" t="s">
        <v>160</v>
      </c>
      <c r="D1441" s="1" t="s">
        <v>38</v>
      </c>
      <c r="E1441" s="26" t="s">
        <v>39</v>
      </c>
      <c r="F1441" s="27">
        <v>0.81300813008130079</v>
      </c>
      <c r="G1441" s="33">
        <v>1</v>
      </c>
      <c r="R1441" s="55" t="s">
        <v>161</v>
      </c>
      <c r="S1441" s="26" t="s">
        <v>38</v>
      </c>
      <c r="T1441" s="26" t="s">
        <v>39</v>
      </c>
      <c r="U1441" s="27">
        <v>0.83333333333333337</v>
      </c>
      <c r="V1441" s="33">
        <v>1</v>
      </c>
      <c r="AG1441" s="31">
        <v>0</v>
      </c>
      <c r="AH1441" t="s">
        <v>44</v>
      </c>
    </row>
    <row r="1442" spans="1:34">
      <c r="A1442" s="15" t="s">
        <v>1516</v>
      </c>
      <c r="B1442" s="8" t="s">
        <v>1505</v>
      </c>
      <c r="C1442" s="41" t="s">
        <v>160</v>
      </c>
      <c r="D1442" s="1" t="s">
        <v>38</v>
      </c>
      <c r="E1442" s="26" t="s">
        <v>39</v>
      </c>
      <c r="F1442" s="27">
        <v>0.81300813008130079</v>
      </c>
      <c r="G1442" s="33">
        <v>1</v>
      </c>
      <c r="R1442" s="55" t="s">
        <v>161</v>
      </c>
      <c r="S1442" s="26" t="s">
        <v>38</v>
      </c>
      <c r="T1442" s="26" t="s">
        <v>39</v>
      </c>
      <c r="U1442" s="27">
        <v>0.83333333333333337</v>
      </c>
      <c r="V1442" s="33">
        <v>1</v>
      </c>
      <c r="AG1442" s="31">
        <v>0</v>
      </c>
      <c r="AH1442" t="s">
        <v>44</v>
      </c>
    </row>
    <row r="1443" spans="1:34">
      <c r="A1443" s="15" t="s">
        <v>1517</v>
      </c>
      <c r="B1443" s="8" t="s">
        <v>1505</v>
      </c>
      <c r="C1443" s="41" t="s">
        <v>160</v>
      </c>
      <c r="D1443" s="1" t="s">
        <v>38</v>
      </c>
      <c r="E1443" s="26" t="s">
        <v>39</v>
      </c>
      <c r="F1443" s="27">
        <v>0.81300813008130079</v>
      </c>
      <c r="G1443" s="33">
        <v>1</v>
      </c>
      <c r="R1443" s="55" t="s">
        <v>161</v>
      </c>
      <c r="S1443" s="26" t="s">
        <v>38</v>
      </c>
      <c r="T1443" s="26" t="s">
        <v>39</v>
      </c>
      <c r="U1443" s="27">
        <v>0.83333333333333337</v>
      </c>
      <c r="V1443" s="33">
        <v>1</v>
      </c>
      <c r="AG1443" s="31">
        <v>0</v>
      </c>
      <c r="AH1443" t="s">
        <v>44</v>
      </c>
    </row>
    <row r="1444" spans="1:34">
      <c r="A1444" s="15" t="s">
        <v>1518</v>
      </c>
      <c r="B1444" s="8" t="s">
        <v>1505</v>
      </c>
      <c r="C1444" s="41" t="s">
        <v>160</v>
      </c>
      <c r="D1444" s="1" t="s">
        <v>38</v>
      </c>
      <c r="E1444" s="26" t="s">
        <v>39</v>
      </c>
      <c r="F1444" s="27">
        <v>0.81300813008130079</v>
      </c>
      <c r="G1444" s="33">
        <v>1</v>
      </c>
      <c r="R1444" s="55" t="s">
        <v>161</v>
      </c>
      <c r="S1444" s="26" t="s">
        <v>38</v>
      </c>
      <c r="T1444" s="26" t="s">
        <v>39</v>
      </c>
      <c r="U1444" s="27">
        <v>0.83333333333333337</v>
      </c>
      <c r="V1444" s="33">
        <v>1</v>
      </c>
      <c r="AG1444" s="31">
        <v>0</v>
      </c>
      <c r="AH1444" t="s">
        <v>44</v>
      </c>
    </row>
    <row r="1445" spans="1:34">
      <c r="A1445" s="15" t="s">
        <v>1519</v>
      </c>
      <c r="B1445" s="8" t="s">
        <v>1505</v>
      </c>
      <c r="C1445" s="41" t="s">
        <v>160</v>
      </c>
      <c r="D1445" s="1" t="s">
        <v>38</v>
      </c>
      <c r="E1445" s="26" t="s">
        <v>39</v>
      </c>
      <c r="F1445" s="27">
        <v>0.81300813008130079</v>
      </c>
      <c r="G1445" s="33">
        <v>1</v>
      </c>
      <c r="R1445" s="55" t="s">
        <v>161</v>
      </c>
      <c r="S1445" s="26" t="s">
        <v>38</v>
      </c>
      <c r="T1445" s="26" t="s">
        <v>39</v>
      </c>
      <c r="U1445" s="27">
        <v>0.83333333333333337</v>
      </c>
      <c r="V1445" s="33">
        <v>1</v>
      </c>
      <c r="AG1445" s="31">
        <v>0</v>
      </c>
      <c r="AH1445" t="s">
        <v>44</v>
      </c>
    </row>
    <row r="1446" spans="1:34">
      <c r="A1446" s="15" t="s">
        <v>1520</v>
      </c>
      <c r="B1446" s="8" t="s">
        <v>1505</v>
      </c>
      <c r="C1446" s="41" t="s">
        <v>160</v>
      </c>
      <c r="D1446" s="1" t="s">
        <v>38</v>
      </c>
      <c r="E1446" s="26" t="s">
        <v>39</v>
      </c>
      <c r="F1446" s="27">
        <v>0.81300813008130079</v>
      </c>
      <c r="G1446" s="33">
        <v>1</v>
      </c>
      <c r="R1446" s="55" t="s">
        <v>161</v>
      </c>
      <c r="S1446" s="26" t="s">
        <v>38</v>
      </c>
      <c r="T1446" s="26" t="s">
        <v>39</v>
      </c>
      <c r="U1446" s="27">
        <v>0.83333333333333337</v>
      </c>
      <c r="V1446" s="33">
        <v>1</v>
      </c>
      <c r="AG1446" s="31">
        <v>0</v>
      </c>
      <c r="AH1446" t="s">
        <v>44</v>
      </c>
    </row>
    <row r="1447" spans="1:34">
      <c r="A1447" s="15" t="s">
        <v>1521</v>
      </c>
      <c r="B1447" s="8" t="s">
        <v>1505</v>
      </c>
      <c r="C1447" s="41" t="s">
        <v>160</v>
      </c>
      <c r="D1447" s="1" t="s">
        <v>38</v>
      </c>
      <c r="E1447" s="26" t="s">
        <v>39</v>
      </c>
      <c r="F1447" s="27">
        <v>0.81300813008130079</v>
      </c>
      <c r="G1447" s="33">
        <v>1</v>
      </c>
      <c r="R1447" s="55" t="s">
        <v>161</v>
      </c>
      <c r="S1447" s="26" t="s">
        <v>38</v>
      </c>
      <c r="T1447" s="26" t="s">
        <v>39</v>
      </c>
      <c r="U1447" s="27">
        <v>0.83333333333333337</v>
      </c>
      <c r="V1447" s="33">
        <v>1</v>
      </c>
      <c r="AG1447" s="31">
        <v>0</v>
      </c>
      <c r="AH1447" t="s">
        <v>44</v>
      </c>
    </row>
    <row r="1448" spans="1:34">
      <c r="A1448" s="15" t="s">
        <v>1522</v>
      </c>
      <c r="B1448" s="8" t="s">
        <v>1505</v>
      </c>
      <c r="C1448" s="41" t="s">
        <v>160</v>
      </c>
      <c r="D1448" s="1" t="s">
        <v>38</v>
      </c>
      <c r="E1448" s="26" t="s">
        <v>39</v>
      </c>
      <c r="F1448" s="27">
        <v>0.81300813008130079</v>
      </c>
      <c r="G1448" s="33">
        <v>1</v>
      </c>
      <c r="R1448" s="55" t="s">
        <v>161</v>
      </c>
      <c r="S1448" s="26" t="s">
        <v>38</v>
      </c>
      <c r="T1448" s="26" t="s">
        <v>39</v>
      </c>
      <c r="U1448" s="27">
        <v>0.83333333333333337</v>
      </c>
      <c r="V1448" s="33">
        <v>1</v>
      </c>
      <c r="AG1448" s="31">
        <v>0</v>
      </c>
      <c r="AH1448" t="s">
        <v>44</v>
      </c>
    </row>
    <row r="1449" spans="1:34">
      <c r="A1449" s="15" t="s">
        <v>1523</v>
      </c>
      <c r="B1449" s="8" t="s">
        <v>1505</v>
      </c>
      <c r="C1449" s="41" t="s">
        <v>160</v>
      </c>
      <c r="D1449" s="1" t="s">
        <v>38</v>
      </c>
      <c r="E1449" s="26" t="s">
        <v>39</v>
      </c>
      <c r="F1449" s="27">
        <v>0.81300813008130079</v>
      </c>
      <c r="G1449" s="33">
        <v>1</v>
      </c>
      <c r="R1449" s="55" t="s">
        <v>161</v>
      </c>
      <c r="S1449" s="26" t="s">
        <v>38</v>
      </c>
      <c r="T1449" s="26" t="s">
        <v>39</v>
      </c>
      <c r="U1449" s="27">
        <v>0.83333333333333337</v>
      </c>
      <c r="V1449" s="33">
        <v>1</v>
      </c>
      <c r="AG1449" s="31">
        <v>0</v>
      </c>
      <c r="AH1449" t="s">
        <v>44</v>
      </c>
    </row>
    <row r="1450" spans="1:34">
      <c r="A1450" s="15" t="s">
        <v>1524</v>
      </c>
      <c r="B1450" s="8" t="s">
        <v>1505</v>
      </c>
      <c r="C1450" s="41" t="s">
        <v>160</v>
      </c>
      <c r="D1450" s="1" t="s">
        <v>38</v>
      </c>
      <c r="E1450" s="26" t="s">
        <v>39</v>
      </c>
      <c r="F1450" s="27">
        <v>0.81300813008130079</v>
      </c>
      <c r="G1450" s="33">
        <v>1</v>
      </c>
      <c r="R1450" s="55" t="s">
        <v>161</v>
      </c>
      <c r="S1450" s="26" t="s">
        <v>38</v>
      </c>
      <c r="T1450" s="26" t="s">
        <v>39</v>
      </c>
      <c r="U1450" s="27">
        <v>0.83333333333333337</v>
      </c>
      <c r="V1450" s="33">
        <v>1</v>
      </c>
      <c r="AG1450" s="31">
        <v>0</v>
      </c>
      <c r="AH1450" t="s">
        <v>44</v>
      </c>
    </row>
    <row r="1451" spans="1:34">
      <c r="A1451" s="15" t="s">
        <v>1525</v>
      </c>
      <c r="B1451" s="8" t="s">
        <v>1505</v>
      </c>
      <c r="C1451" s="41" t="s">
        <v>160</v>
      </c>
      <c r="D1451" s="1" t="s">
        <v>38</v>
      </c>
      <c r="E1451" s="26" t="s">
        <v>39</v>
      </c>
      <c r="F1451" s="27">
        <v>0.81300813008130079</v>
      </c>
      <c r="G1451" s="33">
        <v>1</v>
      </c>
      <c r="R1451" s="55" t="s">
        <v>161</v>
      </c>
      <c r="S1451" s="26" t="s">
        <v>38</v>
      </c>
      <c r="T1451" s="26" t="s">
        <v>39</v>
      </c>
      <c r="U1451" s="27">
        <v>0.83333333333333337</v>
      </c>
      <c r="V1451" s="33">
        <v>1</v>
      </c>
      <c r="AG1451" s="31">
        <v>0</v>
      </c>
      <c r="AH1451" t="s">
        <v>44</v>
      </c>
    </row>
    <row r="1452" spans="1:34">
      <c r="A1452" s="15" t="s">
        <v>1526</v>
      </c>
      <c r="B1452" s="8" t="s">
        <v>1505</v>
      </c>
      <c r="C1452" s="41" t="s">
        <v>160</v>
      </c>
      <c r="D1452" s="1" t="s">
        <v>38</v>
      </c>
      <c r="E1452" s="26" t="s">
        <v>39</v>
      </c>
      <c r="F1452" s="27">
        <v>0.81300813008130079</v>
      </c>
      <c r="G1452" s="33">
        <v>1</v>
      </c>
      <c r="R1452" s="55" t="s">
        <v>161</v>
      </c>
      <c r="S1452" s="26" t="s">
        <v>38</v>
      </c>
      <c r="T1452" s="26" t="s">
        <v>39</v>
      </c>
      <c r="U1452" s="27">
        <v>0.83333333333333337</v>
      </c>
      <c r="V1452" s="33">
        <v>1</v>
      </c>
      <c r="AG1452" s="31">
        <v>1</v>
      </c>
      <c r="AH1452" t="s">
        <v>73</v>
      </c>
    </row>
    <row r="1453" spans="1:34">
      <c r="A1453" s="15" t="s">
        <v>1527</v>
      </c>
      <c r="B1453" s="8" t="s">
        <v>1505</v>
      </c>
      <c r="C1453" s="41" t="s">
        <v>160</v>
      </c>
      <c r="D1453" s="1" t="s">
        <v>38</v>
      </c>
      <c r="E1453" s="26" t="s">
        <v>39</v>
      </c>
      <c r="F1453" s="27">
        <v>0.81300813008130079</v>
      </c>
      <c r="G1453" s="33">
        <v>1</v>
      </c>
      <c r="R1453" s="55" t="s">
        <v>161</v>
      </c>
      <c r="S1453" s="26" t="s">
        <v>38</v>
      </c>
      <c r="T1453" s="26" t="s">
        <v>39</v>
      </c>
      <c r="U1453" s="27">
        <v>0.83333333333333337</v>
      </c>
      <c r="V1453" s="33">
        <v>1</v>
      </c>
      <c r="AG1453" s="31">
        <v>1</v>
      </c>
      <c r="AH1453" t="s">
        <v>73</v>
      </c>
    </row>
    <row r="1454" spans="1:34">
      <c r="A1454" s="15" t="s">
        <v>1528</v>
      </c>
      <c r="B1454" s="8" t="s">
        <v>1505</v>
      </c>
      <c r="C1454" s="41" t="s">
        <v>160</v>
      </c>
      <c r="D1454" s="1" t="s">
        <v>38</v>
      </c>
      <c r="E1454" s="26" t="s">
        <v>39</v>
      </c>
      <c r="F1454" s="27">
        <v>0.81300813008130079</v>
      </c>
      <c r="G1454" s="33">
        <v>1</v>
      </c>
      <c r="R1454" s="55" t="s">
        <v>161</v>
      </c>
      <c r="S1454" s="26" t="s">
        <v>38</v>
      </c>
      <c r="T1454" s="26" t="s">
        <v>39</v>
      </c>
      <c r="U1454" s="27">
        <v>0.83333333333333337</v>
      </c>
      <c r="V1454" s="33">
        <v>1</v>
      </c>
      <c r="AG1454" s="31">
        <v>1</v>
      </c>
      <c r="AH1454" t="s">
        <v>73</v>
      </c>
    </row>
    <row r="1455" spans="1:34">
      <c r="A1455" s="15" t="s">
        <v>1529</v>
      </c>
      <c r="B1455" s="8" t="s">
        <v>1505</v>
      </c>
      <c r="C1455" s="41" t="s">
        <v>160</v>
      </c>
      <c r="D1455" s="1" t="s">
        <v>38</v>
      </c>
      <c r="E1455" s="26" t="s">
        <v>39</v>
      </c>
      <c r="F1455" s="27">
        <v>0.81300813008130079</v>
      </c>
      <c r="G1455" s="33">
        <v>1</v>
      </c>
      <c r="R1455" s="55" t="s">
        <v>161</v>
      </c>
      <c r="S1455" s="26" t="s">
        <v>38</v>
      </c>
      <c r="T1455" s="26" t="s">
        <v>39</v>
      </c>
      <c r="U1455" s="27">
        <v>0.83333333333333337</v>
      </c>
      <c r="V1455" s="33">
        <v>1</v>
      </c>
      <c r="AG1455" s="31">
        <v>1</v>
      </c>
      <c r="AH1455" t="s">
        <v>73</v>
      </c>
    </row>
    <row r="1456" spans="1:34">
      <c r="A1456" s="15" t="s">
        <v>1530</v>
      </c>
      <c r="B1456" s="8" t="s">
        <v>1505</v>
      </c>
      <c r="C1456" s="41" t="s">
        <v>160</v>
      </c>
      <c r="D1456" s="1" t="s">
        <v>38</v>
      </c>
      <c r="E1456" s="26" t="s">
        <v>39</v>
      </c>
      <c r="F1456" s="27">
        <v>0.81300813008130079</v>
      </c>
      <c r="G1456" s="33">
        <v>1</v>
      </c>
      <c r="R1456" s="55" t="s">
        <v>161</v>
      </c>
      <c r="S1456" s="26" t="s">
        <v>38</v>
      </c>
      <c r="T1456" s="26" t="s">
        <v>39</v>
      </c>
      <c r="U1456" s="27">
        <v>0.83333333333333337</v>
      </c>
      <c r="V1456" s="33">
        <v>1</v>
      </c>
      <c r="AG1456" s="31">
        <v>1</v>
      </c>
      <c r="AH1456" t="s">
        <v>73</v>
      </c>
    </row>
    <row r="1457" spans="1:34">
      <c r="A1457" s="15" t="s">
        <v>1531</v>
      </c>
      <c r="B1457" s="8" t="s">
        <v>1505</v>
      </c>
      <c r="C1457" s="41" t="s">
        <v>160</v>
      </c>
      <c r="D1457" s="1" t="s">
        <v>38</v>
      </c>
      <c r="E1457" s="26" t="s">
        <v>39</v>
      </c>
      <c r="F1457" s="27">
        <v>0.81300813008130079</v>
      </c>
      <c r="G1457" s="33">
        <v>1</v>
      </c>
      <c r="R1457" s="55" t="s">
        <v>161</v>
      </c>
      <c r="S1457" s="26" t="s">
        <v>38</v>
      </c>
      <c r="T1457" s="26" t="s">
        <v>39</v>
      </c>
      <c r="U1457" s="27">
        <v>0.83333333333333337</v>
      </c>
      <c r="V1457" s="33">
        <v>1</v>
      </c>
      <c r="AG1457" s="31">
        <v>1</v>
      </c>
      <c r="AH1457" t="s">
        <v>73</v>
      </c>
    </row>
    <row r="1458" spans="1:34">
      <c r="A1458" s="15" t="s">
        <v>1532</v>
      </c>
      <c r="B1458" s="8" t="s">
        <v>1505</v>
      </c>
      <c r="C1458" s="41" t="s">
        <v>160</v>
      </c>
      <c r="D1458" s="1" t="s">
        <v>38</v>
      </c>
      <c r="E1458" s="26" t="s">
        <v>39</v>
      </c>
      <c r="F1458" s="27">
        <v>0.81300813008130079</v>
      </c>
      <c r="G1458" s="33">
        <v>1</v>
      </c>
      <c r="R1458" s="55" t="s">
        <v>161</v>
      </c>
      <c r="S1458" s="26" t="s">
        <v>38</v>
      </c>
      <c r="T1458" s="26" t="s">
        <v>39</v>
      </c>
      <c r="U1458" s="27">
        <v>0.83333333333333337</v>
      </c>
      <c r="V1458" s="33">
        <v>1</v>
      </c>
      <c r="AG1458" s="31">
        <v>1</v>
      </c>
      <c r="AH1458" t="s">
        <v>73</v>
      </c>
    </row>
    <row r="1459" spans="1:34">
      <c r="A1459" s="15" t="s">
        <v>1533</v>
      </c>
      <c r="B1459" s="8" t="s">
        <v>1505</v>
      </c>
      <c r="C1459" s="41" t="s">
        <v>160</v>
      </c>
      <c r="D1459" s="1" t="s">
        <v>38</v>
      </c>
      <c r="E1459" s="26" t="s">
        <v>39</v>
      </c>
      <c r="F1459" s="27">
        <v>0.81300813008130079</v>
      </c>
      <c r="G1459" s="33">
        <v>1</v>
      </c>
      <c r="R1459" s="55" t="s">
        <v>161</v>
      </c>
      <c r="S1459" s="26" t="s">
        <v>38</v>
      </c>
      <c r="T1459" s="26" t="s">
        <v>39</v>
      </c>
      <c r="U1459" s="27">
        <v>0.83333333333333337</v>
      </c>
      <c r="V1459" s="33">
        <v>1</v>
      </c>
      <c r="AG1459" s="31">
        <v>0</v>
      </c>
      <c r="AH1459" t="s">
        <v>44</v>
      </c>
    </row>
    <row r="1460" spans="1:34">
      <c r="A1460" s="15" t="s">
        <v>1534</v>
      </c>
      <c r="B1460" s="8" t="s">
        <v>1505</v>
      </c>
      <c r="C1460" s="41" t="s">
        <v>160</v>
      </c>
      <c r="D1460" s="1" t="s">
        <v>38</v>
      </c>
      <c r="E1460" s="26" t="s">
        <v>39</v>
      </c>
      <c r="F1460" s="27">
        <v>0.81300813008130079</v>
      </c>
      <c r="G1460" s="33">
        <v>1</v>
      </c>
      <c r="R1460" s="55" t="s">
        <v>161</v>
      </c>
      <c r="S1460" s="26" t="s">
        <v>38</v>
      </c>
      <c r="T1460" s="26" t="s">
        <v>39</v>
      </c>
      <c r="U1460" s="27">
        <v>0.83333333333333337</v>
      </c>
      <c r="V1460" s="33">
        <v>1</v>
      </c>
      <c r="AG1460" s="31">
        <v>0</v>
      </c>
      <c r="AH1460" t="s">
        <v>44</v>
      </c>
    </row>
    <row r="1461" spans="1:34">
      <c r="A1461" s="15" t="s">
        <v>1535</v>
      </c>
      <c r="B1461" s="8" t="s">
        <v>1505</v>
      </c>
      <c r="C1461" s="41" t="s">
        <v>160</v>
      </c>
      <c r="D1461" s="1" t="s">
        <v>38</v>
      </c>
      <c r="E1461" s="26" t="s">
        <v>39</v>
      </c>
      <c r="F1461" s="27">
        <v>0.81300813008130079</v>
      </c>
      <c r="G1461" s="33">
        <v>1</v>
      </c>
      <c r="R1461" s="55" t="s">
        <v>161</v>
      </c>
      <c r="S1461" s="26" t="s">
        <v>38</v>
      </c>
      <c r="T1461" s="26" t="s">
        <v>39</v>
      </c>
      <c r="U1461" s="27">
        <v>0.83333333333333337</v>
      </c>
      <c r="V1461" s="33">
        <v>1</v>
      </c>
      <c r="AG1461" s="31">
        <v>0</v>
      </c>
      <c r="AH1461" t="s">
        <v>44</v>
      </c>
    </row>
    <row r="1462" spans="1:34">
      <c r="A1462" s="15" t="s">
        <v>1536</v>
      </c>
      <c r="B1462" s="8" t="s">
        <v>1505</v>
      </c>
      <c r="C1462" s="41" t="s">
        <v>160</v>
      </c>
      <c r="D1462" s="1" t="s">
        <v>38</v>
      </c>
      <c r="E1462" s="26" t="s">
        <v>39</v>
      </c>
      <c r="F1462" s="27">
        <v>0.81300813008130079</v>
      </c>
      <c r="G1462" s="33">
        <v>1</v>
      </c>
      <c r="R1462" s="55" t="s">
        <v>161</v>
      </c>
      <c r="S1462" s="26" t="s">
        <v>38</v>
      </c>
      <c r="T1462" s="26" t="s">
        <v>39</v>
      </c>
      <c r="U1462" s="27">
        <v>0.83333333333333337</v>
      </c>
      <c r="V1462" s="33">
        <v>1</v>
      </c>
      <c r="AG1462" s="31">
        <v>0</v>
      </c>
      <c r="AH1462" t="s">
        <v>44</v>
      </c>
    </row>
    <row r="1463" spans="1:34">
      <c r="A1463" s="15" t="s">
        <v>1537</v>
      </c>
      <c r="B1463" s="8" t="s">
        <v>1505</v>
      </c>
      <c r="C1463" s="41" t="s">
        <v>160</v>
      </c>
      <c r="D1463" s="1" t="s">
        <v>38</v>
      </c>
      <c r="E1463" s="26" t="s">
        <v>39</v>
      </c>
      <c r="F1463" s="27">
        <v>0.81300813008130079</v>
      </c>
      <c r="G1463" s="33">
        <v>1</v>
      </c>
      <c r="R1463" s="55" t="s">
        <v>161</v>
      </c>
      <c r="S1463" s="26" t="s">
        <v>38</v>
      </c>
      <c r="T1463" s="26" t="s">
        <v>39</v>
      </c>
      <c r="U1463" s="27">
        <v>0.83333333333333337</v>
      </c>
      <c r="V1463" s="33">
        <v>1</v>
      </c>
      <c r="AG1463" s="31">
        <v>0</v>
      </c>
      <c r="AH1463" t="s">
        <v>44</v>
      </c>
    </row>
    <row r="1464" spans="1:34">
      <c r="A1464" s="15" t="s">
        <v>1538</v>
      </c>
      <c r="B1464" s="8" t="s">
        <v>1505</v>
      </c>
      <c r="C1464" s="41" t="s">
        <v>160</v>
      </c>
      <c r="D1464" s="1" t="s">
        <v>38</v>
      </c>
      <c r="E1464" s="26" t="s">
        <v>39</v>
      </c>
      <c r="F1464" s="27">
        <v>0.81300813008130079</v>
      </c>
      <c r="G1464" s="33">
        <v>1</v>
      </c>
      <c r="R1464" s="55" t="s">
        <v>161</v>
      </c>
      <c r="S1464" s="26" t="s">
        <v>38</v>
      </c>
      <c r="T1464" s="26" t="s">
        <v>39</v>
      </c>
      <c r="U1464" s="27">
        <v>0.83333333333333337</v>
      </c>
      <c r="V1464" s="33">
        <v>1</v>
      </c>
      <c r="AG1464" s="31">
        <v>0</v>
      </c>
      <c r="AH1464" t="s">
        <v>44</v>
      </c>
    </row>
    <row r="1465" spans="1:34">
      <c r="A1465" s="15" t="s">
        <v>1539</v>
      </c>
      <c r="B1465" s="8" t="s">
        <v>1505</v>
      </c>
      <c r="C1465" s="41" t="s">
        <v>160</v>
      </c>
      <c r="D1465" s="1" t="s">
        <v>38</v>
      </c>
      <c r="E1465" s="26" t="s">
        <v>39</v>
      </c>
      <c r="F1465" s="27">
        <v>0.81300813008130079</v>
      </c>
      <c r="G1465" s="33">
        <v>1</v>
      </c>
      <c r="R1465" s="55" t="s">
        <v>161</v>
      </c>
      <c r="S1465" s="26" t="s">
        <v>38</v>
      </c>
      <c r="T1465" s="26" t="s">
        <v>39</v>
      </c>
      <c r="U1465" s="27">
        <v>0.83333333333333337</v>
      </c>
      <c r="V1465" s="33">
        <v>1</v>
      </c>
      <c r="AG1465" s="31">
        <v>0</v>
      </c>
      <c r="AH1465" t="s">
        <v>44</v>
      </c>
    </row>
    <row r="1466" spans="1:34">
      <c r="A1466" s="15" t="s">
        <v>1540</v>
      </c>
      <c r="B1466" s="8" t="s">
        <v>1505</v>
      </c>
      <c r="C1466" s="41" t="s">
        <v>160</v>
      </c>
      <c r="D1466" s="1" t="s">
        <v>38</v>
      </c>
      <c r="E1466" s="26" t="s">
        <v>39</v>
      </c>
      <c r="F1466" s="27">
        <v>0.81300813008130079</v>
      </c>
      <c r="G1466" s="33">
        <v>1</v>
      </c>
      <c r="R1466" s="55" t="s">
        <v>161</v>
      </c>
      <c r="S1466" s="26" t="s">
        <v>38</v>
      </c>
      <c r="T1466" s="26" t="s">
        <v>39</v>
      </c>
      <c r="U1466" s="27">
        <v>0.83333333333333337</v>
      </c>
      <c r="V1466" s="33">
        <v>1</v>
      </c>
      <c r="AG1466" s="31">
        <v>0</v>
      </c>
      <c r="AH1466" t="s">
        <v>44</v>
      </c>
    </row>
    <row r="1467" spans="1:34">
      <c r="A1467" s="15" t="s">
        <v>1541</v>
      </c>
      <c r="B1467" s="8" t="s">
        <v>1505</v>
      </c>
      <c r="C1467" s="41" t="s">
        <v>160</v>
      </c>
      <c r="D1467" s="1" t="s">
        <v>38</v>
      </c>
      <c r="E1467" s="26" t="s">
        <v>39</v>
      </c>
      <c r="F1467" s="27">
        <v>0.81300813008130079</v>
      </c>
      <c r="G1467" s="33">
        <v>1</v>
      </c>
      <c r="R1467" s="55" t="s">
        <v>161</v>
      </c>
      <c r="S1467" s="26" t="s">
        <v>38</v>
      </c>
      <c r="T1467" s="26" t="s">
        <v>39</v>
      </c>
      <c r="U1467" s="27">
        <v>0.83333333333333337</v>
      </c>
      <c r="V1467" s="33">
        <v>1</v>
      </c>
      <c r="AG1467" s="31">
        <v>0</v>
      </c>
      <c r="AH1467" t="s">
        <v>44</v>
      </c>
    </row>
    <row r="1468" spans="1:34">
      <c r="A1468" s="15" t="s">
        <v>1542</v>
      </c>
      <c r="B1468" s="8" t="s">
        <v>1505</v>
      </c>
      <c r="C1468" s="41" t="s">
        <v>160</v>
      </c>
      <c r="D1468" s="1" t="s">
        <v>38</v>
      </c>
      <c r="E1468" s="26" t="s">
        <v>39</v>
      </c>
      <c r="F1468" s="27">
        <v>0.81300813008130079</v>
      </c>
      <c r="G1468" s="33">
        <v>1</v>
      </c>
      <c r="R1468" s="55" t="s">
        <v>161</v>
      </c>
      <c r="S1468" s="26" t="s">
        <v>38</v>
      </c>
      <c r="T1468" s="26" t="s">
        <v>39</v>
      </c>
      <c r="U1468" s="27">
        <v>0.83333333333333337</v>
      </c>
      <c r="V1468" s="33">
        <v>1</v>
      </c>
      <c r="AG1468" s="31">
        <v>0</v>
      </c>
      <c r="AH1468" t="s">
        <v>44</v>
      </c>
    </row>
    <row r="1469" spans="1:34">
      <c r="A1469" s="15" t="s">
        <v>1543</v>
      </c>
      <c r="B1469" s="8" t="s">
        <v>1505</v>
      </c>
      <c r="C1469" s="41" t="s">
        <v>160</v>
      </c>
      <c r="D1469" s="1" t="s">
        <v>38</v>
      </c>
      <c r="E1469" s="26" t="s">
        <v>39</v>
      </c>
      <c r="F1469" s="27">
        <v>0.81300813008130079</v>
      </c>
      <c r="G1469" s="33">
        <v>1</v>
      </c>
      <c r="R1469" s="55" t="s">
        <v>161</v>
      </c>
      <c r="S1469" s="26" t="s">
        <v>38</v>
      </c>
      <c r="T1469" s="26" t="s">
        <v>39</v>
      </c>
      <c r="U1469" s="27">
        <v>0.83333333333333337</v>
      </c>
      <c r="V1469" s="33">
        <v>1</v>
      </c>
      <c r="AG1469" s="31">
        <v>0</v>
      </c>
      <c r="AH1469" t="s">
        <v>44</v>
      </c>
    </row>
    <row r="1470" spans="1:34">
      <c r="A1470" s="15" t="s">
        <v>1544</v>
      </c>
      <c r="B1470" s="8" t="s">
        <v>1505</v>
      </c>
      <c r="C1470" s="41" t="s">
        <v>160</v>
      </c>
      <c r="D1470" s="1" t="s">
        <v>38</v>
      </c>
      <c r="E1470" s="26" t="s">
        <v>39</v>
      </c>
      <c r="F1470" s="27">
        <v>0.81300813008130079</v>
      </c>
      <c r="G1470" s="33">
        <v>1</v>
      </c>
      <c r="R1470" s="55" t="s">
        <v>161</v>
      </c>
      <c r="S1470" s="26" t="s">
        <v>38</v>
      </c>
      <c r="T1470" s="26" t="s">
        <v>39</v>
      </c>
      <c r="U1470" s="27">
        <v>0.83333333333333337</v>
      </c>
      <c r="V1470" s="33">
        <v>1</v>
      </c>
      <c r="AG1470" s="31">
        <v>0</v>
      </c>
      <c r="AH1470" t="s">
        <v>44</v>
      </c>
    </row>
    <row r="1471" spans="1:34">
      <c r="A1471" s="15" t="s">
        <v>1545</v>
      </c>
      <c r="B1471" s="8" t="s">
        <v>1505</v>
      </c>
      <c r="C1471" s="41" t="s">
        <v>160</v>
      </c>
      <c r="D1471" s="1" t="s">
        <v>38</v>
      </c>
      <c r="E1471" s="26" t="s">
        <v>39</v>
      </c>
      <c r="F1471" s="27">
        <v>0.81300813008130079</v>
      </c>
      <c r="G1471" s="33">
        <v>1</v>
      </c>
      <c r="R1471" s="55" t="s">
        <v>161</v>
      </c>
      <c r="S1471" s="26" t="s">
        <v>38</v>
      </c>
      <c r="T1471" s="26" t="s">
        <v>39</v>
      </c>
      <c r="U1471" s="27">
        <v>0.83333333333333337</v>
      </c>
      <c r="V1471" s="33">
        <v>1</v>
      </c>
      <c r="AG1471" s="31">
        <v>0</v>
      </c>
      <c r="AH1471" t="s">
        <v>44</v>
      </c>
    </row>
    <row r="1472" spans="1:34">
      <c r="A1472" s="15" t="s">
        <v>1546</v>
      </c>
      <c r="B1472" s="8" t="s">
        <v>1505</v>
      </c>
      <c r="C1472" s="41" t="s">
        <v>160</v>
      </c>
      <c r="D1472" s="1" t="s">
        <v>38</v>
      </c>
      <c r="E1472" s="26" t="s">
        <v>39</v>
      </c>
      <c r="F1472" s="27">
        <v>0.81300813008130079</v>
      </c>
      <c r="G1472" s="33">
        <v>1</v>
      </c>
      <c r="R1472" s="55" t="s">
        <v>161</v>
      </c>
      <c r="S1472" s="26" t="s">
        <v>38</v>
      </c>
      <c r="T1472" s="26" t="s">
        <v>39</v>
      </c>
      <c r="U1472" s="27">
        <v>0.83333333333333337</v>
      </c>
      <c r="V1472" s="33">
        <v>1</v>
      </c>
      <c r="AG1472" s="31">
        <v>0</v>
      </c>
      <c r="AH1472" t="s">
        <v>44</v>
      </c>
    </row>
    <row r="1473" spans="1:34">
      <c r="A1473" s="15" t="s">
        <v>1547</v>
      </c>
      <c r="B1473" s="8" t="s">
        <v>1505</v>
      </c>
      <c r="C1473" s="41" t="s">
        <v>160</v>
      </c>
      <c r="D1473" s="1" t="s">
        <v>38</v>
      </c>
      <c r="E1473" s="26" t="s">
        <v>39</v>
      </c>
      <c r="F1473" s="27">
        <v>0.81300813008130079</v>
      </c>
      <c r="G1473" s="33">
        <v>1</v>
      </c>
      <c r="R1473" s="55" t="s">
        <v>161</v>
      </c>
      <c r="S1473" s="26" t="s">
        <v>38</v>
      </c>
      <c r="T1473" s="26" t="s">
        <v>39</v>
      </c>
      <c r="U1473" s="27">
        <v>0.83333333333333337</v>
      </c>
      <c r="V1473" s="33">
        <v>1</v>
      </c>
      <c r="AG1473" s="31">
        <v>0</v>
      </c>
      <c r="AH1473" t="s">
        <v>44</v>
      </c>
    </row>
    <row r="1474" spans="1:34">
      <c r="A1474" s="15" t="s">
        <v>1548</v>
      </c>
      <c r="B1474" s="8" t="s">
        <v>1505</v>
      </c>
      <c r="C1474" s="41" t="s">
        <v>160</v>
      </c>
      <c r="D1474" s="1" t="s">
        <v>38</v>
      </c>
      <c r="E1474" s="26" t="s">
        <v>39</v>
      </c>
      <c r="F1474" s="27">
        <v>0.81300813008130079</v>
      </c>
      <c r="G1474" s="33">
        <v>1</v>
      </c>
      <c r="R1474" s="55" t="s">
        <v>161</v>
      </c>
      <c r="S1474" s="26" t="s">
        <v>38</v>
      </c>
      <c r="T1474" s="26" t="s">
        <v>39</v>
      </c>
      <c r="U1474" s="27">
        <v>0.83333333333333337</v>
      </c>
      <c r="V1474" s="33">
        <v>1</v>
      </c>
      <c r="AG1474" s="31">
        <v>0</v>
      </c>
      <c r="AH1474" t="s">
        <v>44</v>
      </c>
    </row>
    <row r="1475" spans="1:34">
      <c r="A1475" s="15" t="s">
        <v>1549</v>
      </c>
      <c r="B1475" s="8" t="s">
        <v>1505</v>
      </c>
      <c r="C1475" s="41" t="s">
        <v>160</v>
      </c>
      <c r="D1475" s="1" t="s">
        <v>38</v>
      </c>
      <c r="E1475" s="26" t="s">
        <v>39</v>
      </c>
      <c r="F1475" s="27">
        <v>0.81300813008130079</v>
      </c>
      <c r="G1475" s="33">
        <v>1</v>
      </c>
      <c r="R1475" s="55" t="s">
        <v>161</v>
      </c>
      <c r="S1475" s="26" t="s">
        <v>38</v>
      </c>
      <c r="T1475" s="26" t="s">
        <v>39</v>
      </c>
      <c r="U1475" s="27">
        <v>0.83333333333333337</v>
      </c>
      <c r="V1475" s="33">
        <v>1</v>
      </c>
      <c r="AG1475" s="31">
        <v>0</v>
      </c>
      <c r="AH1475" t="s">
        <v>44</v>
      </c>
    </row>
    <row r="1476" spans="1:34">
      <c r="A1476" s="15" t="s">
        <v>1550</v>
      </c>
      <c r="B1476" s="8" t="s">
        <v>1505</v>
      </c>
      <c r="C1476" s="41" t="s">
        <v>160</v>
      </c>
      <c r="D1476" s="1" t="s">
        <v>38</v>
      </c>
      <c r="E1476" s="26" t="s">
        <v>39</v>
      </c>
      <c r="F1476" s="27">
        <v>0.81300813008130079</v>
      </c>
      <c r="G1476" s="33">
        <v>1</v>
      </c>
      <c r="R1476" s="55" t="s">
        <v>161</v>
      </c>
      <c r="S1476" s="26" t="s">
        <v>38</v>
      </c>
      <c r="T1476" s="26" t="s">
        <v>39</v>
      </c>
      <c r="U1476" s="27">
        <v>0.83333333333333337</v>
      </c>
      <c r="V1476" s="33">
        <v>1</v>
      </c>
      <c r="AG1476" s="31">
        <v>0</v>
      </c>
      <c r="AH1476" t="s">
        <v>44</v>
      </c>
    </row>
    <row r="1477" spans="1:34">
      <c r="A1477" s="15" t="s">
        <v>1551</v>
      </c>
      <c r="B1477" s="8" t="s">
        <v>1505</v>
      </c>
      <c r="C1477" s="41" t="s">
        <v>160</v>
      </c>
      <c r="D1477" s="1" t="s">
        <v>38</v>
      </c>
      <c r="E1477" s="26" t="s">
        <v>39</v>
      </c>
      <c r="F1477" s="27">
        <v>0.81300813008130079</v>
      </c>
      <c r="G1477" s="33">
        <v>1</v>
      </c>
      <c r="R1477" s="55" t="s">
        <v>161</v>
      </c>
      <c r="S1477" s="26" t="s">
        <v>38</v>
      </c>
      <c r="T1477" s="26" t="s">
        <v>39</v>
      </c>
      <c r="U1477" s="27">
        <v>0.83333333333333337</v>
      </c>
      <c r="V1477" s="33">
        <v>1</v>
      </c>
      <c r="AG1477" s="31">
        <v>0</v>
      </c>
      <c r="AH1477" t="s">
        <v>44</v>
      </c>
    </row>
    <row r="1478" spans="1:34">
      <c r="A1478" s="15" t="s">
        <v>1552</v>
      </c>
      <c r="B1478" s="8" t="s">
        <v>1505</v>
      </c>
      <c r="C1478" s="41" t="s">
        <v>160</v>
      </c>
      <c r="D1478" s="1" t="s">
        <v>38</v>
      </c>
      <c r="E1478" s="26" t="s">
        <v>39</v>
      </c>
      <c r="F1478" s="27">
        <v>0.81300813008130079</v>
      </c>
      <c r="G1478" s="33">
        <v>1</v>
      </c>
      <c r="R1478" s="55" t="s">
        <v>161</v>
      </c>
      <c r="S1478" s="26" t="s">
        <v>38</v>
      </c>
      <c r="T1478" s="26" t="s">
        <v>39</v>
      </c>
      <c r="U1478" s="27">
        <v>0.83333333333333337</v>
      </c>
      <c r="V1478" s="33">
        <v>1</v>
      </c>
      <c r="AG1478" s="31">
        <v>0</v>
      </c>
      <c r="AH1478" t="s">
        <v>44</v>
      </c>
    </row>
    <row r="1479" spans="1:34" s="65" customFormat="1">
      <c r="A1479" s="16" t="s">
        <v>1553</v>
      </c>
      <c r="B1479" s="57" t="s">
        <v>1505</v>
      </c>
      <c r="C1479" s="41" t="s">
        <v>160</v>
      </c>
      <c r="D1479" s="1" t="s">
        <v>38</v>
      </c>
      <c r="E1479" s="26" t="s">
        <v>39</v>
      </c>
      <c r="F1479" s="27">
        <v>0.81300813008130079</v>
      </c>
      <c r="G1479" s="33">
        <v>1</v>
      </c>
      <c r="H1479" s="30"/>
      <c r="I1479" s="30"/>
      <c r="J1479" s="30"/>
      <c r="K1479" s="31"/>
      <c r="L1479" s="30"/>
      <c r="M1479" s="73"/>
      <c r="N1479" s="30"/>
      <c r="O1479" s="30"/>
      <c r="P1479" s="31"/>
      <c r="Q1479" s="38"/>
      <c r="R1479" s="55" t="s">
        <v>161</v>
      </c>
      <c r="S1479" s="26" t="s">
        <v>38</v>
      </c>
      <c r="T1479" s="26" t="s">
        <v>39</v>
      </c>
      <c r="U1479" s="27">
        <v>0.83333333333333337</v>
      </c>
      <c r="V1479" s="33">
        <v>1</v>
      </c>
      <c r="W1479" s="63"/>
      <c r="X1479" s="63"/>
      <c r="Y1479" s="63"/>
      <c r="Z1479" s="93"/>
      <c r="AA1479" s="63"/>
      <c r="AB1479" s="75"/>
      <c r="AC1479" s="63"/>
      <c r="AD1479" s="63"/>
      <c r="AE1479" s="63"/>
      <c r="AF1479" s="64"/>
      <c r="AG1479" s="93">
        <v>0</v>
      </c>
      <c r="AH1479" s="65" t="s">
        <v>44</v>
      </c>
    </row>
    <row r="1480" spans="1:34">
      <c r="A1480" s="15" t="s">
        <v>1554</v>
      </c>
      <c r="B1480" s="8" t="s">
        <v>1555</v>
      </c>
      <c r="C1480" s="45" t="s">
        <v>212</v>
      </c>
      <c r="D1480" s="46" t="s">
        <v>41</v>
      </c>
      <c r="E1480" s="47" t="s">
        <v>39</v>
      </c>
      <c r="F1480" s="48">
        <v>1</v>
      </c>
      <c r="G1480" s="49">
        <v>1</v>
      </c>
      <c r="H1480" s="45"/>
      <c r="I1480" s="46"/>
      <c r="J1480" s="47"/>
      <c r="K1480" s="48"/>
      <c r="L1480" s="48"/>
      <c r="M1480" s="72"/>
      <c r="N1480" s="46"/>
      <c r="O1480" s="47"/>
      <c r="P1480" s="48"/>
      <c r="Q1480" s="49"/>
      <c r="R1480" s="54" t="s">
        <v>212</v>
      </c>
      <c r="S1480" s="47" t="s">
        <v>41</v>
      </c>
      <c r="T1480" s="47" t="s">
        <v>39</v>
      </c>
      <c r="U1480" s="48">
        <v>0.80645161290322587</v>
      </c>
      <c r="V1480" s="49">
        <v>1</v>
      </c>
      <c r="W1480" s="28"/>
      <c r="X1480" s="28"/>
      <c r="Y1480" s="28"/>
      <c r="Z1480" s="29"/>
      <c r="AA1480" s="28"/>
      <c r="AB1480" s="74"/>
      <c r="AC1480" s="28"/>
      <c r="AD1480" s="28"/>
      <c r="AE1480" s="28"/>
      <c r="AF1480" s="39"/>
      <c r="AG1480" s="29">
        <v>1</v>
      </c>
      <c r="AH1480" s="6" t="s">
        <v>73</v>
      </c>
    </row>
    <row r="1481" spans="1:34">
      <c r="A1481" s="15" t="s">
        <v>1556</v>
      </c>
      <c r="B1481" s="8" t="s">
        <v>1555</v>
      </c>
      <c r="C1481" s="41" t="s">
        <v>212</v>
      </c>
      <c r="D1481" s="1" t="s">
        <v>41</v>
      </c>
      <c r="E1481" s="26" t="s">
        <v>39</v>
      </c>
      <c r="F1481" s="27">
        <v>1</v>
      </c>
      <c r="G1481" s="33">
        <v>1</v>
      </c>
      <c r="H1481" s="41"/>
      <c r="I1481" s="1"/>
      <c r="J1481" s="26"/>
      <c r="K1481" s="27"/>
      <c r="L1481" s="27"/>
      <c r="M1481" s="70"/>
      <c r="N1481" s="1"/>
      <c r="O1481" s="26"/>
      <c r="P1481" s="27"/>
      <c r="Q1481" s="33"/>
      <c r="R1481" s="55" t="s">
        <v>212</v>
      </c>
      <c r="S1481" s="26" t="s">
        <v>41</v>
      </c>
      <c r="T1481" s="26" t="s">
        <v>39</v>
      </c>
      <c r="U1481" s="27">
        <v>0.80645161290322587</v>
      </c>
      <c r="V1481" s="33">
        <v>1</v>
      </c>
      <c r="AG1481" s="31">
        <v>1</v>
      </c>
      <c r="AH1481" t="s">
        <v>73</v>
      </c>
    </row>
    <row r="1482" spans="1:34">
      <c r="A1482" s="15" t="s">
        <v>1557</v>
      </c>
      <c r="B1482" s="8" t="s">
        <v>1555</v>
      </c>
      <c r="C1482" s="41" t="s">
        <v>212</v>
      </c>
      <c r="D1482" s="1" t="s">
        <v>41</v>
      </c>
      <c r="E1482" s="26" t="s">
        <v>39</v>
      </c>
      <c r="F1482" s="27">
        <v>1</v>
      </c>
      <c r="G1482" s="33">
        <v>1</v>
      </c>
      <c r="H1482" s="41"/>
      <c r="I1482" s="1"/>
      <c r="J1482" s="26"/>
      <c r="K1482" s="27"/>
      <c r="L1482" s="27"/>
      <c r="M1482" s="70"/>
      <c r="N1482" s="1"/>
      <c r="O1482" s="26"/>
      <c r="P1482" s="27"/>
      <c r="Q1482" s="33"/>
      <c r="R1482" s="55" t="s">
        <v>212</v>
      </c>
      <c r="S1482" s="26" t="s">
        <v>41</v>
      </c>
      <c r="T1482" s="26" t="s">
        <v>39</v>
      </c>
      <c r="U1482" s="27">
        <v>0.80645161290322587</v>
      </c>
      <c r="V1482" s="33">
        <v>1</v>
      </c>
      <c r="AG1482" s="31">
        <v>1</v>
      </c>
      <c r="AH1482" t="s">
        <v>73</v>
      </c>
    </row>
    <row r="1483" spans="1:34">
      <c r="A1483" s="15" t="s">
        <v>1558</v>
      </c>
      <c r="B1483" s="8" t="s">
        <v>1555</v>
      </c>
      <c r="C1483" s="41" t="s">
        <v>212</v>
      </c>
      <c r="D1483" s="1" t="s">
        <v>41</v>
      </c>
      <c r="E1483" s="26" t="s">
        <v>39</v>
      </c>
      <c r="F1483" s="27">
        <v>1</v>
      </c>
      <c r="G1483" s="33">
        <v>1</v>
      </c>
      <c r="H1483" s="41"/>
      <c r="I1483" s="1"/>
      <c r="J1483" s="26"/>
      <c r="K1483" s="27"/>
      <c r="L1483" s="27"/>
      <c r="M1483" s="70"/>
      <c r="N1483" s="1"/>
      <c r="O1483" s="26"/>
      <c r="P1483" s="27"/>
      <c r="Q1483" s="33"/>
      <c r="R1483" s="55" t="s">
        <v>212</v>
      </c>
      <c r="S1483" s="26" t="s">
        <v>41</v>
      </c>
      <c r="T1483" s="26" t="s">
        <v>39</v>
      </c>
      <c r="U1483" s="27">
        <v>0.80645161290322587</v>
      </c>
      <c r="V1483" s="33">
        <v>1</v>
      </c>
      <c r="AG1483" s="31">
        <v>1</v>
      </c>
      <c r="AH1483" t="s">
        <v>73</v>
      </c>
    </row>
    <row r="1484" spans="1:34">
      <c r="A1484" s="15" t="s">
        <v>1559</v>
      </c>
      <c r="B1484" s="8" t="s">
        <v>1555</v>
      </c>
      <c r="C1484" s="41" t="s">
        <v>212</v>
      </c>
      <c r="D1484" s="1" t="s">
        <v>41</v>
      </c>
      <c r="E1484" s="26" t="s">
        <v>39</v>
      </c>
      <c r="F1484" s="27">
        <v>1</v>
      </c>
      <c r="G1484" s="33">
        <v>1</v>
      </c>
      <c r="H1484" s="41"/>
      <c r="I1484" s="1"/>
      <c r="J1484" s="26"/>
      <c r="K1484" s="27"/>
      <c r="L1484" s="27"/>
      <c r="M1484" s="70"/>
      <c r="N1484" s="1"/>
      <c r="O1484" s="26"/>
      <c r="P1484" s="27"/>
      <c r="Q1484" s="33"/>
      <c r="R1484" s="55" t="s">
        <v>212</v>
      </c>
      <c r="S1484" s="26" t="s">
        <v>41</v>
      </c>
      <c r="T1484" s="26" t="s">
        <v>39</v>
      </c>
      <c r="U1484" s="27">
        <v>0.80645161290322587</v>
      </c>
      <c r="V1484" s="33">
        <v>1</v>
      </c>
      <c r="AG1484" s="31">
        <v>1</v>
      </c>
      <c r="AH1484" t="s">
        <v>73</v>
      </c>
    </row>
    <row r="1485" spans="1:34">
      <c r="A1485" s="15" t="s">
        <v>1560</v>
      </c>
      <c r="B1485" s="8" t="s">
        <v>1555</v>
      </c>
      <c r="C1485" s="41" t="s">
        <v>212</v>
      </c>
      <c r="D1485" s="1" t="s">
        <v>41</v>
      </c>
      <c r="E1485" s="26" t="s">
        <v>39</v>
      </c>
      <c r="F1485" s="27">
        <v>1</v>
      </c>
      <c r="G1485" s="33">
        <v>1</v>
      </c>
      <c r="H1485" s="41"/>
      <c r="I1485" s="1"/>
      <c r="J1485" s="26"/>
      <c r="K1485" s="27"/>
      <c r="L1485" s="27"/>
      <c r="M1485" s="70"/>
      <c r="N1485" s="1"/>
      <c r="O1485" s="26"/>
      <c r="P1485" s="27"/>
      <c r="Q1485" s="33"/>
      <c r="R1485" s="55" t="s">
        <v>212</v>
      </c>
      <c r="S1485" s="26" t="s">
        <v>41</v>
      </c>
      <c r="T1485" s="26" t="s">
        <v>39</v>
      </c>
      <c r="U1485" s="27">
        <v>0.80645161290322587</v>
      </c>
      <c r="V1485" s="33">
        <v>1</v>
      </c>
      <c r="AG1485" s="31">
        <v>1</v>
      </c>
      <c r="AH1485" t="s">
        <v>73</v>
      </c>
    </row>
    <row r="1486" spans="1:34">
      <c r="A1486" s="15" t="s">
        <v>1561</v>
      </c>
      <c r="B1486" s="8" t="s">
        <v>1555</v>
      </c>
      <c r="C1486" s="41" t="s">
        <v>212</v>
      </c>
      <c r="D1486" s="1" t="s">
        <v>41</v>
      </c>
      <c r="E1486" s="26" t="s">
        <v>39</v>
      </c>
      <c r="F1486" s="27">
        <v>1</v>
      </c>
      <c r="G1486" s="33">
        <v>1</v>
      </c>
      <c r="H1486" s="41"/>
      <c r="I1486" s="1"/>
      <c r="J1486" s="26"/>
      <c r="K1486" s="27"/>
      <c r="L1486" s="27"/>
      <c r="M1486" s="70"/>
      <c r="N1486" s="1"/>
      <c r="O1486" s="26"/>
      <c r="P1486" s="27"/>
      <c r="Q1486" s="33"/>
      <c r="R1486" s="55" t="s">
        <v>212</v>
      </c>
      <c r="S1486" s="26" t="s">
        <v>41</v>
      </c>
      <c r="T1486" s="26" t="s">
        <v>39</v>
      </c>
      <c r="U1486" s="27">
        <v>0.80645161290322587</v>
      </c>
      <c r="V1486" s="33">
        <v>1</v>
      </c>
      <c r="AG1486" s="31">
        <v>1</v>
      </c>
      <c r="AH1486" t="s">
        <v>73</v>
      </c>
    </row>
    <row r="1487" spans="1:34">
      <c r="A1487" s="15" t="s">
        <v>1562</v>
      </c>
      <c r="B1487" s="8" t="s">
        <v>1555</v>
      </c>
      <c r="C1487" s="41" t="s">
        <v>212</v>
      </c>
      <c r="D1487" s="1" t="s">
        <v>41</v>
      </c>
      <c r="E1487" s="26" t="s">
        <v>39</v>
      </c>
      <c r="F1487" s="27">
        <v>1</v>
      </c>
      <c r="G1487" s="33">
        <v>1</v>
      </c>
      <c r="H1487" s="41"/>
      <c r="I1487" s="1"/>
      <c r="J1487" s="26"/>
      <c r="K1487" s="27"/>
      <c r="L1487" s="27"/>
      <c r="M1487" s="70"/>
      <c r="N1487" s="1"/>
      <c r="O1487" s="26"/>
      <c r="P1487" s="27"/>
      <c r="Q1487" s="33"/>
      <c r="R1487" s="55" t="s">
        <v>212</v>
      </c>
      <c r="S1487" s="26" t="s">
        <v>41</v>
      </c>
      <c r="T1487" s="26" t="s">
        <v>39</v>
      </c>
      <c r="U1487" s="27">
        <v>0.80645161290322587</v>
      </c>
      <c r="V1487" s="33">
        <v>1</v>
      </c>
      <c r="AG1487" s="31">
        <v>1</v>
      </c>
      <c r="AH1487" t="s">
        <v>73</v>
      </c>
    </row>
    <row r="1488" spans="1:34">
      <c r="A1488" s="15" t="s">
        <v>1563</v>
      </c>
      <c r="B1488" s="8" t="s">
        <v>1555</v>
      </c>
      <c r="C1488" s="41" t="s">
        <v>212</v>
      </c>
      <c r="D1488" s="1" t="s">
        <v>41</v>
      </c>
      <c r="E1488" s="26" t="s">
        <v>39</v>
      </c>
      <c r="F1488" s="27">
        <v>1</v>
      </c>
      <c r="G1488" s="33">
        <v>1</v>
      </c>
      <c r="H1488" s="41"/>
      <c r="I1488" s="1"/>
      <c r="J1488" s="26"/>
      <c r="K1488" s="27"/>
      <c r="L1488" s="27"/>
      <c r="M1488" s="70"/>
      <c r="N1488" s="1"/>
      <c r="O1488" s="26"/>
      <c r="P1488" s="27"/>
      <c r="Q1488" s="33"/>
      <c r="R1488" s="55" t="s">
        <v>212</v>
      </c>
      <c r="S1488" s="26" t="s">
        <v>41</v>
      </c>
      <c r="T1488" s="26" t="s">
        <v>39</v>
      </c>
      <c r="U1488" s="27">
        <v>0.80645161290322587</v>
      </c>
      <c r="V1488" s="33">
        <v>1</v>
      </c>
      <c r="AG1488" s="31">
        <v>1</v>
      </c>
      <c r="AH1488" t="s">
        <v>73</v>
      </c>
    </row>
    <row r="1489" spans="1:34">
      <c r="A1489" s="15" t="s">
        <v>1564</v>
      </c>
      <c r="B1489" s="8" t="s">
        <v>1555</v>
      </c>
      <c r="C1489" s="41" t="s">
        <v>212</v>
      </c>
      <c r="D1489" s="1" t="s">
        <v>41</v>
      </c>
      <c r="E1489" s="26" t="s">
        <v>39</v>
      </c>
      <c r="F1489" s="27">
        <v>1</v>
      </c>
      <c r="G1489" s="33">
        <v>1</v>
      </c>
      <c r="H1489" s="41"/>
      <c r="I1489" s="1"/>
      <c r="J1489" s="26"/>
      <c r="K1489" s="27"/>
      <c r="L1489" s="27"/>
      <c r="M1489" s="70"/>
      <c r="N1489" s="1"/>
      <c r="O1489" s="26"/>
      <c r="P1489" s="27"/>
      <c r="Q1489" s="33"/>
      <c r="R1489" s="55" t="s">
        <v>212</v>
      </c>
      <c r="S1489" s="26" t="s">
        <v>41</v>
      </c>
      <c r="T1489" s="26" t="s">
        <v>39</v>
      </c>
      <c r="U1489" s="27">
        <v>0.80645161290322587</v>
      </c>
      <c r="V1489" s="33">
        <v>1</v>
      </c>
      <c r="AG1489" s="31">
        <v>1</v>
      </c>
      <c r="AH1489" t="s">
        <v>73</v>
      </c>
    </row>
    <row r="1490" spans="1:34">
      <c r="A1490" s="15" t="s">
        <v>1565</v>
      </c>
      <c r="B1490" s="8" t="s">
        <v>1555</v>
      </c>
      <c r="C1490" s="41" t="s">
        <v>212</v>
      </c>
      <c r="D1490" s="1" t="s">
        <v>41</v>
      </c>
      <c r="E1490" s="26" t="s">
        <v>39</v>
      </c>
      <c r="F1490" s="27">
        <v>1</v>
      </c>
      <c r="G1490" s="33">
        <v>1</v>
      </c>
      <c r="H1490" s="41"/>
      <c r="I1490" s="1"/>
      <c r="J1490" s="26"/>
      <c r="K1490" s="27"/>
      <c r="L1490" s="27"/>
      <c r="M1490" s="70"/>
      <c r="N1490" s="1"/>
      <c r="O1490" s="26"/>
      <c r="P1490" s="27"/>
      <c r="Q1490" s="33"/>
      <c r="R1490" s="55" t="s">
        <v>212</v>
      </c>
      <c r="S1490" s="26" t="s">
        <v>41</v>
      </c>
      <c r="T1490" s="26" t="s">
        <v>39</v>
      </c>
      <c r="U1490" s="27">
        <v>0.80645161290322587</v>
      </c>
      <c r="V1490" s="33">
        <v>1</v>
      </c>
      <c r="AG1490" s="31">
        <v>1</v>
      </c>
      <c r="AH1490" t="s">
        <v>73</v>
      </c>
    </row>
    <row r="1491" spans="1:34">
      <c r="A1491" s="15" t="s">
        <v>1566</v>
      </c>
      <c r="B1491" s="8" t="s">
        <v>1555</v>
      </c>
      <c r="C1491" s="41" t="s">
        <v>212</v>
      </c>
      <c r="D1491" s="1" t="s">
        <v>41</v>
      </c>
      <c r="E1491" s="26" t="s">
        <v>39</v>
      </c>
      <c r="F1491" s="27">
        <v>1</v>
      </c>
      <c r="G1491" s="33">
        <v>1</v>
      </c>
      <c r="H1491" s="41"/>
      <c r="I1491" s="1"/>
      <c r="J1491" s="26"/>
      <c r="K1491" s="27"/>
      <c r="L1491" s="27"/>
      <c r="M1491" s="70"/>
      <c r="N1491" s="1"/>
      <c r="O1491" s="26"/>
      <c r="P1491" s="27"/>
      <c r="Q1491" s="33"/>
      <c r="R1491" s="55" t="s">
        <v>212</v>
      </c>
      <c r="S1491" s="26" t="s">
        <v>41</v>
      </c>
      <c r="T1491" s="26" t="s">
        <v>39</v>
      </c>
      <c r="U1491" s="27">
        <v>0.80645161290322587</v>
      </c>
      <c r="V1491" s="33">
        <v>1</v>
      </c>
      <c r="AG1491" s="31">
        <v>1</v>
      </c>
      <c r="AH1491" t="s">
        <v>73</v>
      </c>
    </row>
    <row r="1492" spans="1:34">
      <c r="A1492" s="15" t="s">
        <v>1567</v>
      </c>
      <c r="B1492" s="8" t="s">
        <v>1555</v>
      </c>
      <c r="C1492" s="41" t="s">
        <v>212</v>
      </c>
      <c r="D1492" s="1" t="s">
        <v>41</v>
      </c>
      <c r="E1492" s="26" t="s">
        <v>39</v>
      </c>
      <c r="F1492" s="27">
        <v>1</v>
      </c>
      <c r="G1492" s="33">
        <v>1</v>
      </c>
      <c r="H1492" s="41"/>
      <c r="I1492" s="1"/>
      <c r="J1492" s="26"/>
      <c r="K1492" s="27"/>
      <c r="L1492" s="27"/>
      <c r="M1492" s="70"/>
      <c r="N1492" s="1"/>
      <c r="O1492" s="26"/>
      <c r="P1492" s="27"/>
      <c r="Q1492" s="33"/>
      <c r="R1492" s="55" t="s">
        <v>212</v>
      </c>
      <c r="S1492" s="26" t="s">
        <v>41</v>
      </c>
      <c r="T1492" s="26" t="s">
        <v>39</v>
      </c>
      <c r="U1492" s="27">
        <v>0.80645161290322587</v>
      </c>
      <c r="V1492" s="33">
        <v>1</v>
      </c>
      <c r="AG1492" s="31">
        <v>1</v>
      </c>
      <c r="AH1492" t="s">
        <v>73</v>
      </c>
    </row>
    <row r="1493" spans="1:34">
      <c r="A1493" s="15" t="s">
        <v>1568</v>
      </c>
      <c r="B1493" s="8" t="s">
        <v>1555</v>
      </c>
      <c r="C1493" s="41" t="s">
        <v>212</v>
      </c>
      <c r="D1493" s="1" t="s">
        <v>41</v>
      </c>
      <c r="E1493" s="26" t="s">
        <v>39</v>
      </c>
      <c r="F1493" s="27">
        <v>1</v>
      </c>
      <c r="G1493" s="33">
        <v>1</v>
      </c>
      <c r="H1493" s="41"/>
      <c r="I1493" s="1"/>
      <c r="J1493" s="26"/>
      <c r="K1493" s="27"/>
      <c r="L1493" s="27"/>
      <c r="M1493" s="70"/>
      <c r="N1493" s="1"/>
      <c r="O1493" s="26"/>
      <c r="P1493" s="27"/>
      <c r="Q1493" s="33"/>
      <c r="R1493" s="55" t="s">
        <v>212</v>
      </c>
      <c r="S1493" s="26" t="s">
        <v>41</v>
      </c>
      <c r="T1493" s="26" t="s">
        <v>39</v>
      </c>
      <c r="U1493" s="27">
        <v>0.80645161290322587</v>
      </c>
      <c r="V1493" s="33">
        <v>1</v>
      </c>
      <c r="AG1493" s="31">
        <v>1</v>
      </c>
      <c r="AH1493" t="s">
        <v>73</v>
      </c>
    </row>
    <row r="1494" spans="1:34">
      <c r="A1494" s="15" t="s">
        <v>1569</v>
      </c>
      <c r="B1494" s="8" t="s">
        <v>1555</v>
      </c>
      <c r="C1494" s="41" t="s">
        <v>37</v>
      </c>
      <c r="D1494" s="1" t="s">
        <v>38</v>
      </c>
      <c r="E1494" s="26" t="s">
        <v>39</v>
      </c>
      <c r="F1494" s="27">
        <v>1</v>
      </c>
      <c r="G1494" s="27">
        <v>0.5</v>
      </c>
      <c r="H1494" s="41" t="s">
        <v>227</v>
      </c>
      <c r="I1494" s="26" t="s">
        <v>41</v>
      </c>
      <c r="J1494" s="26" t="s">
        <v>42</v>
      </c>
      <c r="K1494" s="27">
        <v>0.94339622641509424</v>
      </c>
      <c r="L1494" s="27">
        <v>0.5</v>
      </c>
      <c r="M1494" s="70"/>
      <c r="N1494" s="26"/>
      <c r="O1494" s="26"/>
      <c r="P1494" s="27"/>
      <c r="Q1494" s="33"/>
      <c r="R1494" s="55" t="s">
        <v>212</v>
      </c>
      <c r="S1494" s="26" t="s">
        <v>41</v>
      </c>
      <c r="T1494" s="26" t="s">
        <v>39</v>
      </c>
      <c r="U1494" s="27">
        <v>0.80645161290322587</v>
      </c>
      <c r="V1494" s="33">
        <v>1</v>
      </c>
      <c r="AG1494" s="31">
        <v>1</v>
      </c>
      <c r="AH1494" t="s">
        <v>73</v>
      </c>
    </row>
    <row r="1495" spans="1:34">
      <c r="A1495" s="15" t="s">
        <v>1570</v>
      </c>
      <c r="B1495" s="8" t="s">
        <v>1555</v>
      </c>
      <c r="C1495" s="41" t="s">
        <v>37</v>
      </c>
      <c r="D1495" s="1" t="s">
        <v>38</v>
      </c>
      <c r="E1495" s="26" t="s">
        <v>39</v>
      </c>
      <c r="F1495" s="27">
        <v>1</v>
      </c>
      <c r="G1495" s="27">
        <v>0.5</v>
      </c>
      <c r="H1495" s="41" t="s">
        <v>227</v>
      </c>
      <c r="I1495" s="26" t="s">
        <v>41</v>
      </c>
      <c r="J1495" s="26" t="s">
        <v>42</v>
      </c>
      <c r="K1495" s="27">
        <v>0.94339622641509424</v>
      </c>
      <c r="L1495" s="27">
        <v>0.5</v>
      </c>
      <c r="M1495" s="70"/>
      <c r="N1495" s="26"/>
      <c r="O1495" s="26"/>
      <c r="P1495" s="27"/>
      <c r="Q1495" s="33"/>
      <c r="R1495" s="55" t="s">
        <v>212</v>
      </c>
      <c r="S1495" s="26" t="s">
        <v>41</v>
      </c>
      <c r="T1495" s="26" t="s">
        <v>39</v>
      </c>
      <c r="U1495" s="27">
        <v>0.80645161290322587</v>
      </c>
      <c r="V1495" s="33">
        <v>1</v>
      </c>
      <c r="AG1495" s="31">
        <v>1</v>
      </c>
      <c r="AH1495" t="s">
        <v>73</v>
      </c>
    </row>
    <row r="1496" spans="1:34">
      <c r="A1496" s="15" t="s">
        <v>1571</v>
      </c>
      <c r="B1496" s="8" t="s">
        <v>1555</v>
      </c>
      <c r="C1496" s="41" t="s">
        <v>37</v>
      </c>
      <c r="D1496" s="1" t="s">
        <v>38</v>
      </c>
      <c r="E1496" s="26" t="s">
        <v>39</v>
      </c>
      <c r="F1496" s="27">
        <v>1</v>
      </c>
      <c r="G1496" s="27">
        <v>0.5</v>
      </c>
      <c r="H1496" s="41" t="s">
        <v>227</v>
      </c>
      <c r="I1496" s="26" t="s">
        <v>41</v>
      </c>
      <c r="J1496" s="26" t="s">
        <v>42</v>
      </c>
      <c r="K1496" s="27">
        <v>0.94339622641509424</v>
      </c>
      <c r="L1496" s="27">
        <v>0.5</v>
      </c>
      <c r="M1496" s="70"/>
      <c r="N1496" s="26"/>
      <c r="O1496" s="26"/>
      <c r="P1496" s="27"/>
      <c r="Q1496" s="33"/>
      <c r="R1496" s="55" t="s">
        <v>212</v>
      </c>
      <c r="S1496" s="26" t="s">
        <v>41</v>
      </c>
      <c r="T1496" s="26" t="s">
        <v>39</v>
      </c>
      <c r="U1496" s="27">
        <v>0.80645161290322587</v>
      </c>
      <c r="V1496" s="33">
        <v>1</v>
      </c>
      <c r="AG1496" s="31">
        <v>1</v>
      </c>
      <c r="AH1496" t="s">
        <v>73</v>
      </c>
    </row>
    <row r="1497" spans="1:34">
      <c r="A1497" s="15" t="s">
        <v>1572</v>
      </c>
      <c r="B1497" s="8" t="s">
        <v>1555</v>
      </c>
      <c r="C1497" s="41" t="s">
        <v>37</v>
      </c>
      <c r="D1497" s="1" t="s">
        <v>38</v>
      </c>
      <c r="E1497" s="26" t="s">
        <v>39</v>
      </c>
      <c r="F1497" s="27">
        <v>1</v>
      </c>
      <c r="G1497" s="27">
        <v>0.5</v>
      </c>
      <c r="H1497" s="41" t="s">
        <v>227</v>
      </c>
      <c r="I1497" s="26" t="s">
        <v>41</v>
      </c>
      <c r="J1497" s="26" t="s">
        <v>42</v>
      </c>
      <c r="K1497" s="27">
        <v>0.94339622641509424</v>
      </c>
      <c r="L1497" s="27">
        <v>0.5</v>
      </c>
      <c r="M1497" s="70"/>
      <c r="N1497" s="26"/>
      <c r="O1497" s="26"/>
      <c r="P1497" s="27"/>
      <c r="Q1497" s="33"/>
      <c r="R1497" s="55" t="s">
        <v>212</v>
      </c>
      <c r="S1497" s="26" t="s">
        <v>41</v>
      </c>
      <c r="T1497" s="26" t="s">
        <v>39</v>
      </c>
      <c r="U1497" s="27">
        <v>0.80645161290322587</v>
      </c>
      <c r="V1497" s="33">
        <v>1</v>
      </c>
      <c r="AG1497" s="31">
        <v>1</v>
      </c>
      <c r="AH1497" t="s">
        <v>73</v>
      </c>
    </row>
    <row r="1498" spans="1:34">
      <c r="A1498" s="15" t="s">
        <v>1573</v>
      </c>
      <c r="B1498" s="8" t="s">
        <v>1555</v>
      </c>
      <c r="C1498" s="41" t="s">
        <v>37</v>
      </c>
      <c r="D1498" s="1" t="s">
        <v>38</v>
      </c>
      <c r="E1498" s="26" t="s">
        <v>39</v>
      </c>
      <c r="F1498" s="27">
        <v>1</v>
      </c>
      <c r="G1498" s="27">
        <v>0.5</v>
      </c>
      <c r="H1498" s="41" t="s">
        <v>227</v>
      </c>
      <c r="I1498" s="26" t="s">
        <v>41</v>
      </c>
      <c r="J1498" s="26" t="s">
        <v>42</v>
      </c>
      <c r="K1498" s="27">
        <v>0.94339622641509424</v>
      </c>
      <c r="L1498" s="27">
        <v>0.5</v>
      </c>
      <c r="M1498" s="70"/>
      <c r="N1498" s="26"/>
      <c r="O1498" s="26"/>
      <c r="P1498" s="27"/>
      <c r="Q1498" s="33"/>
      <c r="R1498" s="55" t="s">
        <v>212</v>
      </c>
      <c r="S1498" s="26" t="s">
        <v>41</v>
      </c>
      <c r="T1498" s="26" t="s">
        <v>39</v>
      </c>
      <c r="U1498" s="27">
        <v>0.80645161290322587</v>
      </c>
      <c r="V1498" s="33">
        <v>1</v>
      </c>
      <c r="AG1498" s="31">
        <v>1</v>
      </c>
      <c r="AH1498" t="s">
        <v>73</v>
      </c>
    </row>
    <row r="1499" spans="1:34">
      <c r="A1499" s="15" t="s">
        <v>1574</v>
      </c>
      <c r="B1499" s="8" t="s">
        <v>1555</v>
      </c>
      <c r="C1499" s="41" t="s">
        <v>37</v>
      </c>
      <c r="D1499" s="1" t="s">
        <v>38</v>
      </c>
      <c r="E1499" s="26" t="s">
        <v>39</v>
      </c>
      <c r="F1499" s="27">
        <v>1</v>
      </c>
      <c r="G1499" s="27">
        <v>0.5</v>
      </c>
      <c r="H1499" s="41" t="s">
        <v>227</v>
      </c>
      <c r="I1499" s="26" t="s">
        <v>41</v>
      </c>
      <c r="J1499" s="26" t="s">
        <v>42</v>
      </c>
      <c r="K1499" s="27">
        <v>0.94339622641509424</v>
      </c>
      <c r="L1499" s="27">
        <v>0.5</v>
      </c>
      <c r="M1499" s="70"/>
      <c r="N1499" s="26"/>
      <c r="O1499" s="26"/>
      <c r="P1499" s="27"/>
      <c r="Q1499" s="33"/>
      <c r="R1499" s="55" t="s">
        <v>212</v>
      </c>
      <c r="S1499" s="26" t="s">
        <v>41</v>
      </c>
      <c r="T1499" s="26" t="s">
        <v>39</v>
      </c>
      <c r="U1499" s="27">
        <v>0.80645161290322587</v>
      </c>
      <c r="V1499" s="33">
        <v>1</v>
      </c>
      <c r="AG1499" s="31">
        <v>1</v>
      </c>
      <c r="AH1499" t="s">
        <v>73</v>
      </c>
    </row>
    <row r="1500" spans="1:34">
      <c r="A1500" s="15" t="s">
        <v>1575</v>
      </c>
      <c r="B1500" s="8" t="s">
        <v>1555</v>
      </c>
      <c r="C1500" s="41" t="s">
        <v>37</v>
      </c>
      <c r="D1500" s="1" t="s">
        <v>38</v>
      </c>
      <c r="E1500" s="26" t="s">
        <v>39</v>
      </c>
      <c r="F1500" s="27">
        <v>1</v>
      </c>
      <c r="G1500" s="27">
        <v>0.5</v>
      </c>
      <c r="H1500" s="41" t="s">
        <v>227</v>
      </c>
      <c r="I1500" s="26" t="s">
        <v>41</v>
      </c>
      <c r="J1500" s="26" t="s">
        <v>42</v>
      </c>
      <c r="K1500" s="27">
        <v>0.94339622641509424</v>
      </c>
      <c r="L1500" s="27">
        <v>0.5</v>
      </c>
      <c r="M1500" s="70"/>
      <c r="N1500" s="26"/>
      <c r="O1500" s="26"/>
      <c r="P1500" s="27"/>
      <c r="Q1500" s="33"/>
      <c r="R1500" s="55" t="s">
        <v>212</v>
      </c>
      <c r="S1500" s="26" t="s">
        <v>41</v>
      </c>
      <c r="T1500" s="26" t="s">
        <v>39</v>
      </c>
      <c r="U1500" s="27">
        <v>0.80645161290322587</v>
      </c>
      <c r="V1500" s="33">
        <v>1</v>
      </c>
      <c r="AG1500" s="31">
        <v>1</v>
      </c>
      <c r="AH1500" t="s">
        <v>73</v>
      </c>
    </row>
    <row r="1501" spans="1:34">
      <c r="A1501" s="15" t="s">
        <v>1576</v>
      </c>
      <c r="B1501" s="8" t="s">
        <v>1555</v>
      </c>
      <c r="C1501" s="41" t="s">
        <v>37</v>
      </c>
      <c r="D1501" s="1" t="s">
        <v>38</v>
      </c>
      <c r="E1501" s="26" t="s">
        <v>39</v>
      </c>
      <c r="F1501" s="27">
        <v>1</v>
      </c>
      <c r="G1501" s="27">
        <v>0.5</v>
      </c>
      <c r="H1501" s="41" t="s">
        <v>227</v>
      </c>
      <c r="I1501" s="26" t="s">
        <v>41</v>
      </c>
      <c r="J1501" s="26" t="s">
        <v>42</v>
      </c>
      <c r="K1501" s="27">
        <v>0.94339622641509424</v>
      </c>
      <c r="L1501" s="27">
        <v>0.5</v>
      </c>
      <c r="M1501" s="70"/>
      <c r="N1501" s="26"/>
      <c r="O1501" s="26"/>
      <c r="P1501" s="27"/>
      <c r="Q1501" s="33"/>
      <c r="R1501" s="55" t="s">
        <v>212</v>
      </c>
      <c r="S1501" s="26" t="s">
        <v>41</v>
      </c>
      <c r="T1501" s="26" t="s">
        <v>39</v>
      </c>
      <c r="U1501" s="27">
        <v>0.80645161290322587</v>
      </c>
      <c r="V1501" s="33">
        <v>1</v>
      </c>
      <c r="AG1501" s="31">
        <v>1</v>
      </c>
      <c r="AH1501" t="s">
        <v>73</v>
      </c>
    </row>
    <row r="1502" spans="1:34">
      <c r="A1502" s="15" t="s">
        <v>1577</v>
      </c>
      <c r="B1502" s="8" t="s">
        <v>1555</v>
      </c>
      <c r="C1502" s="41" t="s">
        <v>37</v>
      </c>
      <c r="D1502" s="1" t="s">
        <v>38</v>
      </c>
      <c r="E1502" s="26" t="s">
        <v>39</v>
      </c>
      <c r="F1502" s="27">
        <v>1</v>
      </c>
      <c r="G1502" s="27">
        <v>0.5</v>
      </c>
      <c r="H1502" s="41" t="s">
        <v>227</v>
      </c>
      <c r="I1502" s="26" t="s">
        <v>41</v>
      </c>
      <c r="J1502" s="26" t="s">
        <v>42</v>
      </c>
      <c r="K1502" s="27">
        <v>0.94339622641509424</v>
      </c>
      <c r="L1502" s="27">
        <v>0.5</v>
      </c>
      <c r="M1502" s="70"/>
      <c r="N1502" s="26"/>
      <c r="O1502" s="26"/>
      <c r="P1502" s="27"/>
      <c r="Q1502" s="33"/>
      <c r="R1502" s="55" t="s">
        <v>212</v>
      </c>
      <c r="S1502" s="26" t="s">
        <v>41</v>
      </c>
      <c r="T1502" s="26" t="s">
        <v>39</v>
      </c>
      <c r="U1502" s="27">
        <v>0.80645161290322587</v>
      </c>
      <c r="V1502" s="33">
        <v>1</v>
      </c>
      <c r="AG1502" s="31">
        <v>1</v>
      </c>
      <c r="AH1502" t="s">
        <v>73</v>
      </c>
    </row>
    <row r="1503" spans="1:34">
      <c r="A1503" s="15" t="s">
        <v>1578</v>
      </c>
      <c r="B1503" s="8" t="s">
        <v>1555</v>
      </c>
      <c r="C1503" s="41" t="s">
        <v>37</v>
      </c>
      <c r="D1503" s="1" t="s">
        <v>38</v>
      </c>
      <c r="E1503" s="26" t="s">
        <v>39</v>
      </c>
      <c r="F1503" s="27">
        <v>1</v>
      </c>
      <c r="G1503" s="27">
        <v>0.5</v>
      </c>
      <c r="H1503" s="41" t="s">
        <v>227</v>
      </c>
      <c r="I1503" s="26" t="s">
        <v>41</v>
      </c>
      <c r="J1503" s="26" t="s">
        <v>42</v>
      </c>
      <c r="K1503" s="27">
        <v>0.94339622641509424</v>
      </c>
      <c r="L1503" s="27">
        <v>0.5</v>
      </c>
      <c r="M1503" s="70"/>
      <c r="N1503" s="26"/>
      <c r="O1503" s="26"/>
      <c r="P1503" s="27"/>
      <c r="Q1503" s="33"/>
      <c r="R1503" s="55" t="s">
        <v>212</v>
      </c>
      <c r="S1503" s="26" t="s">
        <v>41</v>
      </c>
      <c r="T1503" s="26" t="s">
        <v>39</v>
      </c>
      <c r="U1503" s="27">
        <v>0.80645161290322587</v>
      </c>
      <c r="V1503" s="33">
        <v>1</v>
      </c>
      <c r="AG1503" s="31">
        <v>1</v>
      </c>
      <c r="AH1503" t="s">
        <v>73</v>
      </c>
    </row>
    <row r="1504" spans="1:34">
      <c r="A1504" s="15" t="s">
        <v>1579</v>
      </c>
      <c r="B1504" s="8" t="s">
        <v>1555</v>
      </c>
      <c r="C1504" s="41" t="s">
        <v>37</v>
      </c>
      <c r="D1504" s="1" t="s">
        <v>38</v>
      </c>
      <c r="E1504" s="26" t="s">
        <v>39</v>
      </c>
      <c r="F1504" s="27">
        <v>1</v>
      </c>
      <c r="G1504" s="27">
        <v>0.5</v>
      </c>
      <c r="H1504" s="41" t="s">
        <v>227</v>
      </c>
      <c r="I1504" s="26" t="s">
        <v>41</v>
      </c>
      <c r="J1504" s="26" t="s">
        <v>42</v>
      </c>
      <c r="K1504" s="27">
        <v>0.94339622641509424</v>
      </c>
      <c r="L1504" s="27">
        <v>0.5</v>
      </c>
      <c r="M1504" s="70"/>
      <c r="N1504" s="26"/>
      <c r="O1504" s="26"/>
      <c r="P1504" s="27"/>
      <c r="Q1504" s="33"/>
      <c r="R1504" s="55" t="s">
        <v>212</v>
      </c>
      <c r="S1504" s="26" t="s">
        <v>41</v>
      </c>
      <c r="T1504" s="26" t="s">
        <v>39</v>
      </c>
      <c r="U1504" s="27">
        <v>0.80645161290322587</v>
      </c>
      <c r="V1504" s="33">
        <v>1</v>
      </c>
      <c r="AG1504" s="31">
        <v>1</v>
      </c>
      <c r="AH1504" t="s">
        <v>73</v>
      </c>
    </row>
    <row r="1505" spans="1:34">
      <c r="A1505" s="15" t="s">
        <v>1580</v>
      </c>
      <c r="B1505" s="8" t="s">
        <v>1555</v>
      </c>
      <c r="C1505" s="41" t="s">
        <v>37</v>
      </c>
      <c r="D1505" s="1" t="s">
        <v>38</v>
      </c>
      <c r="E1505" s="26" t="s">
        <v>39</v>
      </c>
      <c r="F1505" s="27">
        <v>1</v>
      </c>
      <c r="G1505" s="27">
        <v>0.5</v>
      </c>
      <c r="H1505" s="41" t="s">
        <v>227</v>
      </c>
      <c r="I1505" s="26" t="s">
        <v>41</v>
      </c>
      <c r="J1505" s="26" t="s">
        <v>42</v>
      </c>
      <c r="K1505" s="27">
        <v>0.94339622641509424</v>
      </c>
      <c r="L1505" s="27">
        <v>0.5</v>
      </c>
      <c r="M1505" s="70"/>
      <c r="N1505" s="26"/>
      <c r="O1505" s="26"/>
      <c r="P1505" s="27"/>
      <c r="Q1505" s="33"/>
      <c r="R1505" s="55" t="s">
        <v>212</v>
      </c>
      <c r="S1505" s="26" t="s">
        <v>41</v>
      </c>
      <c r="T1505" s="26" t="s">
        <v>39</v>
      </c>
      <c r="U1505" s="27">
        <v>0.80645161290322587</v>
      </c>
      <c r="V1505" s="33">
        <v>1</v>
      </c>
      <c r="AG1505" s="31">
        <v>1</v>
      </c>
      <c r="AH1505" t="s">
        <v>73</v>
      </c>
    </row>
    <row r="1506" spans="1:34">
      <c r="A1506" s="15" t="s">
        <v>1581</v>
      </c>
      <c r="B1506" s="8" t="s">
        <v>1555</v>
      </c>
      <c r="C1506" s="41" t="s">
        <v>37</v>
      </c>
      <c r="D1506" s="1" t="s">
        <v>38</v>
      </c>
      <c r="E1506" s="26" t="s">
        <v>39</v>
      </c>
      <c r="F1506" s="27">
        <v>1</v>
      </c>
      <c r="G1506" s="27">
        <v>0.5</v>
      </c>
      <c r="H1506" s="41" t="s">
        <v>227</v>
      </c>
      <c r="I1506" s="26" t="s">
        <v>41</v>
      </c>
      <c r="J1506" s="26" t="s">
        <v>42</v>
      </c>
      <c r="K1506" s="27">
        <v>0.94339622641509424</v>
      </c>
      <c r="L1506" s="27">
        <v>0.5</v>
      </c>
      <c r="M1506" s="70"/>
      <c r="N1506" s="26"/>
      <c r="O1506" s="26"/>
      <c r="P1506" s="27"/>
      <c r="Q1506" s="33"/>
      <c r="R1506" s="55" t="s">
        <v>212</v>
      </c>
      <c r="S1506" s="26" t="s">
        <v>41</v>
      </c>
      <c r="T1506" s="26" t="s">
        <v>39</v>
      </c>
      <c r="U1506" s="27">
        <v>0.80645161290322587</v>
      </c>
      <c r="V1506" s="33">
        <v>1</v>
      </c>
      <c r="AG1506" s="31">
        <v>1</v>
      </c>
      <c r="AH1506" t="s">
        <v>73</v>
      </c>
    </row>
    <row r="1507" spans="1:34">
      <c r="A1507" s="15" t="s">
        <v>1582</v>
      </c>
      <c r="B1507" s="8" t="s">
        <v>1555</v>
      </c>
      <c r="C1507" s="41" t="s">
        <v>37</v>
      </c>
      <c r="D1507" s="1" t="s">
        <v>38</v>
      </c>
      <c r="E1507" s="26" t="s">
        <v>39</v>
      </c>
      <c r="F1507" s="27">
        <v>1</v>
      </c>
      <c r="G1507" s="27">
        <v>0.5</v>
      </c>
      <c r="H1507" s="41" t="s">
        <v>227</v>
      </c>
      <c r="I1507" s="26" t="s">
        <v>41</v>
      </c>
      <c r="J1507" s="26" t="s">
        <v>42</v>
      </c>
      <c r="K1507" s="27">
        <v>0.94339622641509424</v>
      </c>
      <c r="L1507" s="27">
        <v>0.5</v>
      </c>
      <c r="M1507" s="70"/>
      <c r="N1507" s="26"/>
      <c r="O1507" s="26"/>
      <c r="P1507" s="27"/>
      <c r="Q1507" s="33"/>
      <c r="R1507" s="55" t="s">
        <v>212</v>
      </c>
      <c r="S1507" s="26" t="s">
        <v>41</v>
      </c>
      <c r="T1507" s="26" t="s">
        <v>39</v>
      </c>
      <c r="U1507" s="27">
        <v>0.80645161290322587</v>
      </c>
      <c r="V1507" s="33">
        <v>1</v>
      </c>
      <c r="AG1507" s="31">
        <v>1</v>
      </c>
      <c r="AH1507" t="s">
        <v>73</v>
      </c>
    </row>
    <row r="1508" spans="1:34">
      <c r="A1508" s="15" t="s">
        <v>1583</v>
      </c>
      <c r="B1508" s="8" t="s">
        <v>1555</v>
      </c>
      <c r="C1508" s="41" t="s">
        <v>37</v>
      </c>
      <c r="D1508" s="1" t="s">
        <v>38</v>
      </c>
      <c r="E1508" s="26" t="s">
        <v>39</v>
      </c>
      <c r="F1508" s="27">
        <v>1</v>
      </c>
      <c r="G1508" s="33">
        <v>1</v>
      </c>
      <c r="H1508" s="41"/>
      <c r="I1508" s="1"/>
      <c r="J1508" s="26"/>
      <c r="K1508" s="27"/>
      <c r="L1508" s="27"/>
      <c r="M1508" s="70"/>
      <c r="N1508" s="1"/>
      <c r="O1508" s="26"/>
      <c r="P1508" s="27"/>
      <c r="Q1508" s="27"/>
      <c r="R1508" s="55" t="s">
        <v>242</v>
      </c>
      <c r="S1508" s="26" t="s">
        <v>38</v>
      </c>
      <c r="T1508" s="26" t="s">
        <v>39</v>
      </c>
      <c r="U1508" s="27">
        <v>0.84745762711864414</v>
      </c>
      <c r="V1508" s="33">
        <v>1</v>
      </c>
      <c r="AG1508" s="31">
        <v>0</v>
      </c>
      <c r="AH1508" t="s">
        <v>44</v>
      </c>
    </row>
    <row r="1509" spans="1:34">
      <c r="A1509" s="15" t="s">
        <v>1584</v>
      </c>
      <c r="B1509" s="8" t="s">
        <v>1555</v>
      </c>
      <c r="C1509" s="41" t="s">
        <v>37</v>
      </c>
      <c r="D1509" s="1" t="s">
        <v>38</v>
      </c>
      <c r="E1509" s="26" t="s">
        <v>39</v>
      </c>
      <c r="F1509" s="27">
        <v>1</v>
      </c>
      <c r="G1509" s="33">
        <v>1</v>
      </c>
      <c r="H1509" s="41"/>
      <c r="I1509" s="1"/>
      <c r="J1509" s="26"/>
      <c r="K1509" s="27"/>
      <c r="L1509" s="27"/>
      <c r="M1509" s="70"/>
      <c r="N1509" s="1"/>
      <c r="O1509" s="26"/>
      <c r="P1509" s="27"/>
      <c r="Q1509" s="27"/>
      <c r="R1509" s="55" t="s">
        <v>242</v>
      </c>
      <c r="S1509" s="26" t="s">
        <v>38</v>
      </c>
      <c r="T1509" s="26" t="s">
        <v>39</v>
      </c>
      <c r="U1509" s="27">
        <v>0.84745762711864414</v>
      </c>
      <c r="V1509" s="33">
        <v>1</v>
      </c>
      <c r="AG1509" s="31">
        <v>0</v>
      </c>
      <c r="AH1509" t="s">
        <v>44</v>
      </c>
    </row>
    <row r="1510" spans="1:34">
      <c r="A1510" s="15" t="s">
        <v>1585</v>
      </c>
      <c r="B1510" s="8" t="s">
        <v>1555</v>
      </c>
      <c r="C1510" s="41" t="s">
        <v>37</v>
      </c>
      <c r="D1510" s="1" t="s">
        <v>38</v>
      </c>
      <c r="E1510" s="26" t="s">
        <v>39</v>
      </c>
      <c r="F1510" s="27">
        <v>1</v>
      </c>
      <c r="G1510" s="33">
        <v>1</v>
      </c>
      <c r="H1510" s="41"/>
      <c r="I1510" s="1"/>
      <c r="J1510" s="26"/>
      <c r="K1510" s="27"/>
      <c r="L1510" s="27"/>
      <c r="M1510" s="70"/>
      <c r="N1510" s="1"/>
      <c r="O1510" s="26"/>
      <c r="P1510" s="27"/>
      <c r="Q1510" s="27"/>
      <c r="R1510" s="55" t="s">
        <v>242</v>
      </c>
      <c r="S1510" s="26" t="s">
        <v>38</v>
      </c>
      <c r="T1510" s="26" t="s">
        <v>39</v>
      </c>
      <c r="U1510" s="27">
        <v>0.84745762711864414</v>
      </c>
      <c r="V1510" s="33">
        <v>1</v>
      </c>
      <c r="AG1510" s="31">
        <v>0</v>
      </c>
      <c r="AH1510" t="s">
        <v>44</v>
      </c>
    </row>
    <row r="1511" spans="1:34">
      <c r="A1511" s="15" t="s">
        <v>1586</v>
      </c>
      <c r="B1511" s="8" t="s">
        <v>1555</v>
      </c>
      <c r="C1511" s="41" t="s">
        <v>37</v>
      </c>
      <c r="D1511" s="1" t="s">
        <v>38</v>
      </c>
      <c r="E1511" s="26" t="s">
        <v>39</v>
      </c>
      <c r="F1511" s="27">
        <v>1</v>
      </c>
      <c r="G1511" s="33">
        <v>1</v>
      </c>
      <c r="H1511" s="41"/>
      <c r="I1511" s="1"/>
      <c r="J1511" s="26"/>
      <c r="K1511" s="27"/>
      <c r="L1511" s="27"/>
      <c r="M1511" s="70"/>
      <c r="N1511" s="1"/>
      <c r="O1511" s="26"/>
      <c r="P1511" s="27"/>
      <c r="Q1511" s="27"/>
      <c r="R1511" s="55" t="s">
        <v>242</v>
      </c>
      <c r="S1511" s="26" t="s">
        <v>38</v>
      </c>
      <c r="T1511" s="26" t="s">
        <v>39</v>
      </c>
      <c r="U1511" s="27">
        <v>0.84745762711864414</v>
      </c>
      <c r="V1511" s="33">
        <v>1</v>
      </c>
      <c r="AG1511" s="31">
        <v>0</v>
      </c>
      <c r="AH1511" t="s">
        <v>44</v>
      </c>
    </row>
    <row r="1512" spans="1:34">
      <c r="A1512" s="15" t="s">
        <v>1587</v>
      </c>
      <c r="B1512" s="8" t="s">
        <v>1555</v>
      </c>
      <c r="C1512" s="41" t="s">
        <v>37</v>
      </c>
      <c r="D1512" s="1" t="s">
        <v>38</v>
      </c>
      <c r="E1512" s="26" t="s">
        <v>39</v>
      </c>
      <c r="F1512" s="27">
        <v>1</v>
      </c>
      <c r="G1512" s="33">
        <v>1</v>
      </c>
      <c r="H1512" s="41"/>
      <c r="I1512" s="1"/>
      <c r="J1512" s="26"/>
      <c r="K1512" s="27"/>
      <c r="L1512" s="27"/>
      <c r="M1512" s="70"/>
      <c r="N1512" s="1"/>
      <c r="O1512" s="26"/>
      <c r="P1512" s="27"/>
      <c r="Q1512" s="27"/>
      <c r="R1512" s="55" t="s">
        <v>242</v>
      </c>
      <c r="S1512" s="26" t="s">
        <v>38</v>
      </c>
      <c r="T1512" s="26" t="s">
        <v>39</v>
      </c>
      <c r="U1512" s="27">
        <v>0.84745762711864414</v>
      </c>
      <c r="V1512" s="33">
        <v>1</v>
      </c>
      <c r="AG1512" s="31">
        <v>0</v>
      </c>
      <c r="AH1512" t="s">
        <v>44</v>
      </c>
    </row>
    <row r="1513" spans="1:34">
      <c r="A1513" s="15" t="s">
        <v>1588</v>
      </c>
      <c r="B1513" s="8" t="s">
        <v>1555</v>
      </c>
      <c r="C1513" s="41" t="s">
        <v>37</v>
      </c>
      <c r="D1513" s="1" t="s">
        <v>38</v>
      </c>
      <c r="E1513" s="26" t="s">
        <v>39</v>
      </c>
      <c r="F1513" s="27">
        <v>1</v>
      </c>
      <c r="G1513" s="33">
        <v>1</v>
      </c>
      <c r="H1513" s="41"/>
      <c r="I1513" s="1"/>
      <c r="J1513" s="26"/>
      <c r="K1513" s="27"/>
      <c r="L1513" s="27"/>
      <c r="M1513" s="70"/>
      <c r="N1513" s="1"/>
      <c r="O1513" s="26"/>
      <c r="P1513" s="27"/>
      <c r="Q1513" s="27"/>
      <c r="R1513" s="55" t="s">
        <v>242</v>
      </c>
      <c r="S1513" s="26" t="s">
        <v>38</v>
      </c>
      <c r="T1513" s="26" t="s">
        <v>39</v>
      </c>
      <c r="U1513" s="27">
        <v>0.84745762711864414</v>
      </c>
      <c r="V1513" s="33">
        <v>1</v>
      </c>
      <c r="AG1513" s="31">
        <v>0</v>
      </c>
      <c r="AH1513" t="s">
        <v>44</v>
      </c>
    </row>
    <row r="1514" spans="1:34">
      <c r="A1514" s="15" t="s">
        <v>1589</v>
      </c>
      <c r="B1514" s="8" t="s">
        <v>1555</v>
      </c>
      <c r="C1514" s="41" t="s">
        <v>37</v>
      </c>
      <c r="D1514" s="1" t="s">
        <v>38</v>
      </c>
      <c r="E1514" s="26" t="s">
        <v>39</v>
      </c>
      <c r="F1514" s="27">
        <v>1</v>
      </c>
      <c r="G1514" s="33">
        <v>1</v>
      </c>
      <c r="H1514" s="41"/>
      <c r="I1514" s="1"/>
      <c r="J1514" s="26"/>
      <c r="K1514" s="27"/>
      <c r="L1514" s="27"/>
      <c r="M1514" s="70"/>
      <c r="N1514" s="1"/>
      <c r="O1514" s="26"/>
      <c r="P1514" s="27"/>
      <c r="Q1514" s="27"/>
      <c r="R1514" s="55" t="s">
        <v>242</v>
      </c>
      <c r="S1514" s="26" t="s">
        <v>38</v>
      </c>
      <c r="T1514" s="26" t="s">
        <v>39</v>
      </c>
      <c r="U1514" s="27">
        <v>0.84745762711864414</v>
      </c>
      <c r="V1514" s="33">
        <v>1</v>
      </c>
      <c r="AG1514" s="31">
        <v>0</v>
      </c>
      <c r="AH1514" t="s">
        <v>44</v>
      </c>
    </row>
    <row r="1515" spans="1:34">
      <c r="A1515" s="15" t="s">
        <v>1590</v>
      </c>
      <c r="B1515" s="8" t="s">
        <v>1555</v>
      </c>
      <c r="C1515" s="41" t="s">
        <v>37</v>
      </c>
      <c r="D1515" s="1" t="s">
        <v>38</v>
      </c>
      <c r="E1515" s="26" t="s">
        <v>39</v>
      </c>
      <c r="F1515" s="27">
        <v>1</v>
      </c>
      <c r="G1515" s="33">
        <v>1</v>
      </c>
      <c r="H1515" s="41"/>
      <c r="I1515" s="1"/>
      <c r="J1515" s="26"/>
      <c r="K1515" s="27"/>
      <c r="L1515" s="27"/>
      <c r="M1515" s="70"/>
      <c r="N1515" s="1"/>
      <c r="O1515" s="26"/>
      <c r="P1515" s="27"/>
      <c r="Q1515" s="27"/>
      <c r="R1515" s="55" t="s">
        <v>242</v>
      </c>
      <c r="S1515" s="26" t="s">
        <v>38</v>
      </c>
      <c r="T1515" s="26" t="s">
        <v>39</v>
      </c>
      <c r="U1515" s="27">
        <v>0.84745762711864414</v>
      </c>
      <c r="V1515" s="33">
        <v>1</v>
      </c>
      <c r="AG1515" s="31">
        <v>0</v>
      </c>
      <c r="AH1515" t="s">
        <v>44</v>
      </c>
    </row>
    <row r="1516" spans="1:34">
      <c r="A1516" s="15" t="s">
        <v>1591</v>
      </c>
      <c r="B1516" s="8" t="s">
        <v>1555</v>
      </c>
      <c r="C1516" s="41" t="s">
        <v>37</v>
      </c>
      <c r="D1516" s="1" t="s">
        <v>38</v>
      </c>
      <c r="E1516" s="26" t="s">
        <v>39</v>
      </c>
      <c r="F1516" s="27">
        <v>1</v>
      </c>
      <c r="G1516" s="33">
        <v>1</v>
      </c>
      <c r="H1516" s="41"/>
      <c r="I1516" s="1"/>
      <c r="J1516" s="26"/>
      <c r="K1516" s="27"/>
      <c r="L1516" s="27"/>
      <c r="M1516" s="70"/>
      <c r="N1516" s="1"/>
      <c r="O1516" s="26"/>
      <c r="P1516" s="27"/>
      <c r="Q1516" s="27"/>
      <c r="R1516" s="55" t="s">
        <v>242</v>
      </c>
      <c r="S1516" s="26" t="s">
        <v>38</v>
      </c>
      <c r="T1516" s="26" t="s">
        <v>39</v>
      </c>
      <c r="U1516" s="27">
        <v>0.84745762711864414</v>
      </c>
      <c r="V1516" s="33">
        <v>1</v>
      </c>
      <c r="AG1516" s="31">
        <v>0</v>
      </c>
      <c r="AH1516" t="s">
        <v>44</v>
      </c>
    </row>
    <row r="1517" spans="1:34">
      <c r="A1517" s="15" t="s">
        <v>1592</v>
      </c>
      <c r="B1517" s="8" t="s">
        <v>1555</v>
      </c>
      <c r="C1517" s="41" t="s">
        <v>37</v>
      </c>
      <c r="D1517" s="1" t="s">
        <v>38</v>
      </c>
      <c r="E1517" s="26" t="s">
        <v>39</v>
      </c>
      <c r="F1517" s="27">
        <v>1</v>
      </c>
      <c r="G1517" s="33">
        <v>1</v>
      </c>
      <c r="H1517" s="41"/>
      <c r="I1517" s="1"/>
      <c r="J1517" s="26"/>
      <c r="K1517" s="27"/>
      <c r="L1517" s="27"/>
      <c r="M1517" s="70"/>
      <c r="N1517" s="1"/>
      <c r="O1517" s="26"/>
      <c r="P1517" s="27"/>
      <c r="Q1517" s="27"/>
      <c r="R1517" s="55" t="s">
        <v>242</v>
      </c>
      <c r="S1517" s="26" t="s">
        <v>38</v>
      </c>
      <c r="T1517" s="26" t="s">
        <v>39</v>
      </c>
      <c r="U1517" s="27">
        <v>0.84745762711864414</v>
      </c>
      <c r="V1517" s="33">
        <v>1</v>
      </c>
      <c r="AG1517" s="31">
        <v>0</v>
      </c>
      <c r="AH1517" t="s">
        <v>44</v>
      </c>
    </row>
    <row r="1518" spans="1:34">
      <c r="A1518" s="15" t="s">
        <v>1593</v>
      </c>
      <c r="B1518" s="8" t="s">
        <v>1555</v>
      </c>
      <c r="C1518" s="41" t="s">
        <v>37</v>
      </c>
      <c r="D1518" s="1" t="s">
        <v>38</v>
      </c>
      <c r="E1518" s="26" t="s">
        <v>39</v>
      </c>
      <c r="F1518" s="27">
        <v>1</v>
      </c>
      <c r="G1518" s="33">
        <v>1</v>
      </c>
      <c r="H1518" s="41"/>
      <c r="I1518" s="1"/>
      <c r="J1518" s="26"/>
      <c r="K1518" s="27"/>
      <c r="L1518" s="27"/>
      <c r="M1518" s="70"/>
      <c r="N1518" s="1"/>
      <c r="O1518" s="26"/>
      <c r="P1518" s="27"/>
      <c r="Q1518" s="27"/>
      <c r="R1518" s="55" t="s">
        <v>242</v>
      </c>
      <c r="S1518" s="26" t="s">
        <v>38</v>
      </c>
      <c r="T1518" s="26" t="s">
        <v>39</v>
      </c>
      <c r="U1518" s="27">
        <v>0.84745762711864414</v>
      </c>
      <c r="V1518" s="33">
        <v>1</v>
      </c>
      <c r="AG1518" s="31">
        <v>0</v>
      </c>
      <c r="AH1518" t="s">
        <v>44</v>
      </c>
    </row>
    <row r="1519" spans="1:34">
      <c r="A1519" s="15" t="s">
        <v>1594</v>
      </c>
      <c r="B1519" s="8" t="s">
        <v>1555</v>
      </c>
      <c r="C1519" s="41" t="s">
        <v>37</v>
      </c>
      <c r="D1519" s="1" t="s">
        <v>38</v>
      </c>
      <c r="E1519" s="26" t="s">
        <v>39</v>
      </c>
      <c r="F1519" s="27">
        <v>1</v>
      </c>
      <c r="G1519" s="33">
        <v>1</v>
      </c>
      <c r="H1519" s="41"/>
      <c r="I1519" s="1"/>
      <c r="J1519" s="26"/>
      <c r="K1519" s="27"/>
      <c r="L1519" s="27"/>
      <c r="M1519" s="70"/>
      <c r="N1519" s="1"/>
      <c r="O1519" s="26"/>
      <c r="P1519" s="27"/>
      <c r="Q1519" s="27"/>
      <c r="R1519" s="55" t="s">
        <v>242</v>
      </c>
      <c r="S1519" s="26" t="s">
        <v>38</v>
      </c>
      <c r="T1519" s="26" t="s">
        <v>39</v>
      </c>
      <c r="U1519" s="27">
        <v>0.84745762711864414</v>
      </c>
      <c r="V1519" s="33">
        <v>1</v>
      </c>
      <c r="AG1519" s="31">
        <v>0</v>
      </c>
      <c r="AH1519" t="s">
        <v>44</v>
      </c>
    </row>
    <row r="1520" spans="1:34">
      <c r="A1520" s="15" t="s">
        <v>1595</v>
      </c>
      <c r="B1520" s="8" t="s">
        <v>1555</v>
      </c>
      <c r="C1520" s="41" t="s">
        <v>37</v>
      </c>
      <c r="D1520" s="1" t="s">
        <v>38</v>
      </c>
      <c r="E1520" s="26" t="s">
        <v>39</v>
      </c>
      <c r="F1520" s="27">
        <v>1</v>
      </c>
      <c r="G1520" s="33">
        <v>1</v>
      </c>
      <c r="H1520" s="41"/>
      <c r="I1520" s="1"/>
      <c r="J1520" s="26"/>
      <c r="K1520" s="27"/>
      <c r="L1520" s="27"/>
      <c r="M1520" s="70"/>
      <c r="N1520" s="1"/>
      <c r="O1520" s="26"/>
      <c r="P1520" s="27"/>
      <c r="Q1520" s="27"/>
      <c r="R1520" s="55" t="s">
        <v>242</v>
      </c>
      <c r="S1520" s="26" t="s">
        <v>38</v>
      </c>
      <c r="T1520" s="26" t="s">
        <v>39</v>
      </c>
      <c r="U1520" s="27">
        <v>0.84745762711864414</v>
      </c>
      <c r="V1520" s="33">
        <v>1</v>
      </c>
      <c r="AG1520" s="31">
        <v>0</v>
      </c>
      <c r="AH1520" t="s">
        <v>44</v>
      </c>
    </row>
    <row r="1521" spans="1:34">
      <c r="A1521" s="15" t="s">
        <v>1596</v>
      </c>
      <c r="B1521" s="8" t="s">
        <v>1555</v>
      </c>
      <c r="C1521" s="41" t="s">
        <v>37</v>
      </c>
      <c r="D1521" s="1" t="s">
        <v>38</v>
      </c>
      <c r="E1521" s="26" t="s">
        <v>39</v>
      </c>
      <c r="F1521" s="27">
        <v>1</v>
      </c>
      <c r="G1521" s="33">
        <v>1</v>
      </c>
      <c r="H1521" s="41"/>
      <c r="I1521" s="1"/>
      <c r="J1521" s="26"/>
      <c r="K1521" s="27"/>
      <c r="L1521" s="27"/>
      <c r="M1521" s="70"/>
      <c r="N1521" s="1"/>
      <c r="O1521" s="26"/>
      <c r="P1521" s="27"/>
      <c r="Q1521" s="27"/>
      <c r="R1521" s="55" t="s">
        <v>242</v>
      </c>
      <c r="S1521" s="26" t="s">
        <v>38</v>
      </c>
      <c r="T1521" s="26" t="s">
        <v>39</v>
      </c>
      <c r="U1521" s="27">
        <v>0.84745762711864414</v>
      </c>
      <c r="V1521" s="33">
        <v>1</v>
      </c>
      <c r="AG1521" s="31">
        <v>0</v>
      </c>
      <c r="AH1521" t="s">
        <v>44</v>
      </c>
    </row>
    <row r="1522" spans="1:34">
      <c r="A1522" s="15" t="s">
        <v>1597</v>
      </c>
      <c r="B1522" s="8" t="s">
        <v>1555</v>
      </c>
      <c r="C1522" s="41" t="s">
        <v>37</v>
      </c>
      <c r="D1522" s="1" t="s">
        <v>38</v>
      </c>
      <c r="E1522" s="26" t="s">
        <v>39</v>
      </c>
      <c r="F1522" s="27">
        <v>1</v>
      </c>
      <c r="G1522" s="33">
        <v>1</v>
      </c>
      <c r="H1522" s="41"/>
      <c r="I1522" s="1"/>
      <c r="J1522" s="26"/>
      <c r="K1522" s="27"/>
      <c r="L1522" s="27"/>
      <c r="M1522" s="70"/>
      <c r="N1522" s="1"/>
      <c r="O1522" s="26"/>
      <c r="P1522" s="27"/>
      <c r="Q1522" s="27"/>
      <c r="R1522" s="55" t="s">
        <v>242</v>
      </c>
      <c r="S1522" s="26" t="s">
        <v>38</v>
      </c>
      <c r="T1522" s="26" t="s">
        <v>39</v>
      </c>
      <c r="U1522" s="27">
        <v>0.84745762711864414</v>
      </c>
      <c r="V1522" s="33">
        <v>1</v>
      </c>
      <c r="AG1522" s="31">
        <v>1</v>
      </c>
      <c r="AH1522" t="s">
        <v>73</v>
      </c>
    </row>
    <row r="1523" spans="1:34">
      <c r="A1523" s="15" t="s">
        <v>1598</v>
      </c>
      <c r="B1523" s="8" t="s">
        <v>1555</v>
      </c>
      <c r="C1523" s="41" t="s">
        <v>37</v>
      </c>
      <c r="D1523" s="1" t="s">
        <v>38</v>
      </c>
      <c r="E1523" s="26" t="s">
        <v>39</v>
      </c>
      <c r="F1523" s="27">
        <v>1</v>
      </c>
      <c r="G1523" s="33">
        <v>1</v>
      </c>
      <c r="H1523" s="41"/>
      <c r="I1523" s="1"/>
      <c r="J1523" s="26"/>
      <c r="K1523" s="27"/>
      <c r="L1523" s="27"/>
      <c r="M1523" s="70"/>
      <c r="N1523" s="1"/>
      <c r="O1523" s="26"/>
      <c r="P1523" s="27"/>
      <c r="Q1523" s="27"/>
      <c r="R1523" s="55" t="s">
        <v>242</v>
      </c>
      <c r="S1523" s="26" t="s">
        <v>38</v>
      </c>
      <c r="T1523" s="26" t="s">
        <v>39</v>
      </c>
      <c r="U1523" s="27">
        <v>0.84745762711864414</v>
      </c>
      <c r="V1523" s="33">
        <v>1</v>
      </c>
      <c r="AG1523" s="31">
        <v>1</v>
      </c>
      <c r="AH1523" t="s">
        <v>73</v>
      </c>
    </row>
    <row r="1524" spans="1:34">
      <c r="A1524" s="15" t="s">
        <v>1599</v>
      </c>
      <c r="B1524" s="8" t="s">
        <v>1555</v>
      </c>
      <c r="C1524" s="41" t="s">
        <v>37</v>
      </c>
      <c r="D1524" s="1" t="s">
        <v>38</v>
      </c>
      <c r="E1524" s="26" t="s">
        <v>39</v>
      </c>
      <c r="F1524" s="27">
        <v>1</v>
      </c>
      <c r="G1524" s="33">
        <v>1</v>
      </c>
      <c r="H1524" s="41"/>
      <c r="I1524" s="1"/>
      <c r="J1524" s="26"/>
      <c r="K1524" s="27"/>
      <c r="L1524" s="27"/>
      <c r="M1524" s="70"/>
      <c r="N1524" s="1"/>
      <c r="O1524" s="26"/>
      <c r="P1524" s="27"/>
      <c r="Q1524" s="27"/>
      <c r="R1524" s="55" t="s">
        <v>242</v>
      </c>
      <c r="S1524" s="26" t="s">
        <v>38</v>
      </c>
      <c r="T1524" s="26" t="s">
        <v>39</v>
      </c>
      <c r="U1524" s="27">
        <v>0.84745762711864414</v>
      </c>
      <c r="V1524" s="33">
        <v>1</v>
      </c>
      <c r="AG1524" s="31">
        <v>1</v>
      </c>
      <c r="AH1524" t="s">
        <v>73</v>
      </c>
    </row>
    <row r="1525" spans="1:34">
      <c r="A1525" s="15" t="s">
        <v>1600</v>
      </c>
      <c r="B1525" s="8" t="s">
        <v>1555</v>
      </c>
      <c r="C1525" s="41" t="s">
        <v>37</v>
      </c>
      <c r="D1525" s="1" t="s">
        <v>38</v>
      </c>
      <c r="E1525" s="26" t="s">
        <v>39</v>
      </c>
      <c r="F1525" s="27">
        <v>1</v>
      </c>
      <c r="G1525" s="33">
        <v>1</v>
      </c>
      <c r="H1525" s="41"/>
      <c r="I1525" s="1"/>
      <c r="J1525" s="26"/>
      <c r="K1525" s="27"/>
      <c r="L1525" s="27"/>
      <c r="M1525" s="70"/>
      <c r="N1525" s="1"/>
      <c r="O1525" s="26"/>
      <c r="P1525" s="27"/>
      <c r="Q1525" s="27"/>
      <c r="R1525" s="55" t="s">
        <v>242</v>
      </c>
      <c r="S1525" s="26" t="s">
        <v>38</v>
      </c>
      <c r="T1525" s="26" t="s">
        <v>39</v>
      </c>
      <c r="U1525" s="27">
        <v>0.84745762711864414</v>
      </c>
      <c r="V1525" s="33">
        <v>1</v>
      </c>
      <c r="AG1525" s="31">
        <v>1</v>
      </c>
      <c r="AH1525" t="s">
        <v>73</v>
      </c>
    </row>
    <row r="1526" spans="1:34">
      <c r="A1526" s="15" t="s">
        <v>1601</v>
      </c>
      <c r="B1526" s="8" t="s">
        <v>1555</v>
      </c>
      <c r="C1526" s="41" t="s">
        <v>37</v>
      </c>
      <c r="D1526" s="1" t="s">
        <v>38</v>
      </c>
      <c r="E1526" s="26" t="s">
        <v>39</v>
      </c>
      <c r="F1526" s="27">
        <v>1</v>
      </c>
      <c r="G1526" s="33">
        <v>1</v>
      </c>
      <c r="H1526" s="41"/>
      <c r="I1526" s="1"/>
      <c r="J1526" s="26"/>
      <c r="K1526" s="27"/>
      <c r="L1526" s="27"/>
      <c r="M1526" s="70"/>
      <c r="N1526" s="1"/>
      <c r="O1526" s="26"/>
      <c r="P1526" s="27"/>
      <c r="Q1526" s="27"/>
      <c r="R1526" s="55" t="s">
        <v>242</v>
      </c>
      <c r="S1526" s="26" t="s">
        <v>38</v>
      </c>
      <c r="T1526" s="26" t="s">
        <v>39</v>
      </c>
      <c r="U1526" s="27">
        <v>0.84745762711864414</v>
      </c>
      <c r="V1526" s="33">
        <v>1</v>
      </c>
      <c r="AG1526" s="31">
        <v>1</v>
      </c>
      <c r="AH1526" t="s">
        <v>73</v>
      </c>
    </row>
    <row r="1527" spans="1:34">
      <c r="A1527" s="15" t="s">
        <v>1602</v>
      </c>
      <c r="B1527" s="8" t="s">
        <v>1555</v>
      </c>
      <c r="C1527" s="41" t="s">
        <v>37</v>
      </c>
      <c r="D1527" s="1" t="s">
        <v>38</v>
      </c>
      <c r="E1527" s="26" t="s">
        <v>39</v>
      </c>
      <c r="F1527" s="27">
        <v>1</v>
      </c>
      <c r="G1527" s="33">
        <v>1</v>
      </c>
      <c r="H1527" s="41"/>
      <c r="I1527" s="1"/>
      <c r="J1527" s="26"/>
      <c r="K1527" s="27"/>
      <c r="L1527" s="27"/>
      <c r="M1527" s="70"/>
      <c r="N1527" s="1"/>
      <c r="O1527" s="26"/>
      <c r="P1527" s="27"/>
      <c r="Q1527" s="27"/>
      <c r="R1527" s="55" t="s">
        <v>242</v>
      </c>
      <c r="S1527" s="26" t="s">
        <v>38</v>
      </c>
      <c r="T1527" s="26" t="s">
        <v>39</v>
      </c>
      <c r="U1527" s="27">
        <v>0.84745762711864414</v>
      </c>
      <c r="V1527" s="33">
        <v>1</v>
      </c>
      <c r="AG1527" s="31">
        <v>1</v>
      </c>
      <c r="AH1527" t="s">
        <v>73</v>
      </c>
    </row>
    <row r="1528" spans="1:34">
      <c r="A1528" s="15" t="s">
        <v>1603</v>
      </c>
      <c r="B1528" s="8" t="s">
        <v>1555</v>
      </c>
      <c r="C1528" s="41" t="s">
        <v>37</v>
      </c>
      <c r="D1528" s="1" t="s">
        <v>38</v>
      </c>
      <c r="E1528" s="26" t="s">
        <v>39</v>
      </c>
      <c r="F1528" s="27">
        <v>1</v>
      </c>
      <c r="G1528" s="33">
        <v>1</v>
      </c>
      <c r="H1528" s="41"/>
      <c r="I1528" s="1"/>
      <c r="J1528" s="26"/>
      <c r="K1528" s="27"/>
      <c r="L1528" s="27"/>
      <c r="M1528" s="70"/>
      <c r="N1528" s="1"/>
      <c r="O1528" s="26"/>
      <c r="P1528" s="27"/>
      <c r="Q1528" s="27"/>
      <c r="R1528" s="55" t="s">
        <v>242</v>
      </c>
      <c r="S1528" s="26" t="s">
        <v>38</v>
      </c>
      <c r="T1528" s="26" t="s">
        <v>39</v>
      </c>
      <c r="U1528" s="27">
        <v>0.84745762711864414</v>
      </c>
      <c r="V1528" s="33">
        <v>1</v>
      </c>
      <c r="AG1528" s="31">
        <v>1</v>
      </c>
      <c r="AH1528" t="s">
        <v>73</v>
      </c>
    </row>
    <row r="1529" spans="1:34">
      <c r="A1529" s="15" t="s">
        <v>1604</v>
      </c>
      <c r="B1529" s="8" t="s">
        <v>1555</v>
      </c>
      <c r="C1529" s="41" t="s">
        <v>37</v>
      </c>
      <c r="D1529" s="1" t="s">
        <v>38</v>
      </c>
      <c r="E1529" s="26" t="s">
        <v>39</v>
      </c>
      <c r="F1529" s="27">
        <v>1</v>
      </c>
      <c r="G1529" s="33">
        <v>1</v>
      </c>
      <c r="H1529" s="41"/>
      <c r="I1529" s="1"/>
      <c r="J1529" s="26"/>
      <c r="K1529" s="27"/>
      <c r="L1529" s="27"/>
      <c r="M1529" s="70"/>
      <c r="N1529" s="1"/>
      <c r="O1529" s="26"/>
      <c r="P1529" s="27"/>
      <c r="Q1529" s="27"/>
      <c r="R1529" s="55" t="s">
        <v>242</v>
      </c>
      <c r="S1529" s="26" t="s">
        <v>38</v>
      </c>
      <c r="T1529" s="26" t="s">
        <v>39</v>
      </c>
      <c r="U1529" s="27">
        <v>0.84745762711864414</v>
      </c>
      <c r="V1529" s="33">
        <v>1</v>
      </c>
      <c r="AG1529" s="31">
        <v>1</v>
      </c>
      <c r="AH1529" t="s">
        <v>73</v>
      </c>
    </row>
    <row r="1530" spans="1:34">
      <c r="A1530" s="15" t="s">
        <v>1605</v>
      </c>
      <c r="B1530" s="8" t="s">
        <v>1555</v>
      </c>
      <c r="C1530" s="41" t="s">
        <v>37</v>
      </c>
      <c r="D1530" s="1" t="s">
        <v>38</v>
      </c>
      <c r="E1530" s="26" t="s">
        <v>39</v>
      </c>
      <c r="F1530" s="27">
        <v>1</v>
      </c>
      <c r="G1530" s="33">
        <v>1</v>
      </c>
      <c r="H1530" s="41"/>
      <c r="I1530" s="1"/>
      <c r="J1530" s="26"/>
      <c r="K1530" s="27"/>
      <c r="L1530" s="27"/>
      <c r="M1530" s="70"/>
      <c r="N1530" s="1"/>
      <c r="O1530" s="26"/>
      <c r="P1530" s="27"/>
      <c r="Q1530" s="27"/>
      <c r="R1530" s="55" t="s">
        <v>242</v>
      </c>
      <c r="S1530" s="26" t="s">
        <v>38</v>
      </c>
      <c r="T1530" s="26" t="s">
        <v>39</v>
      </c>
      <c r="U1530" s="27">
        <v>0.84745762711864414</v>
      </c>
      <c r="V1530" s="33">
        <v>1</v>
      </c>
      <c r="AG1530" s="31">
        <v>1</v>
      </c>
      <c r="AH1530" t="s">
        <v>73</v>
      </c>
    </row>
    <row r="1531" spans="1:34">
      <c r="A1531" s="15" t="s">
        <v>1606</v>
      </c>
      <c r="B1531" s="8" t="s">
        <v>1555</v>
      </c>
      <c r="C1531" s="41" t="s">
        <v>37</v>
      </c>
      <c r="D1531" s="1" t="s">
        <v>38</v>
      </c>
      <c r="E1531" s="26" t="s">
        <v>39</v>
      </c>
      <c r="F1531" s="27">
        <v>1</v>
      </c>
      <c r="G1531" s="33">
        <v>1</v>
      </c>
      <c r="H1531" s="41"/>
      <c r="I1531" s="1"/>
      <c r="J1531" s="26"/>
      <c r="K1531" s="27"/>
      <c r="L1531" s="27"/>
      <c r="M1531" s="70"/>
      <c r="N1531" s="1"/>
      <c r="O1531" s="26"/>
      <c r="P1531" s="27"/>
      <c r="Q1531" s="27"/>
      <c r="R1531" s="55" t="s">
        <v>242</v>
      </c>
      <c r="S1531" s="26" t="s">
        <v>38</v>
      </c>
      <c r="T1531" s="26" t="s">
        <v>39</v>
      </c>
      <c r="U1531" s="27">
        <v>0.84745762711864414</v>
      </c>
      <c r="V1531" s="33">
        <v>1</v>
      </c>
      <c r="AG1531" s="31">
        <v>1</v>
      </c>
      <c r="AH1531" t="s">
        <v>73</v>
      </c>
    </row>
    <row r="1532" spans="1:34">
      <c r="A1532" s="15" t="s">
        <v>1607</v>
      </c>
      <c r="B1532" s="8" t="s">
        <v>1555</v>
      </c>
      <c r="C1532" s="41" t="s">
        <v>37</v>
      </c>
      <c r="D1532" s="1" t="s">
        <v>38</v>
      </c>
      <c r="E1532" s="26" t="s">
        <v>39</v>
      </c>
      <c r="F1532" s="27">
        <v>1</v>
      </c>
      <c r="G1532" s="33">
        <v>1</v>
      </c>
      <c r="H1532" s="41"/>
      <c r="I1532" s="1"/>
      <c r="J1532" s="26"/>
      <c r="K1532" s="27"/>
      <c r="L1532" s="27"/>
      <c r="M1532" s="70"/>
      <c r="N1532" s="1"/>
      <c r="O1532" s="26"/>
      <c r="P1532" s="27"/>
      <c r="Q1532" s="27"/>
      <c r="R1532" s="55" t="s">
        <v>242</v>
      </c>
      <c r="S1532" s="26" t="s">
        <v>38</v>
      </c>
      <c r="T1532" s="26" t="s">
        <v>39</v>
      </c>
      <c r="U1532" s="27">
        <v>0.84745762711864414</v>
      </c>
      <c r="V1532" s="33">
        <v>1</v>
      </c>
      <c r="AG1532" s="31">
        <v>1</v>
      </c>
      <c r="AH1532" t="s">
        <v>73</v>
      </c>
    </row>
    <row r="1533" spans="1:34">
      <c r="A1533" s="15" t="s">
        <v>1608</v>
      </c>
      <c r="B1533" s="8" t="s">
        <v>1555</v>
      </c>
      <c r="C1533" s="41" t="s">
        <v>37</v>
      </c>
      <c r="D1533" s="1" t="s">
        <v>38</v>
      </c>
      <c r="E1533" s="26" t="s">
        <v>39</v>
      </c>
      <c r="F1533" s="27">
        <v>1</v>
      </c>
      <c r="G1533" s="33">
        <v>1</v>
      </c>
      <c r="H1533" s="41"/>
      <c r="I1533" s="1"/>
      <c r="J1533" s="26"/>
      <c r="K1533" s="27"/>
      <c r="L1533" s="27"/>
      <c r="M1533" s="70"/>
      <c r="N1533" s="1"/>
      <c r="O1533" s="26"/>
      <c r="P1533" s="27"/>
      <c r="Q1533" s="27"/>
      <c r="R1533" s="55" t="s">
        <v>242</v>
      </c>
      <c r="S1533" s="26" t="s">
        <v>38</v>
      </c>
      <c r="T1533" s="26" t="s">
        <v>39</v>
      </c>
      <c r="U1533" s="27">
        <v>0.84745762711864414</v>
      </c>
      <c r="V1533" s="33">
        <v>1</v>
      </c>
      <c r="AG1533" s="31">
        <v>1</v>
      </c>
      <c r="AH1533" t="s">
        <v>73</v>
      </c>
    </row>
    <row r="1534" spans="1:34">
      <c r="A1534" s="15" t="s">
        <v>1609</v>
      </c>
      <c r="B1534" s="8" t="s">
        <v>1555</v>
      </c>
      <c r="C1534" s="41" t="s">
        <v>37</v>
      </c>
      <c r="D1534" s="1" t="s">
        <v>38</v>
      </c>
      <c r="E1534" s="26" t="s">
        <v>39</v>
      </c>
      <c r="F1534" s="27">
        <v>1</v>
      </c>
      <c r="G1534" s="33">
        <v>1</v>
      </c>
      <c r="H1534" s="41"/>
      <c r="I1534" s="1"/>
      <c r="J1534" s="26"/>
      <c r="K1534" s="27"/>
      <c r="L1534" s="27"/>
      <c r="M1534" s="70"/>
      <c r="N1534" s="1"/>
      <c r="O1534" s="26"/>
      <c r="P1534" s="27"/>
      <c r="Q1534" s="27"/>
      <c r="R1534" s="55" t="s">
        <v>242</v>
      </c>
      <c r="S1534" s="26" t="s">
        <v>38</v>
      </c>
      <c r="T1534" s="26" t="s">
        <v>39</v>
      </c>
      <c r="U1534" s="27">
        <v>0.84745762711864414</v>
      </c>
      <c r="V1534" s="33">
        <v>1</v>
      </c>
      <c r="AG1534" s="31">
        <v>1</v>
      </c>
      <c r="AH1534" t="s">
        <v>73</v>
      </c>
    </row>
    <row r="1535" spans="1:34">
      <c r="A1535" s="15" t="s">
        <v>1610</v>
      </c>
      <c r="B1535" s="8" t="s">
        <v>1555</v>
      </c>
      <c r="C1535" s="41" t="s">
        <v>37</v>
      </c>
      <c r="D1535" s="1" t="s">
        <v>38</v>
      </c>
      <c r="E1535" s="26" t="s">
        <v>39</v>
      </c>
      <c r="F1535" s="27">
        <v>1</v>
      </c>
      <c r="G1535" s="33">
        <v>1</v>
      </c>
      <c r="H1535" s="41"/>
      <c r="I1535" s="1"/>
      <c r="J1535" s="26"/>
      <c r="K1535" s="27"/>
      <c r="L1535" s="27"/>
      <c r="M1535" s="70"/>
      <c r="N1535" s="1"/>
      <c r="O1535" s="26"/>
      <c r="P1535" s="27"/>
      <c r="Q1535" s="27"/>
      <c r="R1535" s="55" t="s">
        <v>242</v>
      </c>
      <c r="S1535" s="26" t="s">
        <v>38</v>
      </c>
      <c r="T1535" s="26" t="s">
        <v>39</v>
      </c>
      <c r="U1535" s="27">
        <v>0.84745762711864414</v>
      </c>
      <c r="V1535" s="33">
        <v>1</v>
      </c>
      <c r="AG1535" s="31">
        <v>1</v>
      </c>
      <c r="AH1535" t="s">
        <v>73</v>
      </c>
    </row>
    <row r="1536" spans="1:34">
      <c r="A1536" s="15" t="s">
        <v>1611</v>
      </c>
      <c r="B1536" s="8" t="s">
        <v>1555</v>
      </c>
      <c r="C1536" s="41" t="s">
        <v>37</v>
      </c>
      <c r="D1536" s="1" t="s">
        <v>38</v>
      </c>
      <c r="E1536" s="26" t="s">
        <v>39</v>
      </c>
      <c r="F1536" s="27">
        <v>1</v>
      </c>
      <c r="G1536" s="33">
        <v>1</v>
      </c>
      <c r="H1536" s="41"/>
      <c r="I1536" s="1"/>
      <c r="J1536" s="26"/>
      <c r="K1536" s="27"/>
      <c r="L1536" s="27"/>
      <c r="M1536" s="70"/>
      <c r="N1536" s="1"/>
      <c r="O1536" s="26"/>
      <c r="P1536" s="27"/>
      <c r="Q1536" s="27"/>
      <c r="R1536" s="55" t="s">
        <v>242</v>
      </c>
      <c r="S1536" s="26" t="s">
        <v>38</v>
      </c>
      <c r="T1536" s="26" t="s">
        <v>39</v>
      </c>
      <c r="U1536" s="27">
        <v>0.84745762711864414</v>
      </c>
      <c r="V1536" s="33">
        <v>1</v>
      </c>
      <c r="AG1536" s="31">
        <v>1</v>
      </c>
      <c r="AH1536" t="s">
        <v>73</v>
      </c>
    </row>
    <row r="1537" spans="1:34">
      <c r="A1537" s="15" t="s">
        <v>1612</v>
      </c>
      <c r="B1537" s="8" t="s">
        <v>1555</v>
      </c>
      <c r="C1537" s="41" t="s">
        <v>37</v>
      </c>
      <c r="D1537" s="1" t="s">
        <v>38</v>
      </c>
      <c r="E1537" s="26" t="s">
        <v>39</v>
      </c>
      <c r="F1537" s="27">
        <v>1</v>
      </c>
      <c r="G1537" s="33">
        <v>1</v>
      </c>
      <c r="H1537" s="41"/>
      <c r="I1537" s="1"/>
      <c r="J1537" s="26"/>
      <c r="K1537" s="27"/>
      <c r="L1537" s="27"/>
      <c r="M1537" s="70"/>
      <c r="N1537" s="1"/>
      <c r="O1537" s="26"/>
      <c r="P1537" s="27"/>
      <c r="Q1537" s="27"/>
      <c r="R1537" s="55" t="s">
        <v>242</v>
      </c>
      <c r="S1537" s="26" t="s">
        <v>38</v>
      </c>
      <c r="T1537" s="26" t="s">
        <v>39</v>
      </c>
      <c r="U1537" s="27">
        <v>0.84745762711864414</v>
      </c>
      <c r="V1537" s="33">
        <v>1</v>
      </c>
      <c r="AG1537" s="31">
        <v>1</v>
      </c>
      <c r="AH1537" t="s">
        <v>73</v>
      </c>
    </row>
    <row r="1538" spans="1:34">
      <c r="A1538" s="15" t="s">
        <v>1613</v>
      </c>
      <c r="B1538" s="8" t="s">
        <v>1555</v>
      </c>
      <c r="C1538" s="41" t="s">
        <v>37</v>
      </c>
      <c r="D1538" s="1" t="s">
        <v>38</v>
      </c>
      <c r="E1538" s="26" t="s">
        <v>39</v>
      </c>
      <c r="F1538" s="27">
        <v>1</v>
      </c>
      <c r="G1538" s="33">
        <v>1</v>
      </c>
      <c r="H1538" s="41"/>
      <c r="I1538" s="1"/>
      <c r="J1538" s="26"/>
      <c r="K1538" s="27"/>
      <c r="L1538" s="27"/>
      <c r="M1538" s="70"/>
      <c r="N1538" s="1"/>
      <c r="O1538" s="26"/>
      <c r="P1538" s="27"/>
      <c r="Q1538" s="27"/>
      <c r="R1538" s="55" t="s">
        <v>242</v>
      </c>
      <c r="S1538" s="26" t="s">
        <v>38</v>
      </c>
      <c r="T1538" s="26" t="s">
        <v>39</v>
      </c>
      <c r="U1538" s="27">
        <v>0.84745762711864414</v>
      </c>
      <c r="V1538" s="33">
        <v>1</v>
      </c>
      <c r="AG1538" s="31">
        <v>1</v>
      </c>
      <c r="AH1538" t="s">
        <v>73</v>
      </c>
    </row>
    <row r="1539" spans="1:34">
      <c r="A1539" s="15" t="s">
        <v>1614</v>
      </c>
      <c r="B1539" s="8" t="s">
        <v>1555</v>
      </c>
      <c r="C1539" s="41" t="s">
        <v>37</v>
      </c>
      <c r="D1539" s="1" t="s">
        <v>38</v>
      </c>
      <c r="E1539" s="26" t="s">
        <v>39</v>
      </c>
      <c r="F1539" s="27">
        <v>1</v>
      </c>
      <c r="G1539" s="33">
        <v>1</v>
      </c>
      <c r="H1539" s="41"/>
      <c r="I1539" s="1"/>
      <c r="J1539" s="26"/>
      <c r="K1539" s="27"/>
      <c r="L1539" s="27"/>
      <c r="M1539" s="70"/>
      <c r="N1539" s="1"/>
      <c r="O1539" s="26"/>
      <c r="P1539" s="27"/>
      <c r="Q1539" s="27"/>
      <c r="R1539" s="55" t="s">
        <v>242</v>
      </c>
      <c r="S1539" s="26" t="s">
        <v>38</v>
      </c>
      <c r="T1539" s="26" t="s">
        <v>39</v>
      </c>
      <c r="U1539" s="27">
        <v>0.84745762711864414</v>
      </c>
      <c r="V1539" s="33">
        <v>1</v>
      </c>
      <c r="AG1539" s="31">
        <v>1</v>
      </c>
      <c r="AH1539" t="s">
        <v>73</v>
      </c>
    </row>
    <row r="1540" spans="1:34">
      <c r="A1540" s="15" t="s">
        <v>1615</v>
      </c>
      <c r="B1540" s="8" t="s">
        <v>1555</v>
      </c>
      <c r="C1540" s="41" t="s">
        <v>37</v>
      </c>
      <c r="D1540" s="1" t="s">
        <v>38</v>
      </c>
      <c r="E1540" s="26" t="s">
        <v>39</v>
      </c>
      <c r="F1540" s="27">
        <v>1</v>
      </c>
      <c r="G1540" s="33">
        <v>1</v>
      </c>
      <c r="H1540" s="41"/>
      <c r="I1540" s="1"/>
      <c r="J1540" s="26"/>
      <c r="K1540" s="27"/>
      <c r="L1540" s="27"/>
      <c r="M1540" s="70"/>
      <c r="N1540" s="1"/>
      <c r="O1540" s="26"/>
      <c r="P1540" s="27"/>
      <c r="Q1540" s="27"/>
      <c r="R1540" s="55" t="s">
        <v>242</v>
      </c>
      <c r="S1540" s="26" t="s">
        <v>38</v>
      </c>
      <c r="T1540" s="26" t="s">
        <v>39</v>
      </c>
      <c r="U1540" s="27">
        <v>0.84745762711864414</v>
      </c>
      <c r="V1540" s="33">
        <v>1</v>
      </c>
      <c r="AG1540" s="31">
        <v>1</v>
      </c>
      <c r="AH1540" t="s">
        <v>73</v>
      </c>
    </row>
    <row r="1541" spans="1:34">
      <c r="A1541" s="15" t="s">
        <v>1616</v>
      </c>
      <c r="B1541" s="8" t="s">
        <v>1555</v>
      </c>
      <c r="C1541" s="41" t="s">
        <v>37</v>
      </c>
      <c r="D1541" s="1" t="s">
        <v>38</v>
      </c>
      <c r="E1541" s="26" t="s">
        <v>39</v>
      </c>
      <c r="F1541" s="27">
        <v>1</v>
      </c>
      <c r="G1541" s="33">
        <v>1</v>
      </c>
      <c r="H1541" s="41"/>
      <c r="I1541" s="1"/>
      <c r="J1541" s="26"/>
      <c r="K1541" s="27"/>
      <c r="L1541" s="27"/>
      <c r="M1541" s="70"/>
      <c r="N1541" s="1"/>
      <c r="O1541" s="26"/>
      <c r="P1541" s="27"/>
      <c r="Q1541" s="27"/>
      <c r="R1541" s="55" t="s">
        <v>242</v>
      </c>
      <c r="S1541" s="26" t="s">
        <v>38</v>
      </c>
      <c r="T1541" s="26" t="s">
        <v>39</v>
      </c>
      <c r="U1541" s="27">
        <v>0.84745762711864414</v>
      </c>
      <c r="V1541" s="33">
        <v>1</v>
      </c>
      <c r="AG1541" s="31">
        <v>1</v>
      </c>
      <c r="AH1541" t="s">
        <v>73</v>
      </c>
    </row>
    <row r="1542" spans="1:34">
      <c r="A1542" s="15" t="s">
        <v>1617</v>
      </c>
      <c r="B1542" s="8" t="s">
        <v>1555</v>
      </c>
      <c r="C1542" s="41" t="s">
        <v>37</v>
      </c>
      <c r="D1542" s="1" t="s">
        <v>38</v>
      </c>
      <c r="E1542" s="26" t="s">
        <v>39</v>
      </c>
      <c r="F1542" s="27">
        <v>1</v>
      </c>
      <c r="G1542" s="33">
        <v>1</v>
      </c>
      <c r="H1542" s="41"/>
      <c r="I1542" s="1"/>
      <c r="J1542" s="26"/>
      <c r="K1542" s="27"/>
      <c r="L1542" s="27"/>
      <c r="M1542" s="70"/>
      <c r="N1542" s="1"/>
      <c r="O1542" s="26"/>
      <c r="P1542" s="27"/>
      <c r="Q1542" s="27"/>
      <c r="R1542" s="55" t="s">
        <v>242</v>
      </c>
      <c r="S1542" s="26" t="s">
        <v>38</v>
      </c>
      <c r="T1542" s="26" t="s">
        <v>39</v>
      </c>
      <c r="U1542" s="27">
        <v>0.84745762711864414</v>
      </c>
      <c r="V1542" s="33">
        <v>1</v>
      </c>
      <c r="AG1542" s="31">
        <v>1</v>
      </c>
      <c r="AH1542" t="s">
        <v>73</v>
      </c>
    </row>
    <row r="1543" spans="1:34">
      <c r="A1543" s="15" t="s">
        <v>1618</v>
      </c>
      <c r="B1543" s="8" t="s">
        <v>1555</v>
      </c>
      <c r="C1543" s="41" t="s">
        <v>37</v>
      </c>
      <c r="D1543" s="1" t="s">
        <v>38</v>
      </c>
      <c r="E1543" s="26" t="s">
        <v>39</v>
      </c>
      <c r="F1543" s="27">
        <v>1</v>
      </c>
      <c r="G1543" s="33">
        <v>1</v>
      </c>
      <c r="H1543" s="41"/>
      <c r="I1543" s="1"/>
      <c r="J1543" s="26"/>
      <c r="K1543" s="27"/>
      <c r="L1543" s="27"/>
      <c r="M1543" s="70"/>
      <c r="N1543" s="1"/>
      <c r="O1543" s="26"/>
      <c r="P1543" s="27"/>
      <c r="Q1543" s="27"/>
      <c r="R1543" s="55" t="s">
        <v>242</v>
      </c>
      <c r="S1543" s="26" t="s">
        <v>38</v>
      </c>
      <c r="T1543" s="26" t="s">
        <v>39</v>
      </c>
      <c r="U1543" s="27">
        <v>0.84745762711864414</v>
      </c>
      <c r="V1543" s="33">
        <v>1</v>
      </c>
      <c r="AG1543" s="31">
        <v>1</v>
      </c>
      <c r="AH1543" t="s">
        <v>73</v>
      </c>
    </row>
    <row r="1544" spans="1:34">
      <c r="A1544" s="15" t="s">
        <v>1619</v>
      </c>
      <c r="B1544" s="8" t="s">
        <v>1555</v>
      </c>
      <c r="C1544" s="41" t="s">
        <v>37</v>
      </c>
      <c r="D1544" s="1" t="s">
        <v>38</v>
      </c>
      <c r="E1544" s="26" t="s">
        <v>39</v>
      </c>
      <c r="F1544" s="27">
        <v>1</v>
      </c>
      <c r="G1544" s="33">
        <v>1</v>
      </c>
      <c r="H1544" s="41"/>
      <c r="I1544" s="1"/>
      <c r="J1544" s="26"/>
      <c r="K1544" s="27"/>
      <c r="L1544" s="27"/>
      <c r="M1544" s="70"/>
      <c r="N1544" s="1"/>
      <c r="O1544" s="26"/>
      <c r="P1544" s="27"/>
      <c r="Q1544" s="27"/>
      <c r="R1544" s="55" t="s">
        <v>242</v>
      </c>
      <c r="S1544" s="26" t="s">
        <v>38</v>
      </c>
      <c r="T1544" s="26" t="s">
        <v>39</v>
      </c>
      <c r="U1544" s="27">
        <v>0.84745762711864414</v>
      </c>
      <c r="V1544" s="33">
        <v>1</v>
      </c>
      <c r="AG1544" s="31">
        <v>1</v>
      </c>
      <c r="AH1544" t="s">
        <v>73</v>
      </c>
    </row>
    <row r="1545" spans="1:34">
      <c r="A1545" s="15" t="s">
        <v>1620</v>
      </c>
      <c r="B1545" s="8" t="s">
        <v>1555</v>
      </c>
      <c r="C1545" s="41" t="s">
        <v>37</v>
      </c>
      <c r="D1545" s="1" t="s">
        <v>38</v>
      </c>
      <c r="E1545" s="26" t="s">
        <v>39</v>
      </c>
      <c r="F1545" s="27">
        <v>1</v>
      </c>
      <c r="G1545" s="33">
        <v>1</v>
      </c>
      <c r="H1545" s="41"/>
      <c r="I1545" s="1"/>
      <c r="J1545" s="26"/>
      <c r="K1545" s="27"/>
      <c r="L1545" s="27"/>
      <c r="M1545" s="70"/>
      <c r="N1545" s="1"/>
      <c r="O1545" s="26"/>
      <c r="P1545" s="27"/>
      <c r="Q1545" s="27"/>
      <c r="R1545" s="55" t="s">
        <v>242</v>
      </c>
      <c r="S1545" s="26" t="s">
        <v>38</v>
      </c>
      <c r="T1545" s="26" t="s">
        <v>39</v>
      </c>
      <c r="U1545" s="27">
        <v>0.84745762711864414</v>
      </c>
      <c r="V1545" s="33">
        <v>1</v>
      </c>
      <c r="AG1545" s="31">
        <v>1</v>
      </c>
      <c r="AH1545" t="s">
        <v>73</v>
      </c>
    </row>
    <row r="1546" spans="1:34">
      <c r="A1546" s="15" t="s">
        <v>1621</v>
      </c>
      <c r="B1546" s="8" t="s">
        <v>1555</v>
      </c>
      <c r="C1546" s="41" t="s">
        <v>37</v>
      </c>
      <c r="D1546" s="1" t="s">
        <v>38</v>
      </c>
      <c r="E1546" s="26" t="s">
        <v>39</v>
      </c>
      <c r="F1546" s="27">
        <v>1</v>
      </c>
      <c r="G1546" s="33">
        <v>1</v>
      </c>
      <c r="H1546" s="41"/>
      <c r="I1546" s="1"/>
      <c r="J1546" s="26"/>
      <c r="K1546" s="27"/>
      <c r="L1546" s="27"/>
      <c r="M1546" s="70"/>
      <c r="N1546" s="1"/>
      <c r="O1546" s="26"/>
      <c r="P1546" s="27"/>
      <c r="Q1546" s="27"/>
      <c r="R1546" s="55" t="s">
        <v>242</v>
      </c>
      <c r="S1546" s="26" t="s">
        <v>38</v>
      </c>
      <c r="T1546" s="26" t="s">
        <v>39</v>
      </c>
      <c r="U1546" s="27">
        <v>0.84745762711864414</v>
      </c>
      <c r="V1546" s="33">
        <v>1</v>
      </c>
      <c r="AG1546" s="31">
        <v>1</v>
      </c>
      <c r="AH1546" t="s">
        <v>73</v>
      </c>
    </row>
    <row r="1547" spans="1:34">
      <c r="A1547" s="15" t="s">
        <v>1622</v>
      </c>
      <c r="B1547" s="8" t="s">
        <v>1555</v>
      </c>
      <c r="C1547" s="41" t="s">
        <v>37</v>
      </c>
      <c r="D1547" s="1" t="s">
        <v>38</v>
      </c>
      <c r="E1547" s="26" t="s">
        <v>39</v>
      </c>
      <c r="F1547" s="27">
        <v>1</v>
      </c>
      <c r="G1547" s="33">
        <v>1</v>
      </c>
      <c r="H1547" s="41"/>
      <c r="I1547" s="1"/>
      <c r="J1547" s="26"/>
      <c r="K1547" s="27"/>
      <c r="L1547" s="27"/>
      <c r="M1547" s="70"/>
      <c r="N1547" s="1"/>
      <c r="O1547" s="26"/>
      <c r="P1547" s="27"/>
      <c r="Q1547" s="27"/>
      <c r="R1547" s="55" t="s">
        <v>242</v>
      </c>
      <c r="S1547" s="26" t="s">
        <v>38</v>
      </c>
      <c r="T1547" s="26" t="s">
        <v>39</v>
      </c>
      <c r="U1547" s="27">
        <v>0.84745762711864414</v>
      </c>
      <c r="V1547" s="33">
        <v>1</v>
      </c>
      <c r="AG1547" s="31">
        <v>1</v>
      </c>
      <c r="AH1547" t="s">
        <v>73</v>
      </c>
    </row>
    <row r="1548" spans="1:34">
      <c r="A1548" s="15" t="s">
        <v>1623</v>
      </c>
      <c r="B1548" s="8" t="s">
        <v>1555</v>
      </c>
      <c r="C1548" s="41" t="s">
        <v>37</v>
      </c>
      <c r="D1548" s="1" t="s">
        <v>38</v>
      </c>
      <c r="E1548" s="26" t="s">
        <v>39</v>
      </c>
      <c r="F1548" s="27">
        <v>1</v>
      </c>
      <c r="G1548" s="33">
        <v>1</v>
      </c>
      <c r="H1548" s="41"/>
      <c r="I1548" s="1"/>
      <c r="J1548" s="26"/>
      <c r="K1548" s="27"/>
      <c r="L1548" s="27"/>
      <c r="M1548" s="70"/>
      <c r="N1548" s="1"/>
      <c r="O1548" s="26"/>
      <c r="P1548" s="27"/>
      <c r="Q1548" s="27"/>
      <c r="R1548" s="55" t="s">
        <v>242</v>
      </c>
      <c r="S1548" s="26" t="s">
        <v>38</v>
      </c>
      <c r="T1548" s="26" t="s">
        <v>39</v>
      </c>
      <c r="U1548" s="27">
        <v>0.84745762711864414</v>
      </c>
      <c r="V1548" s="33">
        <v>1</v>
      </c>
      <c r="AG1548" s="31">
        <v>1</v>
      </c>
      <c r="AH1548" t="s">
        <v>73</v>
      </c>
    </row>
    <row r="1549" spans="1:34">
      <c r="A1549" s="15" t="s">
        <v>1624</v>
      </c>
      <c r="B1549" s="8" t="s">
        <v>1555</v>
      </c>
      <c r="C1549" s="41" t="s">
        <v>37</v>
      </c>
      <c r="D1549" s="1" t="s">
        <v>38</v>
      </c>
      <c r="E1549" s="26" t="s">
        <v>39</v>
      </c>
      <c r="F1549" s="27">
        <v>1</v>
      </c>
      <c r="G1549" s="33">
        <v>1</v>
      </c>
      <c r="H1549" s="41"/>
      <c r="I1549" s="1"/>
      <c r="J1549" s="26"/>
      <c r="K1549" s="27"/>
      <c r="L1549" s="27"/>
      <c r="M1549" s="70"/>
      <c r="N1549" s="1"/>
      <c r="O1549" s="26"/>
      <c r="P1549" s="27"/>
      <c r="Q1549" s="27"/>
      <c r="R1549" s="55" t="s">
        <v>242</v>
      </c>
      <c r="S1549" s="26" t="s">
        <v>38</v>
      </c>
      <c r="T1549" s="26" t="s">
        <v>39</v>
      </c>
      <c r="U1549" s="27">
        <v>0.84745762711864414</v>
      </c>
      <c r="V1549" s="33">
        <v>1</v>
      </c>
      <c r="AG1549" s="31">
        <v>1</v>
      </c>
      <c r="AH1549" t="s">
        <v>73</v>
      </c>
    </row>
    <row r="1550" spans="1:34">
      <c r="A1550" s="15" t="s">
        <v>1625</v>
      </c>
      <c r="B1550" s="8" t="s">
        <v>1555</v>
      </c>
      <c r="C1550" s="41" t="s">
        <v>37</v>
      </c>
      <c r="D1550" s="1" t="s">
        <v>38</v>
      </c>
      <c r="E1550" s="26" t="s">
        <v>39</v>
      </c>
      <c r="F1550" s="27">
        <v>1</v>
      </c>
      <c r="G1550" s="33">
        <v>1</v>
      </c>
      <c r="H1550" s="41"/>
      <c r="I1550" s="1"/>
      <c r="J1550" s="26"/>
      <c r="K1550" s="27"/>
      <c r="L1550" s="27"/>
      <c r="M1550" s="70"/>
      <c r="N1550" s="1"/>
      <c r="O1550" s="26"/>
      <c r="P1550" s="27"/>
      <c r="Q1550" s="27"/>
      <c r="R1550" s="55" t="s">
        <v>242</v>
      </c>
      <c r="S1550" s="26" t="s">
        <v>38</v>
      </c>
      <c r="T1550" s="26" t="s">
        <v>39</v>
      </c>
      <c r="U1550" s="27">
        <v>0.84745762711864414</v>
      </c>
      <c r="V1550" s="33">
        <v>1</v>
      </c>
      <c r="AG1550" s="31">
        <v>0.5</v>
      </c>
      <c r="AH1550" t="s">
        <v>285</v>
      </c>
    </row>
    <row r="1551" spans="1:34">
      <c r="A1551" s="15" t="s">
        <v>1626</v>
      </c>
      <c r="B1551" s="8" t="s">
        <v>1555</v>
      </c>
      <c r="C1551" s="41" t="s">
        <v>37</v>
      </c>
      <c r="D1551" s="1" t="s">
        <v>38</v>
      </c>
      <c r="E1551" s="26" t="s">
        <v>39</v>
      </c>
      <c r="F1551" s="27">
        <v>1</v>
      </c>
      <c r="G1551" s="33">
        <v>1</v>
      </c>
      <c r="H1551" s="41"/>
      <c r="I1551" s="1"/>
      <c r="J1551" s="26"/>
      <c r="K1551" s="27"/>
      <c r="L1551" s="27"/>
      <c r="M1551" s="70"/>
      <c r="N1551" s="1"/>
      <c r="O1551" s="26"/>
      <c r="P1551" s="27"/>
      <c r="Q1551" s="27"/>
      <c r="R1551" s="55" t="s">
        <v>242</v>
      </c>
      <c r="S1551" s="26" t="s">
        <v>38</v>
      </c>
      <c r="T1551" s="26" t="s">
        <v>39</v>
      </c>
      <c r="U1551" s="27">
        <v>0.84745762711864414</v>
      </c>
      <c r="V1551" s="33">
        <v>1</v>
      </c>
      <c r="AG1551" s="31">
        <v>0.5</v>
      </c>
      <c r="AH1551" t="s">
        <v>285</v>
      </c>
    </row>
    <row r="1552" spans="1:34">
      <c r="A1552" s="15" t="s">
        <v>1627</v>
      </c>
      <c r="B1552" s="8" t="s">
        <v>1555</v>
      </c>
      <c r="C1552" s="41" t="s">
        <v>37</v>
      </c>
      <c r="D1552" s="1" t="s">
        <v>38</v>
      </c>
      <c r="E1552" s="26" t="s">
        <v>39</v>
      </c>
      <c r="F1552" s="27">
        <v>1</v>
      </c>
      <c r="G1552" s="33">
        <v>1</v>
      </c>
      <c r="H1552" s="41"/>
      <c r="I1552" s="1"/>
      <c r="J1552" s="26"/>
      <c r="K1552" s="27"/>
      <c r="L1552" s="27"/>
      <c r="M1552" s="70"/>
      <c r="N1552" s="1"/>
      <c r="O1552" s="26"/>
      <c r="P1552" s="27"/>
      <c r="Q1552" s="27"/>
      <c r="R1552" s="55" t="s">
        <v>242</v>
      </c>
      <c r="S1552" s="26" t="s">
        <v>38</v>
      </c>
      <c r="T1552" s="26" t="s">
        <v>39</v>
      </c>
      <c r="U1552" s="27">
        <v>0.84745762711864414</v>
      </c>
      <c r="V1552" s="33">
        <v>1</v>
      </c>
      <c r="AG1552" s="31">
        <v>0.5</v>
      </c>
      <c r="AH1552" t="s">
        <v>285</v>
      </c>
    </row>
    <row r="1553" spans="1:34">
      <c r="A1553" s="15" t="s">
        <v>1628</v>
      </c>
      <c r="B1553" s="8" t="s">
        <v>1555</v>
      </c>
      <c r="C1553" s="41" t="s">
        <v>37</v>
      </c>
      <c r="D1553" s="1" t="s">
        <v>38</v>
      </c>
      <c r="E1553" s="26" t="s">
        <v>39</v>
      </c>
      <c r="F1553" s="27">
        <v>1</v>
      </c>
      <c r="G1553" s="33">
        <v>1</v>
      </c>
      <c r="H1553" s="41"/>
      <c r="I1553" s="1"/>
      <c r="J1553" s="26"/>
      <c r="K1553" s="27"/>
      <c r="L1553" s="27"/>
      <c r="M1553" s="70"/>
      <c r="N1553" s="1"/>
      <c r="O1553" s="26"/>
      <c r="P1553" s="27"/>
      <c r="Q1553" s="27"/>
      <c r="R1553" s="55" t="s">
        <v>242</v>
      </c>
      <c r="S1553" s="26" t="s">
        <v>38</v>
      </c>
      <c r="T1553" s="26" t="s">
        <v>39</v>
      </c>
      <c r="U1553" s="27">
        <v>0.84745762711864414</v>
      </c>
      <c r="V1553" s="33">
        <v>1</v>
      </c>
      <c r="AG1553" s="31">
        <v>0.5</v>
      </c>
      <c r="AH1553" t="s">
        <v>285</v>
      </c>
    </row>
    <row r="1554" spans="1:34">
      <c r="A1554" s="15" t="s">
        <v>1629</v>
      </c>
      <c r="B1554" s="8" t="s">
        <v>1555</v>
      </c>
      <c r="C1554" s="41" t="s">
        <v>37</v>
      </c>
      <c r="D1554" s="1" t="s">
        <v>38</v>
      </c>
      <c r="E1554" s="26" t="s">
        <v>39</v>
      </c>
      <c r="F1554" s="27">
        <v>1</v>
      </c>
      <c r="G1554" s="33">
        <v>1</v>
      </c>
      <c r="H1554" s="41"/>
      <c r="I1554" s="1"/>
      <c r="J1554" s="26"/>
      <c r="K1554" s="27"/>
      <c r="L1554" s="27"/>
      <c r="M1554" s="70"/>
      <c r="N1554" s="1"/>
      <c r="O1554" s="26"/>
      <c r="P1554" s="27"/>
      <c r="Q1554" s="27"/>
      <c r="R1554" s="55" t="s">
        <v>242</v>
      </c>
      <c r="S1554" s="26" t="s">
        <v>38</v>
      </c>
      <c r="T1554" s="26" t="s">
        <v>39</v>
      </c>
      <c r="U1554" s="27">
        <v>0.84745762711864414</v>
      </c>
      <c r="V1554" s="33">
        <v>1</v>
      </c>
      <c r="AG1554" s="31">
        <v>0.5</v>
      </c>
      <c r="AH1554" t="s">
        <v>285</v>
      </c>
    </row>
    <row r="1555" spans="1:34">
      <c r="A1555" s="15" t="s">
        <v>1630</v>
      </c>
      <c r="B1555" s="8" t="s">
        <v>1555</v>
      </c>
      <c r="C1555" s="41" t="s">
        <v>37</v>
      </c>
      <c r="D1555" s="1" t="s">
        <v>38</v>
      </c>
      <c r="E1555" s="26" t="s">
        <v>39</v>
      </c>
      <c r="F1555" s="27">
        <v>1</v>
      </c>
      <c r="G1555" s="33">
        <v>1</v>
      </c>
      <c r="H1555" s="41"/>
      <c r="I1555" s="1"/>
      <c r="J1555" s="26"/>
      <c r="K1555" s="27"/>
      <c r="L1555" s="27"/>
      <c r="M1555" s="70"/>
      <c r="N1555" s="1"/>
      <c r="O1555" s="26"/>
      <c r="P1555" s="27"/>
      <c r="Q1555" s="27"/>
      <c r="R1555" s="55" t="s">
        <v>242</v>
      </c>
      <c r="S1555" s="26" t="s">
        <v>38</v>
      </c>
      <c r="T1555" s="26" t="s">
        <v>39</v>
      </c>
      <c r="U1555" s="27">
        <v>0.84745762711864414</v>
      </c>
      <c r="V1555" s="33">
        <v>1</v>
      </c>
      <c r="AG1555" s="31">
        <v>0.5</v>
      </c>
      <c r="AH1555" t="s">
        <v>285</v>
      </c>
    </row>
    <row r="1556" spans="1:34">
      <c r="A1556" s="15" t="s">
        <v>1631</v>
      </c>
      <c r="B1556" s="8" t="s">
        <v>1555</v>
      </c>
      <c r="C1556" s="41" t="s">
        <v>37</v>
      </c>
      <c r="D1556" s="1" t="s">
        <v>38</v>
      </c>
      <c r="E1556" s="26" t="s">
        <v>39</v>
      </c>
      <c r="F1556" s="27">
        <v>1</v>
      </c>
      <c r="G1556" s="33">
        <v>1</v>
      </c>
      <c r="H1556" s="41"/>
      <c r="I1556" s="1"/>
      <c r="J1556" s="26"/>
      <c r="K1556" s="27"/>
      <c r="L1556" s="27"/>
      <c r="M1556" s="70"/>
      <c r="N1556" s="1"/>
      <c r="O1556" s="26"/>
      <c r="P1556" s="27"/>
      <c r="Q1556" s="27"/>
      <c r="R1556" s="55" t="s">
        <v>242</v>
      </c>
      <c r="S1556" s="26" t="s">
        <v>38</v>
      </c>
      <c r="T1556" s="26" t="s">
        <v>39</v>
      </c>
      <c r="U1556" s="27">
        <v>0.84745762711864414</v>
      </c>
      <c r="V1556" s="33">
        <v>1</v>
      </c>
      <c r="AG1556" s="31">
        <v>0.5</v>
      </c>
      <c r="AH1556" t="s">
        <v>285</v>
      </c>
    </row>
    <row r="1557" spans="1:34">
      <c r="A1557" s="15" t="s">
        <v>1632</v>
      </c>
      <c r="B1557" s="8" t="s">
        <v>1555</v>
      </c>
      <c r="C1557" s="41" t="s">
        <v>37</v>
      </c>
      <c r="D1557" s="1" t="s">
        <v>38</v>
      </c>
      <c r="E1557" s="26" t="s">
        <v>39</v>
      </c>
      <c r="F1557" s="27">
        <v>1</v>
      </c>
      <c r="G1557" s="33">
        <v>1</v>
      </c>
      <c r="H1557" s="41"/>
      <c r="I1557" s="1"/>
      <c r="J1557" s="26"/>
      <c r="K1557" s="27"/>
      <c r="L1557" s="27"/>
      <c r="M1557" s="70"/>
      <c r="N1557" s="1"/>
      <c r="O1557" s="26"/>
      <c r="P1557" s="27"/>
      <c r="Q1557" s="27"/>
      <c r="R1557" s="55" t="s">
        <v>242</v>
      </c>
      <c r="S1557" s="26" t="s">
        <v>38</v>
      </c>
      <c r="T1557" s="26" t="s">
        <v>39</v>
      </c>
      <c r="U1557" s="27">
        <v>0.84745762711864414</v>
      </c>
      <c r="V1557" s="33">
        <v>1</v>
      </c>
      <c r="AG1557" s="31">
        <v>0.5</v>
      </c>
      <c r="AH1557" t="s">
        <v>285</v>
      </c>
    </row>
    <row r="1558" spans="1:34">
      <c r="A1558" s="15" t="s">
        <v>1633</v>
      </c>
      <c r="B1558" s="8" t="s">
        <v>1555</v>
      </c>
      <c r="C1558" s="41" t="s">
        <v>37</v>
      </c>
      <c r="D1558" s="1" t="s">
        <v>38</v>
      </c>
      <c r="E1558" s="26" t="s">
        <v>39</v>
      </c>
      <c r="F1558" s="27">
        <v>1</v>
      </c>
      <c r="G1558" s="33">
        <v>1</v>
      </c>
      <c r="H1558" s="41"/>
      <c r="I1558" s="1"/>
      <c r="J1558" s="26"/>
      <c r="K1558" s="27"/>
      <c r="L1558" s="27"/>
      <c r="M1558" s="70"/>
      <c r="N1558" s="1"/>
      <c r="O1558" s="26"/>
      <c r="P1558" s="27"/>
      <c r="Q1558" s="27"/>
      <c r="R1558" s="55" t="s">
        <v>242</v>
      </c>
      <c r="S1558" s="26" t="s">
        <v>38</v>
      </c>
      <c r="T1558" s="26" t="s">
        <v>39</v>
      </c>
      <c r="U1558" s="27">
        <v>0.84745762711864414</v>
      </c>
      <c r="V1558" s="33">
        <v>1</v>
      </c>
      <c r="AG1558" s="31">
        <v>0.5</v>
      </c>
      <c r="AH1558" t="s">
        <v>285</v>
      </c>
    </row>
    <row r="1559" spans="1:34">
      <c r="A1559" s="15" t="s">
        <v>1634</v>
      </c>
      <c r="B1559" s="8" t="s">
        <v>1555</v>
      </c>
      <c r="C1559" s="41" t="s">
        <v>37</v>
      </c>
      <c r="D1559" s="1" t="s">
        <v>38</v>
      </c>
      <c r="E1559" s="26" t="s">
        <v>39</v>
      </c>
      <c r="F1559" s="27">
        <v>1</v>
      </c>
      <c r="G1559" s="33">
        <v>1</v>
      </c>
      <c r="H1559" s="41"/>
      <c r="I1559" s="1"/>
      <c r="J1559" s="26"/>
      <c r="K1559" s="27"/>
      <c r="L1559" s="27"/>
      <c r="M1559" s="70"/>
      <c r="N1559" s="1"/>
      <c r="O1559" s="26"/>
      <c r="P1559" s="27"/>
      <c r="Q1559" s="27"/>
      <c r="R1559" s="55" t="s">
        <v>242</v>
      </c>
      <c r="S1559" s="26" t="s">
        <v>38</v>
      </c>
      <c r="T1559" s="26" t="s">
        <v>39</v>
      </c>
      <c r="U1559" s="27">
        <v>0.84745762711864414</v>
      </c>
      <c r="V1559" s="33">
        <v>1</v>
      </c>
      <c r="AG1559" s="31">
        <v>0.5</v>
      </c>
      <c r="AH1559" t="s">
        <v>285</v>
      </c>
    </row>
    <row r="1560" spans="1:34">
      <c r="A1560" s="15" t="s">
        <v>1635</v>
      </c>
      <c r="B1560" s="8" t="s">
        <v>1555</v>
      </c>
      <c r="C1560" s="41" t="s">
        <v>37</v>
      </c>
      <c r="D1560" s="1" t="s">
        <v>38</v>
      </c>
      <c r="E1560" s="26" t="s">
        <v>39</v>
      </c>
      <c r="F1560" s="27">
        <v>1</v>
      </c>
      <c r="G1560" s="33">
        <v>1</v>
      </c>
      <c r="H1560" s="41"/>
      <c r="I1560" s="1"/>
      <c r="J1560" s="26"/>
      <c r="K1560" s="27"/>
      <c r="L1560" s="27"/>
      <c r="M1560" s="70"/>
      <c r="N1560" s="1"/>
      <c r="O1560" s="26"/>
      <c r="P1560" s="27"/>
      <c r="Q1560" s="27"/>
      <c r="R1560" s="55" t="s">
        <v>242</v>
      </c>
      <c r="S1560" s="26" t="s">
        <v>38</v>
      </c>
      <c r="T1560" s="26" t="s">
        <v>39</v>
      </c>
      <c r="U1560" s="27">
        <v>0.84745762711864414</v>
      </c>
      <c r="V1560" s="33">
        <v>1</v>
      </c>
      <c r="AG1560" s="31">
        <v>0.5</v>
      </c>
      <c r="AH1560" t="s">
        <v>285</v>
      </c>
    </row>
    <row r="1561" spans="1:34">
      <c r="A1561" s="15" t="s">
        <v>1636</v>
      </c>
      <c r="B1561" s="8" t="s">
        <v>1555</v>
      </c>
      <c r="C1561" s="41" t="s">
        <v>37</v>
      </c>
      <c r="D1561" s="1" t="s">
        <v>38</v>
      </c>
      <c r="E1561" s="26" t="s">
        <v>39</v>
      </c>
      <c r="F1561" s="27">
        <v>1</v>
      </c>
      <c r="G1561" s="33">
        <v>1</v>
      </c>
      <c r="H1561" s="41"/>
      <c r="I1561" s="1"/>
      <c r="J1561" s="26"/>
      <c r="K1561" s="27"/>
      <c r="L1561" s="27"/>
      <c r="M1561" s="70"/>
      <c r="N1561" s="1"/>
      <c r="O1561" s="26"/>
      <c r="P1561" s="27"/>
      <c r="Q1561" s="27"/>
      <c r="R1561" s="55" t="s">
        <v>242</v>
      </c>
      <c r="S1561" s="26" t="s">
        <v>38</v>
      </c>
      <c r="T1561" s="26" t="s">
        <v>39</v>
      </c>
      <c r="U1561" s="27">
        <v>0.84745762711864414</v>
      </c>
      <c r="V1561" s="33">
        <v>1</v>
      </c>
      <c r="AG1561" s="31">
        <v>0.5</v>
      </c>
      <c r="AH1561" t="s">
        <v>285</v>
      </c>
    </row>
    <row r="1562" spans="1:34">
      <c r="A1562" s="15" t="s">
        <v>1637</v>
      </c>
      <c r="B1562" s="8" t="s">
        <v>1555</v>
      </c>
      <c r="C1562" s="41" t="s">
        <v>37</v>
      </c>
      <c r="D1562" s="1" t="s">
        <v>38</v>
      </c>
      <c r="E1562" s="26" t="s">
        <v>39</v>
      </c>
      <c r="F1562" s="27">
        <v>1</v>
      </c>
      <c r="G1562" s="33">
        <v>1</v>
      </c>
      <c r="H1562" s="41"/>
      <c r="I1562" s="1"/>
      <c r="J1562" s="26"/>
      <c r="K1562" s="27"/>
      <c r="L1562" s="27"/>
      <c r="M1562" s="70"/>
      <c r="N1562" s="1"/>
      <c r="O1562" s="26"/>
      <c r="P1562" s="27"/>
      <c r="Q1562" s="27"/>
      <c r="R1562" s="55" t="s">
        <v>242</v>
      </c>
      <c r="S1562" s="26" t="s">
        <v>38</v>
      </c>
      <c r="T1562" s="26" t="s">
        <v>39</v>
      </c>
      <c r="U1562" s="27">
        <v>0.84745762711864414</v>
      </c>
      <c r="V1562" s="33">
        <v>1</v>
      </c>
      <c r="AG1562" s="31">
        <v>0.5</v>
      </c>
      <c r="AH1562" t="s">
        <v>285</v>
      </c>
    </row>
    <row r="1563" spans="1:34">
      <c r="A1563" s="16" t="s">
        <v>1638</v>
      </c>
      <c r="B1563" s="8" t="s">
        <v>1555</v>
      </c>
      <c r="C1563" s="41" t="s">
        <v>37</v>
      </c>
      <c r="D1563" s="1" t="s">
        <v>38</v>
      </c>
      <c r="E1563" s="26" t="s">
        <v>39</v>
      </c>
      <c r="F1563" s="27">
        <v>1</v>
      </c>
      <c r="G1563" s="33">
        <v>1</v>
      </c>
      <c r="H1563" s="41"/>
      <c r="I1563" s="1"/>
      <c r="J1563" s="26"/>
      <c r="K1563" s="27"/>
      <c r="L1563" s="27"/>
      <c r="M1563" s="70"/>
      <c r="N1563" s="1"/>
      <c r="O1563" s="26"/>
      <c r="P1563" s="27"/>
      <c r="Q1563" s="27"/>
      <c r="R1563" s="55" t="s">
        <v>242</v>
      </c>
      <c r="S1563" s="26" t="s">
        <v>38</v>
      </c>
      <c r="T1563" s="26" t="s">
        <v>39</v>
      </c>
      <c r="U1563" s="27">
        <v>0.84745762711864414</v>
      </c>
      <c r="V1563" s="33">
        <v>1</v>
      </c>
      <c r="AG1563" s="31">
        <v>0.5</v>
      </c>
      <c r="AH1563" t="s">
        <v>285</v>
      </c>
    </row>
    <row r="1564" spans="1:34" s="6" customFormat="1">
      <c r="A1564" s="15" t="s">
        <v>1639</v>
      </c>
      <c r="B1564" s="9" t="s">
        <v>1640</v>
      </c>
      <c r="C1564" s="45" t="s">
        <v>160</v>
      </c>
      <c r="D1564" s="46" t="s">
        <v>38</v>
      </c>
      <c r="E1564" s="47" t="s">
        <v>39</v>
      </c>
      <c r="F1564" s="48">
        <v>0.81300813008130079</v>
      </c>
      <c r="G1564" s="49">
        <v>1</v>
      </c>
      <c r="H1564" s="47"/>
      <c r="I1564" s="47"/>
      <c r="J1564" s="47"/>
      <c r="K1564" s="48"/>
      <c r="L1564" s="48"/>
      <c r="M1564" s="72"/>
      <c r="N1564" s="47"/>
      <c r="O1564" s="47"/>
      <c r="P1564" s="48"/>
      <c r="Q1564" s="50"/>
      <c r="R1564" s="54" t="s">
        <v>161</v>
      </c>
      <c r="S1564" s="47" t="s">
        <v>38</v>
      </c>
      <c r="T1564" s="47" t="s">
        <v>39</v>
      </c>
      <c r="U1564" s="48">
        <v>0.83333333333333337</v>
      </c>
      <c r="V1564" s="49">
        <v>1</v>
      </c>
      <c r="W1564" s="28"/>
      <c r="X1564" s="28"/>
      <c r="Y1564" s="28"/>
      <c r="Z1564" s="29"/>
      <c r="AA1564" s="28"/>
      <c r="AB1564" s="74"/>
      <c r="AC1564" s="28"/>
      <c r="AD1564" s="28"/>
      <c r="AE1564" s="28"/>
      <c r="AF1564" s="39"/>
      <c r="AG1564" s="29">
        <v>0</v>
      </c>
      <c r="AH1564" s="6" t="s">
        <v>44</v>
      </c>
    </row>
    <row r="1565" spans="1:34">
      <c r="A1565" s="15" t="s">
        <v>1641</v>
      </c>
      <c r="B1565" s="8" t="s">
        <v>1640</v>
      </c>
      <c r="C1565" s="41" t="s">
        <v>160</v>
      </c>
      <c r="D1565" s="1" t="s">
        <v>38</v>
      </c>
      <c r="E1565" s="26" t="s">
        <v>39</v>
      </c>
      <c r="F1565" s="27">
        <v>0.81300813008130079</v>
      </c>
      <c r="G1565" s="33">
        <v>1</v>
      </c>
      <c r="R1565" s="55" t="s">
        <v>161</v>
      </c>
      <c r="S1565" s="26" t="s">
        <v>38</v>
      </c>
      <c r="T1565" s="26" t="s">
        <v>39</v>
      </c>
      <c r="U1565" s="27">
        <v>0.83333333333333337</v>
      </c>
      <c r="V1565" s="33">
        <v>1</v>
      </c>
      <c r="AG1565" s="31">
        <v>0</v>
      </c>
      <c r="AH1565" t="s">
        <v>44</v>
      </c>
    </row>
    <row r="1566" spans="1:34">
      <c r="A1566" s="15" t="s">
        <v>1642</v>
      </c>
      <c r="B1566" s="8" t="s">
        <v>1640</v>
      </c>
      <c r="C1566" s="41" t="s">
        <v>160</v>
      </c>
      <c r="D1566" s="1" t="s">
        <v>38</v>
      </c>
      <c r="E1566" s="26" t="s">
        <v>39</v>
      </c>
      <c r="F1566" s="27">
        <v>0.81300813008130079</v>
      </c>
      <c r="G1566" s="33">
        <v>1</v>
      </c>
      <c r="R1566" s="55" t="s">
        <v>161</v>
      </c>
      <c r="S1566" s="26" t="s">
        <v>38</v>
      </c>
      <c r="T1566" s="26" t="s">
        <v>39</v>
      </c>
      <c r="U1566" s="27">
        <v>0.83333333333333337</v>
      </c>
      <c r="V1566" s="33">
        <v>1</v>
      </c>
      <c r="AG1566" s="31">
        <v>0</v>
      </c>
      <c r="AH1566" t="s">
        <v>44</v>
      </c>
    </row>
    <row r="1567" spans="1:34">
      <c r="A1567" s="15" t="s">
        <v>1643</v>
      </c>
      <c r="B1567" s="8" t="s">
        <v>1640</v>
      </c>
      <c r="C1567" s="41" t="s">
        <v>160</v>
      </c>
      <c r="D1567" s="1" t="s">
        <v>38</v>
      </c>
      <c r="E1567" s="26" t="s">
        <v>39</v>
      </c>
      <c r="F1567" s="27">
        <v>0.81300813008130079</v>
      </c>
      <c r="G1567" s="33">
        <v>1</v>
      </c>
      <c r="R1567" s="55" t="s">
        <v>161</v>
      </c>
      <c r="S1567" s="26" t="s">
        <v>38</v>
      </c>
      <c r="T1567" s="26" t="s">
        <v>39</v>
      </c>
      <c r="U1567" s="27">
        <v>0.83333333333333337</v>
      </c>
      <c r="V1567" s="33">
        <v>1</v>
      </c>
      <c r="AG1567" s="31">
        <v>0</v>
      </c>
      <c r="AH1567" t="s">
        <v>44</v>
      </c>
    </row>
    <row r="1568" spans="1:34">
      <c r="A1568" s="15" t="s">
        <v>1644</v>
      </c>
      <c r="B1568" s="8" t="s">
        <v>1640</v>
      </c>
      <c r="C1568" s="41" t="s">
        <v>160</v>
      </c>
      <c r="D1568" s="1" t="s">
        <v>38</v>
      </c>
      <c r="E1568" s="26" t="s">
        <v>39</v>
      </c>
      <c r="F1568" s="27">
        <v>0.81300813008130079</v>
      </c>
      <c r="G1568" s="33">
        <v>1</v>
      </c>
      <c r="R1568" s="55" t="s">
        <v>161</v>
      </c>
      <c r="S1568" s="26" t="s">
        <v>38</v>
      </c>
      <c r="T1568" s="26" t="s">
        <v>39</v>
      </c>
      <c r="U1568" s="27">
        <v>0.83333333333333337</v>
      </c>
      <c r="V1568" s="33">
        <v>1</v>
      </c>
      <c r="AG1568" s="31">
        <v>0</v>
      </c>
      <c r="AH1568" t="s">
        <v>44</v>
      </c>
    </row>
    <row r="1569" spans="1:34">
      <c r="A1569" s="15" t="s">
        <v>1645</v>
      </c>
      <c r="B1569" s="8" t="s">
        <v>1640</v>
      </c>
      <c r="C1569" s="41" t="s">
        <v>160</v>
      </c>
      <c r="D1569" s="1" t="s">
        <v>38</v>
      </c>
      <c r="E1569" s="26" t="s">
        <v>39</v>
      </c>
      <c r="F1569" s="27">
        <v>0.81300813008130079</v>
      </c>
      <c r="G1569" s="33">
        <v>1</v>
      </c>
      <c r="R1569" s="55" t="s">
        <v>161</v>
      </c>
      <c r="S1569" s="26" t="s">
        <v>38</v>
      </c>
      <c r="T1569" s="26" t="s">
        <v>39</v>
      </c>
      <c r="U1569" s="27">
        <v>0.83333333333333337</v>
      </c>
      <c r="V1569" s="33">
        <v>1</v>
      </c>
      <c r="AG1569" s="31">
        <v>0</v>
      </c>
      <c r="AH1569" t="s">
        <v>44</v>
      </c>
    </row>
    <row r="1570" spans="1:34">
      <c r="A1570" s="15" t="s">
        <v>1646</v>
      </c>
      <c r="B1570" s="8" t="s">
        <v>1640</v>
      </c>
      <c r="C1570" s="41" t="s">
        <v>160</v>
      </c>
      <c r="D1570" s="1" t="s">
        <v>38</v>
      </c>
      <c r="E1570" s="26" t="s">
        <v>39</v>
      </c>
      <c r="F1570" s="27">
        <v>0.81300813008130079</v>
      </c>
      <c r="G1570" s="33">
        <v>1</v>
      </c>
      <c r="R1570" s="55" t="s">
        <v>161</v>
      </c>
      <c r="S1570" s="26" t="s">
        <v>38</v>
      </c>
      <c r="T1570" s="26" t="s">
        <v>39</v>
      </c>
      <c r="U1570" s="27">
        <v>0.83333333333333337</v>
      </c>
      <c r="V1570" s="33">
        <v>1</v>
      </c>
      <c r="AG1570" s="31">
        <v>0</v>
      </c>
      <c r="AH1570" t="s">
        <v>44</v>
      </c>
    </row>
    <row r="1571" spans="1:34">
      <c r="A1571" s="15" t="s">
        <v>1647</v>
      </c>
      <c r="B1571" s="8" t="s">
        <v>1640</v>
      </c>
      <c r="C1571" s="41" t="s">
        <v>160</v>
      </c>
      <c r="D1571" s="1" t="s">
        <v>38</v>
      </c>
      <c r="E1571" s="26" t="s">
        <v>39</v>
      </c>
      <c r="F1571" s="27">
        <v>0.81300813008130079</v>
      </c>
      <c r="G1571" s="33">
        <v>1</v>
      </c>
      <c r="R1571" s="55" t="s">
        <v>161</v>
      </c>
      <c r="S1571" s="26" t="s">
        <v>38</v>
      </c>
      <c r="T1571" s="26" t="s">
        <v>39</v>
      </c>
      <c r="U1571" s="27">
        <v>0.83333333333333337</v>
      </c>
      <c r="V1571" s="33">
        <v>1</v>
      </c>
      <c r="AG1571" s="31">
        <v>0</v>
      </c>
      <c r="AH1571" t="s">
        <v>44</v>
      </c>
    </row>
    <row r="1572" spans="1:34">
      <c r="A1572" s="15" t="s">
        <v>1648</v>
      </c>
      <c r="B1572" s="8" t="s">
        <v>1640</v>
      </c>
      <c r="C1572" s="41" t="s">
        <v>160</v>
      </c>
      <c r="D1572" s="1" t="s">
        <v>38</v>
      </c>
      <c r="E1572" s="26" t="s">
        <v>39</v>
      </c>
      <c r="F1572" s="27">
        <v>0.81300813008130079</v>
      </c>
      <c r="G1572" s="33">
        <v>1</v>
      </c>
      <c r="R1572" s="55" t="s">
        <v>161</v>
      </c>
      <c r="S1572" s="26" t="s">
        <v>38</v>
      </c>
      <c r="T1572" s="26" t="s">
        <v>39</v>
      </c>
      <c r="U1572" s="27">
        <v>0.83333333333333337</v>
      </c>
      <c r="V1572" s="33">
        <v>1</v>
      </c>
      <c r="AG1572" s="31">
        <v>0</v>
      </c>
      <c r="AH1572" t="s">
        <v>44</v>
      </c>
    </row>
    <row r="1573" spans="1:34">
      <c r="A1573" s="15" t="s">
        <v>1649</v>
      </c>
      <c r="B1573" s="8" t="s">
        <v>1640</v>
      </c>
      <c r="C1573" s="41" t="s">
        <v>160</v>
      </c>
      <c r="D1573" s="1" t="s">
        <v>38</v>
      </c>
      <c r="E1573" s="26" t="s">
        <v>39</v>
      </c>
      <c r="F1573" s="27">
        <v>0.81300813008130079</v>
      </c>
      <c r="G1573" s="33">
        <v>1</v>
      </c>
      <c r="R1573" s="55" t="s">
        <v>161</v>
      </c>
      <c r="S1573" s="26" t="s">
        <v>38</v>
      </c>
      <c r="T1573" s="26" t="s">
        <v>39</v>
      </c>
      <c r="U1573" s="27">
        <v>0.83333333333333337</v>
      </c>
      <c r="V1573" s="33">
        <v>1</v>
      </c>
      <c r="AG1573" s="31">
        <v>0</v>
      </c>
      <c r="AH1573" t="s">
        <v>44</v>
      </c>
    </row>
    <row r="1574" spans="1:34">
      <c r="A1574" s="15" t="s">
        <v>1650</v>
      </c>
      <c r="B1574" s="8" t="s">
        <v>1640</v>
      </c>
      <c r="C1574" s="41" t="s">
        <v>160</v>
      </c>
      <c r="D1574" s="1" t="s">
        <v>38</v>
      </c>
      <c r="E1574" s="26" t="s">
        <v>39</v>
      </c>
      <c r="F1574" s="27">
        <v>0.81300813008130079</v>
      </c>
      <c r="G1574" s="33">
        <v>1</v>
      </c>
      <c r="R1574" s="55" t="s">
        <v>161</v>
      </c>
      <c r="S1574" s="26" t="s">
        <v>38</v>
      </c>
      <c r="T1574" s="26" t="s">
        <v>39</v>
      </c>
      <c r="U1574" s="27">
        <v>0.83333333333333337</v>
      </c>
      <c r="V1574" s="33">
        <v>1</v>
      </c>
      <c r="AG1574" s="31">
        <v>0</v>
      </c>
      <c r="AH1574" t="s">
        <v>44</v>
      </c>
    </row>
    <row r="1575" spans="1:34">
      <c r="A1575" s="15" t="s">
        <v>1651</v>
      </c>
      <c r="B1575" s="8" t="s">
        <v>1640</v>
      </c>
      <c r="C1575" s="41" t="s">
        <v>160</v>
      </c>
      <c r="D1575" s="1" t="s">
        <v>38</v>
      </c>
      <c r="E1575" s="26" t="s">
        <v>39</v>
      </c>
      <c r="F1575" s="27">
        <v>0.81300813008130079</v>
      </c>
      <c r="G1575" s="33">
        <v>1</v>
      </c>
      <c r="R1575" s="55" t="s">
        <v>161</v>
      </c>
      <c r="S1575" s="26" t="s">
        <v>38</v>
      </c>
      <c r="T1575" s="26" t="s">
        <v>39</v>
      </c>
      <c r="U1575" s="27">
        <v>0.83333333333333337</v>
      </c>
      <c r="V1575" s="33">
        <v>1</v>
      </c>
      <c r="AG1575" s="31">
        <v>0</v>
      </c>
      <c r="AH1575" t="s">
        <v>44</v>
      </c>
    </row>
    <row r="1576" spans="1:34">
      <c r="A1576" s="15" t="s">
        <v>1652</v>
      </c>
      <c r="B1576" s="8" t="s">
        <v>1640</v>
      </c>
      <c r="C1576" s="41" t="s">
        <v>160</v>
      </c>
      <c r="D1576" s="1" t="s">
        <v>38</v>
      </c>
      <c r="E1576" s="26" t="s">
        <v>39</v>
      </c>
      <c r="F1576" s="27">
        <v>0.81300813008130079</v>
      </c>
      <c r="G1576" s="33">
        <v>1</v>
      </c>
      <c r="R1576" s="55" t="s">
        <v>161</v>
      </c>
      <c r="S1576" s="26" t="s">
        <v>38</v>
      </c>
      <c r="T1576" s="26" t="s">
        <v>39</v>
      </c>
      <c r="U1576" s="27">
        <v>0.83333333333333337</v>
      </c>
      <c r="V1576" s="33">
        <v>1</v>
      </c>
      <c r="AG1576" s="31">
        <v>0</v>
      </c>
      <c r="AH1576" t="s">
        <v>44</v>
      </c>
    </row>
    <row r="1577" spans="1:34">
      <c r="A1577" s="15" t="s">
        <v>1653</v>
      </c>
      <c r="B1577" s="8" t="s">
        <v>1640</v>
      </c>
      <c r="C1577" s="41" t="s">
        <v>160</v>
      </c>
      <c r="D1577" s="1" t="s">
        <v>38</v>
      </c>
      <c r="E1577" s="26" t="s">
        <v>39</v>
      </c>
      <c r="F1577" s="27">
        <v>0.81300813008130079</v>
      </c>
      <c r="G1577" s="33">
        <v>1</v>
      </c>
      <c r="R1577" s="55" t="s">
        <v>161</v>
      </c>
      <c r="S1577" s="26" t="s">
        <v>38</v>
      </c>
      <c r="T1577" s="26" t="s">
        <v>39</v>
      </c>
      <c r="U1577" s="27">
        <v>0.83333333333333337</v>
      </c>
      <c r="V1577" s="33">
        <v>1</v>
      </c>
      <c r="AG1577" s="31">
        <v>0</v>
      </c>
      <c r="AH1577" t="s">
        <v>44</v>
      </c>
    </row>
    <row r="1578" spans="1:34">
      <c r="A1578" s="15" t="s">
        <v>1654</v>
      </c>
      <c r="B1578" s="8" t="s">
        <v>1640</v>
      </c>
      <c r="C1578" s="41" t="s">
        <v>160</v>
      </c>
      <c r="D1578" s="1" t="s">
        <v>38</v>
      </c>
      <c r="E1578" s="26" t="s">
        <v>39</v>
      </c>
      <c r="F1578" s="27">
        <v>0.81300813008130079</v>
      </c>
      <c r="G1578" s="33">
        <v>1</v>
      </c>
      <c r="R1578" s="55" t="s">
        <v>161</v>
      </c>
      <c r="S1578" s="26" t="s">
        <v>38</v>
      </c>
      <c r="T1578" s="26" t="s">
        <v>39</v>
      </c>
      <c r="U1578" s="27">
        <v>0.83333333333333337</v>
      </c>
      <c r="V1578" s="33">
        <v>1</v>
      </c>
      <c r="AG1578" s="31">
        <v>0</v>
      </c>
      <c r="AH1578" t="s">
        <v>44</v>
      </c>
    </row>
    <row r="1579" spans="1:34">
      <c r="A1579" s="15" t="s">
        <v>1655</v>
      </c>
      <c r="B1579" s="8" t="s">
        <v>1640</v>
      </c>
      <c r="C1579" s="41" t="s">
        <v>160</v>
      </c>
      <c r="D1579" s="1" t="s">
        <v>38</v>
      </c>
      <c r="E1579" s="26" t="s">
        <v>39</v>
      </c>
      <c r="F1579" s="27">
        <v>0.81300813008130079</v>
      </c>
      <c r="G1579" s="33">
        <v>1</v>
      </c>
      <c r="R1579" s="55" t="s">
        <v>161</v>
      </c>
      <c r="S1579" s="26" t="s">
        <v>38</v>
      </c>
      <c r="T1579" s="26" t="s">
        <v>39</v>
      </c>
      <c r="U1579" s="27">
        <v>0.83333333333333337</v>
      </c>
      <c r="V1579" s="33">
        <v>1</v>
      </c>
      <c r="AG1579" s="31">
        <v>0</v>
      </c>
      <c r="AH1579" t="s">
        <v>44</v>
      </c>
    </row>
    <row r="1580" spans="1:34">
      <c r="A1580" s="15" t="s">
        <v>1656</v>
      </c>
      <c r="B1580" s="8" t="s">
        <v>1640</v>
      </c>
      <c r="C1580" s="41" t="s">
        <v>160</v>
      </c>
      <c r="D1580" s="1" t="s">
        <v>38</v>
      </c>
      <c r="E1580" s="26" t="s">
        <v>39</v>
      </c>
      <c r="F1580" s="27">
        <v>0.81300813008130079</v>
      </c>
      <c r="G1580" s="33">
        <v>1</v>
      </c>
      <c r="R1580" s="55" t="s">
        <v>161</v>
      </c>
      <c r="S1580" s="26" t="s">
        <v>38</v>
      </c>
      <c r="T1580" s="26" t="s">
        <v>39</v>
      </c>
      <c r="U1580" s="27">
        <v>0.83333333333333337</v>
      </c>
      <c r="V1580" s="33">
        <v>1</v>
      </c>
      <c r="AG1580" s="31">
        <v>0</v>
      </c>
      <c r="AH1580" t="s">
        <v>44</v>
      </c>
    </row>
    <row r="1581" spans="1:34">
      <c r="A1581" s="15" t="s">
        <v>1657</v>
      </c>
      <c r="B1581" s="8" t="s">
        <v>1640</v>
      </c>
      <c r="C1581" s="41" t="s">
        <v>160</v>
      </c>
      <c r="D1581" s="1" t="s">
        <v>38</v>
      </c>
      <c r="E1581" s="26" t="s">
        <v>39</v>
      </c>
      <c r="F1581" s="27">
        <v>0.81300813008130079</v>
      </c>
      <c r="G1581" s="33">
        <v>1</v>
      </c>
      <c r="R1581" s="55" t="s">
        <v>161</v>
      </c>
      <c r="S1581" s="26" t="s">
        <v>38</v>
      </c>
      <c r="T1581" s="26" t="s">
        <v>39</v>
      </c>
      <c r="U1581" s="27">
        <v>0.83333333333333337</v>
      </c>
      <c r="V1581" s="33">
        <v>1</v>
      </c>
      <c r="AG1581" s="31">
        <v>0</v>
      </c>
      <c r="AH1581" t="s">
        <v>44</v>
      </c>
    </row>
    <row r="1582" spans="1:34">
      <c r="A1582" s="15" t="s">
        <v>1658</v>
      </c>
      <c r="B1582" s="8" t="s">
        <v>1640</v>
      </c>
      <c r="C1582" s="41" t="s">
        <v>160</v>
      </c>
      <c r="D1582" s="1" t="s">
        <v>38</v>
      </c>
      <c r="E1582" s="26" t="s">
        <v>39</v>
      </c>
      <c r="F1582" s="27">
        <v>0.81300813008130079</v>
      </c>
      <c r="G1582" s="33">
        <v>1</v>
      </c>
      <c r="R1582" s="55" t="s">
        <v>161</v>
      </c>
      <c r="S1582" s="26" t="s">
        <v>38</v>
      </c>
      <c r="T1582" s="26" t="s">
        <v>39</v>
      </c>
      <c r="U1582" s="27">
        <v>0.83333333333333337</v>
      </c>
      <c r="V1582" s="33">
        <v>1</v>
      </c>
      <c r="AG1582" s="31">
        <v>0</v>
      </c>
      <c r="AH1582" t="s">
        <v>44</v>
      </c>
    </row>
    <row r="1583" spans="1:34">
      <c r="A1583" s="15" t="s">
        <v>1659</v>
      </c>
      <c r="B1583" s="8" t="s">
        <v>1640</v>
      </c>
      <c r="C1583" s="41" t="s">
        <v>160</v>
      </c>
      <c r="D1583" s="1" t="s">
        <v>38</v>
      </c>
      <c r="E1583" s="26" t="s">
        <v>39</v>
      </c>
      <c r="F1583" s="27">
        <v>0.81300813008130079</v>
      </c>
      <c r="G1583" s="33">
        <v>1</v>
      </c>
      <c r="R1583" s="55" t="s">
        <v>161</v>
      </c>
      <c r="S1583" s="26" t="s">
        <v>38</v>
      </c>
      <c r="T1583" s="26" t="s">
        <v>39</v>
      </c>
      <c r="U1583" s="27">
        <v>0.83333333333333337</v>
      </c>
      <c r="V1583" s="33">
        <v>1</v>
      </c>
      <c r="AG1583" s="31">
        <v>0</v>
      </c>
      <c r="AH1583" t="s">
        <v>44</v>
      </c>
    </row>
    <row r="1584" spans="1:34">
      <c r="A1584" s="15" t="s">
        <v>1660</v>
      </c>
      <c r="B1584" s="8" t="s">
        <v>1640</v>
      </c>
      <c r="C1584" s="41" t="s">
        <v>160</v>
      </c>
      <c r="D1584" s="1" t="s">
        <v>38</v>
      </c>
      <c r="E1584" s="26" t="s">
        <v>39</v>
      </c>
      <c r="F1584" s="27">
        <v>0.81300813008130079</v>
      </c>
      <c r="G1584" s="33">
        <v>1</v>
      </c>
      <c r="R1584" s="55" t="s">
        <v>161</v>
      </c>
      <c r="S1584" s="26" t="s">
        <v>38</v>
      </c>
      <c r="T1584" s="26" t="s">
        <v>39</v>
      </c>
      <c r="U1584" s="27">
        <v>0.83333333333333337</v>
      </c>
      <c r="V1584" s="33">
        <v>1</v>
      </c>
      <c r="AG1584" s="31">
        <v>0</v>
      </c>
      <c r="AH1584" t="s">
        <v>44</v>
      </c>
    </row>
    <row r="1585" spans="1:34">
      <c r="A1585" s="15" t="s">
        <v>1661</v>
      </c>
      <c r="B1585" s="8" t="s">
        <v>1640</v>
      </c>
      <c r="C1585" s="41" t="s">
        <v>160</v>
      </c>
      <c r="D1585" s="1" t="s">
        <v>38</v>
      </c>
      <c r="E1585" s="26" t="s">
        <v>39</v>
      </c>
      <c r="F1585" s="27">
        <v>0.81300813008130079</v>
      </c>
      <c r="G1585" s="33">
        <v>1</v>
      </c>
      <c r="R1585" s="55" t="s">
        <v>161</v>
      </c>
      <c r="S1585" s="26" t="s">
        <v>38</v>
      </c>
      <c r="T1585" s="26" t="s">
        <v>39</v>
      </c>
      <c r="U1585" s="27">
        <v>0.83333333333333337</v>
      </c>
      <c r="V1585" s="33">
        <v>1</v>
      </c>
      <c r="AG1585" s="31">
        <v>1</v>
      </c>
      <c r="AH1585" t="s">
        <v>73</v>
      </c>
    </row>
    <row r="1586" spans="1:34">
      <c r="A1586" s="15" t="s">
        <v>1662</v>
      </c>
      <c r="B1586" s="8" t="s">
        <v>1640</v>
      </c>
      <c r="C1586" s="41" t="s">
        <v>160</v>
      </c>
      <c r="D1586" s="1" t="s">
        <v>38</v>
      </c>
      <c r="E1586" s="26" t="s">
        <v>39</v>
      </c>
      <c r="F1586" s="27">
        <v>0.81300813008130079</v>
      </c>
      <c r="G1586" s="33">
        <v>1</v>
      </c>
      <c r="R1586" s="55" t="s">
        <v>161</v>
      </c>
      <c r="S1586" s="26" t="s">
        <v>38</v>
      </c>
      <c r="T1586" s="26" t="s">
        <v>39</v>
      </c>
      <c r="U1586" s="27">
        <v>0.83333333333333337</v>
      </c>
      <c r="V1586" s="33">
        <v>1</v>
      </c>
      <c r="AG1586" s="31">
        <v>1</v>
      </c>
      <c r="AH1586" t="s">
        <v>73</v>
      </c>
    </row>
    <row r="1587" spans="1:34">
      <c r="A1587" s="15" t="s">
        <v>1663</v>
      </c>
      <c r="B1587" s="8" t="s">
        <v>1640</v>
      </c>
      <c r="C1587" s="41" t="s">
        <v>160</v>
      </c>
      <c r="D1587" s="1" t="s">
        <v>38</v>
      </c>
      <c r="E1587" s="26" t="s">
        <v>39</v>
      </c>
      <c r="F1587" s="27">
        <v>0.81300813008130079</v>
      </c>
      <c r="G1587" s="33">
        <v>1</v>
      </c>
      <c r="R1587" s="55" t="s">
        <v>161</v>
      </c>
      <c r="S1587" s="26" t="s">
        <v>38</v>
      </c>
      <c r="T1587" s="26" t="s">
        <v>39</v>
      </c>
      <c r="U1587" s="27">
        <v>0.83333333333333337</v>
      </c>
      <c r="V1587" s="33">
        <v>1</v>
      </c>
      <c r="AG1587" s="31">
        <v>1</v>
      </c>
      <c r="AH1587" t="s">
        <v>73</v>
      </c>
    </row>
    <row r="1588" spans="1:34">
      <c r="A1588" s="15" t="s">
        <v>1664</v>
      </c>
      <c r="B1588" s="8" t="s">
        <v>1640</v>
      </c>
      <c r="C1588" s="41" t="s">
        <v>160</v>
      </c>
      <c r="D1588" s="1" t="s">
        <v>38</v>
      </c>
      <c r="E1588" s="26" t="s">
        <v>39</v>
      </c>
      <c r="F1588" s="27">
        <v>0.81300813008130079</v>
      </c>
      <c r="G1588" s="33">
        <v>1</v>
      </c>
      <c r="R1588" s="55" t="s">
        <v>161</v>
      </c>
      <c r="S1588" s="26" t="s">
        <v>38</v>
      </c>
      <c r="T1588" s="26" t="s">
        <v>39</v>
      </c>
      <c r="U1588" s="27">
        <v>0.83333333333333337</v>
      </c>
      <c r="V1588" s="33">
        <v>1</v>
      </c>
      <c r="AG1588" s="31">
        <v>1</v>
      </c>
      <c r="AH1588" t="s">
        <v>73</v>
      </c>
    </row>
    <row r="1589" spans="1:34">
      <c r="A1589" s="15" t="s">
        <v>1665</v>
      </c>
      <c r="B1589" s="8" t="s">
        <v>1640</v>
      </c>
      <c r="C1589" s="41" t="s">
        <v>160</v>
      </c>
      <c r="D1589" s="1" t="s">
        <v>38</v>
      </c>
      <c r="E1589" s="26" t="s">
        <v>39</v>
      </c>
      <c r="F1589" s="27">
        <v>0.81300813008130079</v>
      </c>
      <c r="G1589" s="33">
        <v>1</v>
      </c>
      <c r="R1589" s="55" t="s">
        <v>161</v>
      </c>
      <c r="S1589" s="26" t="s">
        <v>38</v>
      </c>
      <c r="T1589" s="26" t="s">
        <v>39</v>
      </c>
      <c r="U1589" s="27">
        <v>0.83333333333333337</v>
      </c>
      <c r="V1589" s="33">
        <v>1</v>
      </c>
      <c r="AG1589" s="31">
        <v>1</v>
      </c>
      <c r="AH1589" t="s">
        <v>73</v>
      </c>
    </row>
    <row r="1590" spans="1:34">
      <c r="A1590" s="15" t="s">
        <v>1666</v>
      </c>
      <c r="B1590" s="8" t="s">
        <v>1640</v>
      </c>
      <c r="C1590" s="41" t="s">
        <v>160</v>
      </c>
      <c r="D1590" s="1" t="s">
        <v>38</v>
      </c>
      <c r="E1590" s="26" t="s">
        <v>39</v>
      </c>
      <c r="F1590" s="27">
        <v>0.81300813008130079</v>
      </c>
      <c r="G1590" s="33">
        <v>1</v>
      </c>
      <c r="R1590" s="55" t="s">
        <v>161</v>
      </c>
      <c r="S1590" s="26" t="s">
        <v>38</v>
      </c>
      <c r="T1590" s="26" t="s">
        <v>39</v>
      </c>
      <c r="U1590" s="27">
        <v>0.83333333333333337</v>
      </c>
      <c r="V1590" s="33">
        <v>1</v>
      </c>
      <c r="AG1590" s="31">
        <v>1</v>
      </c>
      <c r="AH1590" t="s">
        <v>73</v>
      </c>
    </row>
    <row r="1591" spans="1:34">
      <c r="A1591" s="15" t="s">
        <v>1667</v>
      </c>
      <c r="B1591" s="8" t="s">
        <v>1640</v>
      </c>
      <c r="C1591" s="41" t="s">
        <v>160</v>
      </c>
      <c r="D1591" s="1" t="s">
        <v>38</v>
      </c>
      <c r="E1591" s="26" t="s">
        <v>39</v>
      </c>
      <c r="F1591" s="27">
        <v>0.81300813008130079</v>
      </c>
      <c r="G1591" s="33">
        <v>1</v>
      </c>
      <c r="R1591" s="55" t="s">
        <v>161</v>
      </c>
      <c r="S1591" s="26" t="s">
        <v>38</v>
      </c>
      <c r="T1591" s="26" t="s">
        <v>39</v>
      </c>
      <c r="U1591" s="27">
        <v>0.83333333333333337</v>
      </c>
      <c r="V1591" s="33">
        <v>1</v>
      </c>
      <c r="AG1591" s="31">
        <v>1</v>
      </c>
      <c r="AH1591" t="s">
        <v>73</v>
      </c>
    </row>
    <row r="1592" spans="1:34">
      <c r="A1592" s="15" t="s">
        <v>1668</v>
      </c>
      <c r="B1592" s="8" t="s">
        <v>1640</v>
      </c>
      <c r="C1592" s="41" t="s">
        <v>160</v>
      </c>
      <c r="D1592" s="1" t="s">
        <v>38</v>
      </c>
      <c r="E1592" s="26" t="s">
        <v>39</v>
      </c>
      <c r="F1592" s="27">
        <v>0.81300813008130079</v>
      </c>
      <c r="G1592" s="33">
        <v>1</v>
      </c>
      <c r="R1592" s="55" t="s">
        <v>161</v>
      </c>
      <c r="S1592" s="26" t="s">
        <v>38</v>
      </c>
      <c r="T1592" s="26" t="s">
        <v>39</v>
      </c>
      <c r="U1592" s="27">
        <v>0.83333333333333337</v>
      </c>
      <c r="V1592" s="33">
        <v>1</v>
      </c>
      <c r="AG1592" s="31">
        <v>0</v>
      </c>
      <c r="AH1592" t="s">
        <v>44</v>
      </c>
    </row>
    <row r="1593" spans="1:34">
      <c r="A1593" s="15" t="s">
        <v>1669</v>
      </c>
      <c r="B1593" s="8" t="s">
        <v>1640</v>
      </c>
      <c r="C1593" s="41" t="s">
        <v>160</v>
      </c>
      <c r="D1593" s="1" t="s">
        <v>38</v>
      </c>
      <c r="E1593" s="26" t="s">
        <v>39</v>
      </c>
      <c r="F1593" s="27">
        <v>0.81300813008130079</v>
      </c>
      <c r="G1593" s="33">
        <v>1</v>
      </c>
      <c r="R1593" s="55" t="s">
        <v>161</v>
      </c>
      <c r="S1593" s="26" t="s">
        <v>38</v>
      </c>
      <c r="T1593" s="26" t="s">
        <v>39</v>
      </c>
      <c r="U1593" s="27">
        <v>0.83333333333333337</v>
      </c>
      <c r="V1593" s="33">
        <v>1</v>
      </c>
      <c r="AG1593" s="31">
        <v>0</v>
      </c>
      <c r="AH1593" t="s">
        <v>44</v>
      </c>
    </row>
    <row r="1594" spans="1:34">
      <c r="A1594" s="15" t="s">
        <v>1670</v>
      </c>
      <c r="B1594" s="8" t="s">
        <v>1640</v>
      </c>
      <c r="C1594" s="41" t="s">
        <v>160</v>
      </c>
      <c r="D1594" s="1" t="s">
        <v>38</v>
      </c>
      <c r="E1594" s="26" t="s">
        <v>39</v>
      </c>
      <c r="F1594" s="27">
        <v>0.81300813008130079</v>
      </c>
      <c r="G1594" s="33">
        <v>1</v>
      </c>
      <c r="R1594" s="55" t="s">
        <v>161</v>
      </c>
      <c r="S1594" s="26" t="s">
        <v>38</v>
      </c>
      <c r="T1594" s="26" t="s">
        <v>39</v>
      </c>
      <c r="U1594" s="27">
        <v>0.83333333333333337</v>
      </c>
      <c r="V1594" s="33">
        <v>1</v>
      </c>
      <c r="AG1594" s="31">
        <v>0</v>
      </c>
      <c r="AH1594" t="s">
        <v>44</v>
      </c>
    </row>
    <row r="1595" spans="1:34">
      <c r="A1595" s="15" t="s">
        <v>1671</v>
      </c>
      <c r="B1595" s="8" t="s">
        <v>1640</v>
      </c>
      <c r="C1595" s="41" t="s">
        <v>160</v>
      </c>
      <c r="D1595" s="1" t="s">
        <v>38</v>
      </c>
      <c r="E1595" s="26" t="s">
        <v>39</v>
      </c>
      <c r="F1595" s="27">
        <v>0.81300813008130079</v>
      </c>
      <c r="G1595" s="33">
        <v>1</v>
      </c>
      <c r="R1595" s="55" t="s">
        <v>161</v>
      </c>
      <c r="S1595" s="26" t="s">
        <v>38</v>
      </c>
      <c r="T1595" s="26" t="s">
        <v>39</v>
      </c>
      <c r="U1595" s="27">
        <v>0.83333333333333337</v>
      </c>
      <c r="V1595" s="33">
        <v>1</v>
      </c>
      <c r="AG1595" s="31">
        <v>0</v>
      </c>
      <c r="AH1595" t="s">
        <v>44</v>
      </c>
    </row>
    <row r="1596" spans="1:34">
      <c r="A1596" s="15" t="s">
        <v>1672</v>
      </c>
      <c r="B1596" s="8" t="s">
        <v>1640</v>
      </c>
      <c r="C1596" s="41" t="s">
        <v>160</v>
      </c>
      <c r="D1596" s="1" t="s">
        <v>38</v>
      </c>
      <c r="E1596" s="26" t="s">
        <v>39</v>
      </c>
      <c r="F1596" s="27">
        <v>0.81300813008130079</v>
      </c>
      <c r="G1596" s="33">
        <v>1</v>
      </c>
      <c r="R1596" s="55" t="s">
        <v>161</v>
      </c>
      <c r="S1596" s="26" t="s">
        <v>38</v>
      </c>
      <c r="T1596" s="26" t="s">
        <v>39</v>
      </c>
      <c r="U1596" s="27">
        <v>0.83333333333333337</v>
      </c>
      <c r="V1596" s="33">
        <v>1</v>
      </c>
      <c r="AG1596" s="31">
        <v>0</v>
      </c>
      <c r="AH1596" t="s">
        <v>44</v>
      </c>
    </row>
    <row r="1597" spans="1:34">
      <c r="A1597" s="15" t="s">
        <v>1673</v>
      </c>
      <c r="B1597" s="8" t="s">
        <v>1640</v>
      </c>
      <c r="C1597" s="41" t="s">
        <v>160</v>
      </c>
      <c r="D1597" s="1" t="s">
        <v>38</v>
      </c>
      <c r="E1597" s="26" t="s">
        <v>39</v>
      </c>
      <c r="F1597" s="27">
        <v>0.81300813008130079</v>
      </c>
      <c r="G1597" s="33">
        <v>1</v>
      </c>
      <c r="R1597" s="55" t="s">
        <v>161</v>
      </c>
      <c r="S1597" s="26" t="s">
        <v>38</v>
      </c>
      <c r="T1597" s="26" t="s">
        <v>39</v>
      </c>
      <c r="U1597" s="27">
        <v>0.83333333333333337</v>
      </c>
      <c r="V1597" s="33">
        <v>1</v>
      </c>
      <c r="AG1597" s="31">
        <v>0</v>
      </c>
      <c r="AH1597" t="s">
        <v>44</v>
      </c>
    </row>
    <row r="1598" spans="1:34">
      <c r="A1598" s="15" t="s">
        <v>1674</v>
      </c>
      <c r="B1598" s="8" t="s">
        <v>1640</v>
      </c>
      <c r="C1598" s="41" t="s">
        <v>160</v>
      </c>
      <c r="D1598" s="1" t="s">
        <v>38</v>
      </c>
      <c r="E1598" s="26" t="s">
        <v>39</v>
      </c>
      <c r="F1598" s="27">
        <v>0.81300813008130079</v>
      </c>
      <c r="G1598" s="33">
        <v>1</v>
      </c>
      <c r="R1598" s="55" t="s">
        <v>161</v>
      </c>
      <c r="S1598" s="26" t="s">
        <v>38</v>
      </c>
      <c r="T1598" s="26" t="s">
        <v>39</v>
      </c>
      <c r="U1598" s="27">
        <v>0.83333333333333337</v>
      </c>
      <c r="V1598" s="33">
        <v>1</v>
      </c>
      <c r="AG1598" s="31">
        <v>0</v>
      </c>
      <c r="AH1598" t="s">
        <v>44</v>
      </c>
    </row>
    <row r="1599" spans="1:34">
      <c r="A1599" s="15" t="s">
        <v>1675</v>
      </c>
      <c r="B1599" s="8" t="s">
        <v>1640</v>
      </c>
      <c r="C1599" s="41" t="s">
        <v>160</v>
      </c>
      <c r="D1599" s="1" t="s">
        <v>38</v>
      </c>
      <c r="E1599" s="26" t="s">
        <v>39</v>
      </c>
      <c r="F1599" s="27">
        <v>0.81300813008130079</v>
      </c>
      <c r="G1599" s="33">
        <v>1</v>
      </c>
      <c r="R1599" s="55" t="s">
        <v>161</v>
      </c>
      <c r="S1599" s="26" t="s">
        <v>38</v>
      </c>
      <c r="T1599" s="26" t="s">
        <v>39</v>
      </c>
      <c r="U1599" s="27">
        <v>0.83333333333333337</v>
      </c>
      <c r="V1599" s="33">
        <v>1</v>
      </c>
      <c r="AG1599" s="31">
        <v>0</v>
      </c>
      <c r="AH1599" t="s">
        <v>44</v>
      </c>
    </row>
    <row r="1600" spans="1:34">
      <c r="A1600" s="15" t="s">
        <v>1676</v>
      </c>
      <c r="B1600" s="8" t="s">
        <v>1640</v>
      </c>
      <c r="C1600" s="41" t="s">
        <v>160</v>
      </c>
      <c r="D1600" s="1" t="s">
        <v>38</v>
      </c>
      <c r="E1600" s="26" t="s">
        <v>39</v>
      </c>
      <c r="F1600" s="27">
        <v>0.81300813008130079</v>
      </c>
      <c r="G1600" s="33">
        <v>1</v>
      </c>
      <c r="R1600" s="55" t="s">
        <v>161</v>
      </c>
      <c r="S1600" s="26" t="s">
        <v>38</v>
      </c>
      <c r="T1600" s="26" t="s">
        <v>39</v>
      </c>
      <c r="U1600" s="27">
        <v>0.83333333333333337</v>
      </c>
      <c r="V1600" s="33">
        <v>1</v>
      </c>
      <c r="AG1600" s="31">
        <v>0</v>
      </c>
      <c r="AH1600" t="s">
        <v>44</v>
      </c>
    </row>
    <row r="1601" spans="1:34">
      <c r="A1601" s="15" t="s">
        <v>1677</v>
      </c>
      <c r="B1601" s="8" t="s">
        <v>1640</v>
      </c>
      <c r="C1601" s="41" t="s">
        <v>160</v>
      </c>
      <c r="D1601" s="1" t="s">
        <v>38</v>
      </c>
      <c r="E1601" s="26" t="s">
        <v>39</v>
      </c>
      <c r="F1601" s="27">
        <v>0.81300813008130079</v>
      </c>
      <c r="G1601" s="33">
        <v>1</v>
      </c>
      <c r="R1601" s="55" t="s">
        <v>161</v>
      </c>
      <c r="S1601" s="26" t="s">
        <v>38</v>
      </c>
      <c r="T1601" s="26" t="s">
        <v>39</v>
      </c>
      <c r="U1601" s="27">
        <v>0.83333333333333337</v>
      </c>
      <c r="V1601" s="33">
        <v>1</v>
      </c>
      <c r="AG1601" s="31">
        <v>0</v>
      </c>
      <c r="AH1601" t="s">
        <v>44</v>
      </c>
    </row>
    <row r="1602" spans="1:34">
      <c r="A1602" s="15" t="s">
        <v>1678</v>
      </c>
      <c r="B1602" s="8" t="s">
        <v>1640</v>
      </c>
      <c r="C1602" s="41" t="s">
        <v>160</v>
      </c>
      <c r="D1602" s="1" t="s">
        <v>38</v>
      </c>
      <c r="E1602" s="26" t="s">
        <v>39</v>
      </c>
      <c r="F1602" s="27">
        <v>0.81300813008130079</v>
      </c>
      <c r="G1602" s="33">
        <v>1</v>
      </c>
      <c r="R1602" s="55" t="s">
        <v>161</v>
      </c>
      <c r="S1602" s="26" t="s">
        <v>38</v>
      </c>
      <c r="T1602" s="26" t="s">
        <v>39</v>
      </c>
      <c r="U1602" s="27">
        <v>0.83333333333333337</v>
      </c>
      <c r="V1602" s="33">
        <v>1</v>
      </c>
      <c r="AG1602" s="31">
        <v>0</v>
      </c>
      <c r="AH1602" t="s">
        <v>44</v>
      </c>
    </row>
    <row r="1603" spans="1:34">
      <c r="A1603" s="15" t="s">
        <v>1679</v>
      </c>
      <c r="B1603" s="8" t="s">
        <v>1640</v>
      </c>
      <c r="C1603" s="41" t="s">
        <v>160</v>
      </c>
      <c r="D1603" s="1" t="s">
        <v>38</v>
      </c>
      <c r="E1603" s="26" t="s">
        <v>39</v>
      </c>
      <c r="F1603" s="27">
        <v>0.81300813008130079</v>
      </c>
      <c r="G1603" s="33">
        <v>1</v>
      </c>
      <c r="R1603" s="55" t="s">
        <v>161</v>
      </c>
      <c r="S1603" s="26" t="s">
        <v>38</v>
      </c>
      <c r="T1603" s="26" t="s">
        <v>39</v>
      </c>
      <c r="U1603" s="27">
        <v>0.83333333333333337</v>
      </c>
      <c r="V1603" s="33">
        <v>1</v>
      </c>
      <c r="AG1603" s="31">
        <v>0</v>
      </c>
      <c r="AH1603" t="s">
        <v>44</v>
      </c>
    </row>
    <row r="1604" spans="1:34">
      <c r="A1604" s="15" t="s">
        <v>1680</v>
      </c>
      <c r="B1604" s="8" t="s">
        <v>1640</v>
      </c>
      <c r="C1604" s="41" t="s">
        <v>160</v>
      </c>
      <c r="D1604" s="1" t="s">
        <v>38</v>
      </c>
      <c r="E1604" s="26" t="s">
        <v>39</v>
      </c>
      <c r="F1604" s="27">
        <v>0.81300813008130079</v>
      </c>
      <c r="G1604" s="33">
        <v>1</v>
      </c>
      <c r="R1604" s="55" t="s">
        <v>161</v>
      </c>
      <c r="S1604" s="26" t="s">
        <v>38</v>
      </c>
      <c r="T1604" s="26" t="s">
        <v>39</v>
      </c>
      <c r="U1604" s="27">
        <v>0.83333333333333337</v>
      </c>
      <c r="V1604" s="33">
        <v>1</v>
      </c>
      <c r="AG1604" s="31">
        <v>0</v>
      </c>
      <c r="AH1604" t="s">
        <v>44</v>
      </c>
    </row>
    <row r="1605" spans="1:34">
      <c r="A1605" s="15" t="s">
        <v>1681</v>
      </c>
      <c r="B1605" s="8" t="s">
        <v>1640</v>
      </c>
      <c r="C1605" s="41" t="s">
        <v>160</v>
      </c>
      <c r="D1605" s="1" t="s">
        <v>38</v>
      </c>
      <c r="E1605" s="26" t="s">
        <v>39</v>
      </c>
      <c r="F1605" s="27">
        <v>0.81300813008130079</v>
      </c>
      <c r="G1605" s="33">
        <v>1</v>
      </c>
      <c r="R1605" s="55" t="s">
        <v>161</v>
      </c>
      <c r="S1605" s="26" t="s">
        <v>38</v>
      </c>
      <c r="T1605" s="26" t="s">
        <v>39</v>
      </c>
      <c r="U1605" s="27">
        <v>0.83333333333333337</v>
      </c>
      <c r="V1605" s="33">
        <v>1</v>
      </c>
      <c r="AG1605" s="31">
        <v>0</v>
      </c>
      <c r="AH1605" t="s">
        <v>44</v>
      </c>
    </row>
    <row r="1606" spans="1:34">
      <c r="A1606" s="15" t="s">
        <v>1682</v>
      </c>
      <c r="B1606" s="8" t="s">
        <v>1640</v>
      </c>
      <c r="C1606" s="41" t="s">
        <v>160</v>
      </c>
      <c r="D1606" s="1" t="s">
        <v>38</v>
      </c>
      <c r="E1606" s="26" t="s">
        <v>39</v>
      </c>
      <c r="F1606" s="27">
        <v>0.81300813008130079</v>
      </c>
      <c r="G1606" s="33">
        <v>1</v>
      </c>
      <c r="R1606" s="55" t="s">
        <v>161</v>
      </c>
      <c r="S1606" s="26" t="s">
        <v>38</v>
      </c>
      <c r="T1606" s="26" t="s">
        <v>39</v>
      </c>
      <c r="U1606" s="27">
        <v>0.83333333333333337</v>
      </c>
      <c r="V1606" s="33">
        <v>1</v>
      </c>
      <c r="AG1606" s="31">
        <v>0</v>
      </c>
      <c r="AH1606" t="s">
        <v>44</v>
      </c>
    </row>
    <row r="1607" spans="1:34">
      <c r="A1607" s="15" t="s">
        <v>1683</v>
      </c>
      <c r="B1607" s="8" t="s">
        <v>1640</v>
      </c>
      <c r="C1607" s="41" t="s">
        <v>160</v>
      </c>
      <c r="D1607" s="1" t="s">
        <v>38</v>
      </c>
      <c r="E1607" s="26" t="s">
        <v>39</v>
      </c>
      <c r="F1607" s="27">
        <v>0.81300813008130079</v>
      </c>
      <c r="G1607" s="33">
        <v>1</v>
      </c>
      <c r="R1607" s="55" t="s">
        <v>161</v>
      </c>
      <c r="S1607" s="26" t="s">
        <v>38</v>
      </c>
      <c r="T1607" s="26" t="s">
        <v>39</v>
      </c>
      <c r="U1607" s="27">
        <v>0.83333333333333337</v>
      </c>
      <c r="V1607" s="33">
        <v>1</v>
      </c>
      <c r="AG1607" s="31">
        <v>0</v>
      </c>
      <c r="AH1607" t="s">
        <v>44</v>
      </c>
    </row>
    <row r="1608" spans="1:34">
      <c r="A1608" s="15" t="s">
        <v>1684</v>
      </c>
      <c r="B1608" s="8" t="s">
        <v>1640</v>
      </c>
      <c r="C1608" s="41" t="s">
        <v>160</v>
      </c>
      <c r="D1608" s="1" t="s">
        <v>38</v>
      </c>
      <c r="E1608" s="26" t="s">
        <v>39</v>
      </c>
      <c r="F1608" s="27">
        <v>0.81300813008130079</v>
      </c>
      <c r="G1608" s="33">
        <v>1</v>
      </c>
      <c r="R1608" s="55" t="s">
        <v>161</v>
      </c>
      <c r="S1608" s="26" t="s">
        <v>38</v>
      </c>
      <c r="T1608" s="26" t="s">
        <v>39</v>
      </c>
      <c r="U1608" s="27">
        <v>0.83333333333333337</v>
      </c>
      <c r="V1608" s="33">
        <v>1</v>
      </c>
      <c r="AG1608" s="31">
        <v>0</v>
      </c>
      <c r="AH1608" t="s">
        <v>44</v>
      </c>
    </row>
    <row r="1609" spans="1:34">
      <c r="A1609" s="15" t="s">
        <v>1685</v>
      </c>
      <c r="B1609" s="8" t="s">
        <v>1640</v>
      </c>
      <c r="C1609" s="41" t="s">
        <v>160</v>
      </c>
      <c r="D1609" s="1" t="s">
        <v>38</v>
      </c>
      <c r="E1609" s="26" t="s">
        <v>39</v>
      </c>
      <c r="F1609" s="27">
        <v>0.81300813008130079</v>
      </c>
      <c r="G1609" s="33">
        <v>1</v>
      </c>
      <c r="R1609" s="55" t="s">
        <v>161</v>
      </c>
      <c r="S1609" s="26" t="s">
        <v>38</v>
      </c>
      <c r="T1609" s="26" t="s">
        <v>39</v>
      </c>
      <c r="U1609" s="27">
        <v>0.83333333333333337</v>
      </c>
      <c r="V1609" s="33">
        <v>1</v>
      </c>
      <c r="AG1609" s="31">
        <v>0</v>
      </c>
      <c r="AH1609" t="s">
        <v>44</v>
      </c>
    </row>
    <row r="1610" spans="1:34">
      <c r="A1610" s="15" t="s">
        <v>1686</v>
      </c>
      <c r="B1610" s="8" t="s">
        <v>1640</v>
      </c>
      <c r="C1610" s="41" t="s">
        <v>160</v>
      </c>
      <c r="D1610" s="1" t="s">
        <v>38</v>
      </c>
      <c r="E1610" s="26" t="s">
        <v>39</v>
      </c>
      <c r="F1610" s="27">
        <v>0.81300813008130079</v>
      </c>
      <c r="G1610" s="33">
        <v>1</v>
      </c>
      <c r="R1610" s="55" t="s">
        <v>161</v>
      </c>
      <c r="S1610" s="26" t="s">
        <v>38</v>
      </c>
      <c r="T1610" s="26" t="s">
        <v>39</v>
      </c>
      <c r="U1610" s="27">
        <v>0.83333333333333337</v>
      </c>
      <c r="V1610" s="33">
        <v>1</v>
      </c>
      <c r="AG1610" s="31">
        <v>0</v>
      </c>
      <c r="AH1610" t="s">
        <v>44</v>
      </c>
    </row>
    <row r="1611" spans="1:34">
      <c r="A1611" s="15" t="s">
        <v>1687</v>
      </c>
      <c r="B1611" s="8" t="s">
        <v>1640</v>
      </c>
      <c r="C1611" s="41" t="s">
        <v>160</v>
      </c>
      <c r="D1611" s="1" t="s">
        <v>38</v>
      </c>
      <c r="E1611" s="26" t="s">
        <v>39</v>
      </c>
      <c r="F1611" s="27">
        <v>0.81300813008130079</v>
      </c>
      <c r="G1611" s="33">
        <v>1</v>
      </c>
      <c r="R1611" s="55" t="s">
        <v>161</v>
      </c>
      <c r="S1611" s="26" t="s">
        <v>38</v>
      </c>
      <c r="T1611" s="26" t="s">
        <v>39</v>
      </c>
      <c r="U1611" s="27">
        <v>0.83333333333333337</v>
      </c>
      <c r="V1611" s="33">
        <v>1</v>
      </c>
      <c r="AG1611" s="31">
        <v>0</v>
      </c>
      <c r="AH1611" t="s">
        <v>44</v>
      </c>
    </row>
    <row r="1612" spans="1:34">
      <c r="A1612" s="16" t="s">
        <v>1688</v>
      </c>
      <c r="B1612" s="8" t="s">
        <v>1640</v>
      </c>
      <c r="C1612" s="41" t="s">
        <v>160</v>
      </c>
      <c r="D1612" s="1" t="s">
        <v>38</v>
      </c>
      <c r="E1612" s="26" t="s">
        <v>39</v>
      </c>
      <c r="F1612" s="27">
        <v>0.81300813008130079</v>
      </c>
      <c r="G1612" s="33">
        <v>1</v>
      </c>
      <c r="R1612" s="55" t="s">
        <v>161</v>
      </c>
      <c r="S1612" s="26" t="s">
        <v>38</v>
      </c>
      <c r="T1612" s="26" t="s">
        <v>39</v>
      </c>
      <c r="U1612" s="27">
        <v>0.83333333333333337</v>
      </c>
      <c r="V1612" s="33">
        <v>1</v>
      </c>
      <c r="AG1612" s="31">
        <v>0</v>
      </c>
      <c r="AH1612" s="65" t="s">
        <v>44</v>
      </c>
    </row>
    <row r="1613" spans="1:34" s="6" customFormat="1">
      <c r="A1613" s="15" t="s">
        <v>1689</v>
      </c>
      <c r="B1613" s="9" t="s">
        <v>1690</v>
      </c>
      <c r="C1613" s="45" t="s">
        <v>37</v>
      </c>
      <c r="D1613" s="46" t="s">
        <v>38</v>
      </c>
      <c r="E1613" s="47" t="s">
        <v>39</v>
      </c>
      <c r="F1613" s="48">
        <v>0.95238095238095233</v>
      </c>
      <c r="G1613" s="49">
        <v>0.33333333333333331</v>
      </c>
      <c r="H1613" s="45" t="s">
        <v>408</v>
      </c>
      <c r="I1613" s="46" t="s">
        <v>409</v>
      </c>
      <c r="J1613" s="47" t="s">
        <v>39</v>
      </c>
      <c r="K1613" s="48">
        <v>0.94339622641509424</v>
      </c>
      <c r="L1613" s="49">
        <v>0.33333333333333331</v>
      </c>
      <c r="M1613" s="45" t="s">
        <v>410</v>
      </c>
      <c r="N1613" s="46" t="s">
        <v>38</v>
      </c>
      <c r="O1613" s="47" t="s">
        <v>42</v>
      </c>
      <c r="P1613" s="48">
        <v>3.2258064516129035</v>
      </c>
      <c r="Q1613" s="49">
        <v>0.33333333333333331</v>
      </c>
      <c r="R1613" s="54" t="s">
        <v>37</v>
      </c>
      <c r="S1613" s="47" t="s">
        <v>38</v>
      </c>
      <c r="T1613" s="47" t="s">
        <v>39</v>
      </c>
      <c r="U1613" s="48">
        <v>0.95238095238095233</v>
      </c>
      <c r="V1613" s="49">
        <v>0.33333333333333331</v>
      </c>
      <c r="W1613" s="47" t="s">
        <v>408</v>
      </c>
      <c r="X1613" s="47" t="s">
        <v>409</v>
      </c>
      <c r="Y1613" s="47" t="s">
        <v>39</v>
      </c>
      <c r="Z1613" s="48">
        <v>0.94339622641509424</v>
      </c>
      <c r="AA1613" s="49">
        <v>0.33333333333333331</v>
      </c>
      <c r="AB1613" s="47" t="s">
        <v>411</v>
      </c>
      <c r="AC1613" s="47" t="s">
        <v>38</v>
      </c>
      <c r="AD1613" s="47" t="s">
        <v>42</v>
      </c>
      <c r="AE1613" s="48">
        <v>2.5</v>
      </c>
      <c r="AF1613" s="50">
        <v>0.33333333333333331</v>
      </c>
      <c r="AG1613" s="29">
        <v>0</v>
      </c>
      <c r="AH1613" s="6" t="s">
        <v>44</v>
      </c>
    </row>
    <row r="1614" spans="1:34">
      <c r="A1614" s="15" t="s">
        <v>1691</v>
      </c>
      <c r="B1614" s="8" t="s">
        <v>1690</v>
      </c>
      <c r="C1614" s="41" t="s">
        <v>37</v>
      </c>
      <c r="D1614" s="1" t="s">
        <v>38</v>
      </c>
      <c r="E1614" s="26" t="s">
        <v>39</v>
      </c>
      <c r="F1614" s="27">
        <v>0.95238095238095233</v>
      </c>
      <c r="G1614" s="33">
        <v>0.33333333333333331</v>
      </c>
      <c r="H1614" s="41" t="s">
        <v>408</v>
      </c>
      <c r="I1614" s="1" t="s">
        <v>409</v>
      </c>
      <c r="J1614" s="26" t="s">
        <v>39</v>
      </c>
      <c r="K1614" s="27">
        <v>0.94339622641509424</v>
      </c>
      <c r="L1614" s="33">
        <v>0.33333333333333331</v>
      </c>
      <c r="M1614" s="41" t="s">
        <v>410</v>
      </c>
      <c r="N1614" s="1" t="s">
        <v>38</v>
      </c>
      <c r="O1614" s="26" t="s">
        <v>42</v>
      </c>
      <c r="P1614" s="27">
        <v>3.2258064516129035</v>
      </c>
      <c r="Q1614" s="33">
        <v>0.33333333333333331</v>
      </c>
      <c r="R1614" s="55" t="s">
        <v>37</v>
      </c>
      <c r="S1614" s="26" t="s">
        <v>38</v>
      </c>
      <c r="T1614" s="26" t="s">
        <v>39</v>
      </c>
      <c r="U1614" s="27">
        <v>0.95238095238095233</v>
      </c>
      <c r="V1614" s="33">
        <v>0.33333333333333331</v>
      </c>
      <c r="W1614" s="26" t="s">
        <v>408</v>
      </c>
      <c r="X1614" s="26" t="s">
        <v>409</v>
      </c>
      <c r="Y1614" s="26" t="s">
        <v>39</v>
      </c>
      <c r="Z1614" s="27">
        <v>0.94339622641509424</v>
      </c>
      <c r="AA1614" s="33">
        <v>0.33333333333333331</v>
      </c>
      <c r="AB1614" s="26" t="s">
        <v>411</v>
      </c>
      <c r="AC1614" s="26" t="s">
        <v>38</v>
      </c>
      <c r="AD1614" s="26" t="s">
        <v>42</v>
      </c>
      <c r="AE1614" s="27">
        <v>2.5</v>
      </c>
      <c r="AF1614" s="36">
        <v>0.33333333333333331</v>
      </c>
      <c r="AG1614" s="31">
        <v>0</v>
      </c>
      <c r="AH1614" t="s">
        <v>44</v>
      </c>
    </row>
    <row r="1615" spans="1:34">
      <c r="A1615" s="15" t="s">
        <v>1692</v>
      </c>
      <c r="B1615" s="8" t="s">
        <v>1690</v>
      </c>
      <c r="C1615" s="41" t="s">
        <v>37</v>
      </c>
      <c r="D1615" s="1" t="s">
        <v>38</v>
      </c>
      <c r="E1615" s="26" t="s">
        <v>39</v>
      </c>
      <c r="F1615" s="27">
        <v>0.95238095238095233</v>
      </c>
      <c r="G1615" s="33">
        <v>0.33333333333333331</v>
      </c>
      <c r="H1615" s="41" t="s">
        <v>408</v>
      </c>
      <c r="I1615" s="1" t="s">
        <v>409</v>
      </c>
      <c r="J1615" s="26" t="s">
        <v>39</v>
      </c>
      <c r="K1615" s="27">
        <v>0.94339622641509424</v>
      </c>
      <c r="L1615" s="33">
        <v>0.33333333333333331</v>
      </c>
      <c r="M1615" s="41" t="s">
        <v>410</v>
      </c>
      <c r="N1615" s="1" t="s">
        <v>38</v>
      </c>
      <c r="O1615" s="26" t="s">
        <v>42</v>
      </c>
      <c r="P1615" s="27">
        <v>3.2258064516129035</v>
      </c>
      <c r="Q1615" s="33">
        <v>0.33333333333333331</v>
      </c>
      <c r="R1615" s="55" t="s">
        <v>37</v>
      </c>
      <c r="S1615" s="26" t="s">
        <v>38</v>
      </c>
      <c r="T1615" s="26" t="s">
        <v>39</v>
      </c>
      <c r="U1615" s="27">
        <v>0.95238095238095233</v>
      </c>
      <c r="V1615" s="33">
        <v>0.33333333333333331</v>
      </c>
      <c r="W1615" s="26" t="s">
        <v>408</v>
      </c>
      <c r="X1615" s="26" t="s">
        <v>409</v>
      </c>
      <c r="Y1615" s="26" t="s">
        <v>39</v>
      </c>
      <c r="Z1615" s="27">
        <v>0.94339622641509424</v>
      </c>
      <c r="AA1615" s="33">
        <v>0.33333333333333331</v>
      </c>
      <c r="AB1615" s="26" t="s">
        <v>411</v>
      </c>
      <c r="AC1615" s="26" t="s">
        <v>38</v>
      </c>
      <c r="AD1615" s="26" t="s">
        <v>42</v>
      </c>
      <c r="AE1615" s="27">
        <v>2.5</v>
      </c>
      <c r="AF1615" s="36">
        <v>0.33333333333333331</v>
      </c>
      <c r="AG1615" s="31">
        <v>0</v>
      </c>
      <c r="AH1615" t="s">
        <v>44</v>
      </c>
    </row>
    <row r="1616" spans="1:34">
      <c r="A1616" s="15" t="s">
        <v>1693</v>
      </c>
      <c r="B1616" s="8" t="s">
        <v>1690</v>
      </c>
      <c r="C1616" s="41" t="s">
        <v>37</v>
      </c>
      <c r="D1616" s="1" t="s">
        <v>38</v>
      </c>
      <c r="E1616" s="26" t="s">
        <v>39</v>
      </c>
      <c r="F1616" s="27">
        <v>0.95238095238095233</v>
      </c>
      <c r="G1616" s="33">
        <v>0.33333333333333331</v>
      </c>
      <c r="H1616" s="41" t="s">
        <v>408</v>
      </c>
      <c r="I1616" s="1" t="s">
        <v>409</v>
      </c>
      <c r="J1616" s="26" t="s">
        <v>39</v>
      </c>
      <c r="K1616" s="27">
        <v>0.94339622641509424</v>
      </c>
      <c r="L1616" s="33">
        <v>0.33333333333333331</v>
      </c>
      <c r="M1616" s="41" t="s">
        <v>410</v>
      </c>
      <c r="N1616" s="1" t="s">
        <v>38</v>
      </c>
      <c r="O1616" s="26" t="s">
        <v>42</v>
      </c>
      <c r="P1616" s="27">
        <v>3.2258064516129035</v>
      </c>
      <c r="Q1616" s="33">
        <v>0.33333333333333331</v>
      </c>
      <c r="R1616" s="55" t="s">
        <v>37</v>
      </c>
      <c r="S1616" s="26" t="s">
        <v>38</v>
      </c>
      <c r="T1616" s="26" t="s">
        <v>39</v>
      </c>
      <c r="U1616" s="27">
        <v>0.95238095238095233</v>
      </c>
      <c r="V1616" s="33">
        <v>0.33333333333333331</v>
      </c>
      <c r="W1616" s="26" t="s">
        <v>408</v>
      </c>
      <c r="X1616" s="26" t="s">
        <v>409</v>
      </c>
      <c r="Y1616" s="26" t="s">
        <v>39</v>
      </c>
      <c r="Z1616" s="27">
        <v>0.94339622641509424</v>
      </c>
      <c r="AA1616" s="33">
        <v>0.33333333333333331</v>
      </c>
      <c r="AB1616" s="26" t="s">
        <v>411</v>
      </c>
      <c r="AC1616" s="26" t="s">
        <v>38</v>
      </c>
      <c r="AD1616" s="26" t="s">
        <v>42</v>
      </c>
      <c r="AE1616" s="27">
        <v>2.5</v>
      </c>
      <c r="AF1616" s="36">
        <v>0.33333333333333331</v>
      </c>
      <c r="AG1616" s="31">
        <v>0</v>
      </c>
      <c r="AH1616" t="s">
        <v>44</v>
      </c>
    </row>
    <row r="1617" spans="1:34">
      <c r="A1617" s="15" t="s">
        <v>1694</v>
      </c>
      <c r="B1617" s="8" t="s">
        <v>1690</v>
      </c>
      <c r="C1617" s="41" t="s">
        <v>37</v>
      </c>
      <c r="D1617" s="1" t="s">
        <v>38</v>
      </c>
      <c r="E1617" s="26" t="s">
        <v>39</v>
      </c>
      <c r="F1617" s="27">
        <v>0.95238095238095233</v>
      </c>
      <c r="G1617" s="33">
        <v>0.33333333333333331</v>
      </c>
      <c r="H1617" s="41" t="s">
        <v>408</v>
      </c>
      <c r="I1617" s="1" t="s">
        <v>409</v>
      </c>
      <c r="J1617" s="26" t="s">
        <v>39</v>
      </c>
      <c r="K1617" s="27">
        <v>0.94339622641509424</v>
      </c>
      <c r="L1617" s="33">
        <v>0.33333333333333331</v>
      </c>
      <c r="M1617" s="41" t="s">
        <v>410</v>
      </c>
      <c r="N1617" s="1" t="s">
        <v>38</v>
      </c>
      <c r="O1617" s="26" t="s">
        <v>42</v>
      </c>
      <c r="P1617" s="27">
        <v>3.2258064516129035</v>
      </c>
      <c r="Q1617" s="33">
        <v>0.33333333333333331</v>
      </c>
      <c r="R1617" s="55" t="s">
        <v>37</v>
      </c>
      <c r="S1617" s="26" t="s">
        <v>38</v>
      </c>
      <c r="T1617" s="26" t="s">
        <v>39</v>
      </c>
      <c r="U1617" s="27">
        <v>0.95238095238095233</v>
      </c>
      <c r="V1617" s="33">
        <v>0.33333333333333331</v>
      </c>
      <c r="W1617" s="26" t="s">
        <v>408</v>
      </c>
      <c r="X1617" s="26" t="s">
        <v>409</v>
      </c>
      <c r="Y1617" s="26" t="s">
        <v>39</v>
      </c>
      <c r="Z1617" s="27">
        <v>0.94339622641509424</v>
      </c>
      <c r="AA1617" s="33">
        <v>0.33333333333333331</v>
      </c>
      <c r="AB1617" s="26" t="s">
        <v>411</v>
      </c>
      <c r="AC1617" s="26" t="s">
        <v>38</v>
      </c>
      <c r="AD1617" s="26" t="s">
        <v>42</v>
      </c>
      <c r="AE1617" s="27">
        <v>2.5</v>
      </c>
      <c r="AF1617" s="36">
        <v>0.33333333333333331</v>
      </c>
      <c r="AG1617" s="31">
        <v>0</v>
      </c>
      <c r="AH1617" t="s">
        <v>44</v>
      </c>
    </row>
    <row r="1618" spans="1:34">
      <c r="A1618" s="15" t="s">
        <v>1695</v>
      </c>
      <c r="B1618" s="8" t="s">
        <v>1690</v>
      </c>
      <c r="C1618" s="41" t="s">
        <v>37</v>
      </c>
      <c r="D1618" s="1" t="s">
        <v>38</v>
      </c>
      <c r="E1618" s="26" t="s">
        <v>39</v>
      </c>
      <c r="F1618" s="27">
        <v>0.95238095238095233</v>
      </c>
      <c r="G1618" s="33">
        <v>0.33333333333333331</v>
      </c>
      <c r="H1618" s="41" t="s">
        <v>408</v>
      </c>
      <c r="I1618" s="1" t="s">
        <v>409</v>
      </c>
      <c r="J1618" s="26" t="s">
        <v>39</v>
      </c>
      <c r="K1618" s="27">
        <v>0.94339622641509424</v>
      </c>
      <c r="L1618" s="33">
        <v>0.33333333333333331</v>
      </c>
      <c r="M1618" s="41" t="s">
        <v>410</v>
      </c>
      <c r="N1618" s="1" t="s">
        <v>38</v>
      </c>
      <c r="O1618" s="26" t="s">
        <v>42</v>
      </c>
      <c r="P1618" s="27">
        <v>3.2258064516129035</v>
      </c>
      <c r="Q1618" s="33">
        <v>0.33333333333333331</v>
      </c>
      <c r="R1618" s="55" t="s">
        <v>37</v>
      </c>
      <c r="S1618" s="26" t="s">
        <v>38</v>
      </c>
      <c r="T1618" s="26" t="s">
        <v>39</v>
      </c>
      <c r="U1618" s="27">
        <v>0.95238095238095233</v>
      </c>
      <c r="V1618" s="33">
        <v>0.33333333333333331</v>
      </c>
      <c r="W1618" s="26" t="s">
        <v>408</v>
      </c>
      <c r="X1618" s="26" t="s">
        <v>409</v>
      </c>
      <c r="Y1618" s="26" t="s">
        <v>39</v>
      </c>
      <c r="Z1618" s="27">
        <v>0.94339622641509424</v>
      </c>
      <c r="AA1618" s="33">
        <v>0.33333333333333331</v>
      </c>
      <c r="AB1618" s="26" t="s">
        <v>411</v>
      </c>
      <c r="AC1618" s="26" t="s">
        <v>38</v>
      </c>
      <c r="AD1618" s="26" t="s">
        <v>42</v>
      </c>
      <c r="AE1618" s="27">
        <v>2.5</v>
      </c>
      <c r="AF1618" s="36">
        <v>0.33333333333333331</v>
      </c>
      <c r="AG1618" s="31">
        <v>0</v>
      </c>
      <c r="AH1618" t="s">
        <v>44</v>
      </c>
    </row>
    <row r="1619" spans="1:34">
      <c r="A1619" s="15" t="s">
        <v>1696</v>
      </c>
      <c r="B1619" s="8" t="s">
        <v>1690</v>
      </c>
      <c r="C1619" s="41" t="s">
        <v>37</v>
      </c>
      <c r="D1619" s="1" t="s">
        <v>38</v>
      </c>
      <c r="E1619" s="26" t="s">
        <v>39</v>
      </c>
      <c r="F1619" s="27">
        <v>0.95238095238095233</v>
      </c>
      <c r="G1619" s="33">
        <v>0.33333333333333331</v>
      </c>
      <c r="H1619" s="41" t="s">
        <v>408</v>
      </c>
      <c r="I1619" s="1" t="s">
        <v>409</v>
      </c>
      <c r="J1619" s="26" t="s">
        <v>39</v>
      </c>
      <c r="K1619" s="27">
        <v>0.94339622641509424</v>
      </c>
      <c r="L1619" s="33">
        <v>0.33333333333333331</v>
      </c>
      <c r="M1619" s="41" t="s">
        <v>410</v>
      </c>
      <c r="N1619" s="1" t="s">
        <v>38</v>
      </c>
      <c r="O1619" s="26" t="s">
        <v>42</v>
      </c>
      <c r="P1619" s="27">
        <v>3.2258064516129035</v>
      </c>
      <c r="Q1619" s="33">
        <v>0.33333333333333331</v>
      </c>
      <c r="R1619" s="55" t="s">
        <v>37</v>
      </c>
      <c r="S1619" s="26" t="s">
        <v>38</v>
      </c>
      <c r="T1619" s="26" t="s">
        <v>39</v>
      </c>
      <c r="U1619" s="27">
        <v>0.95238095238095233</v>
      </c>
      <c r="V1619" s="33">
        <v>0.33333333333333331</v>
      </c>
      <c r="W1619" s="26" t="s">
        <v>408</v>
      </c>
      <c r="X1619" s="26" t="s">
        <v>409</v>
      </c>
      <c r="Y1619" s="26" t="s">
        <v>39</v>
      </c>
      <c r="Z1619" s="27">
        <v>0.94339622641509424</v>
      </c>
      <c r="AA1619" s="33">
        <v>0.33333333333333331</v>
      </c>
      <c r="AB1619" s="26" t="s">
        <v>411</v>
      </c>
      <c r="AC1619" s="26" t="s">
        <v>38</v>
      </c>
      <c r="AD1619" s="26" t="s">
        <v>42</v>
      </c>
      <c r="AE1619" s="27">
        <v>2.5</v>
      </c>
      <c r="AF1619" s="36">
        <v>0.33333333333333331</v>
      </c>
      <c r="AG1619" s="31">
        <v>0</v>
      </c>
      <c r="AH1619" t="s">
        <v>44</v>
      </c>
    </row>
    <row r="1620" spans="1:34">
      <c r="A1620" s="15" t="s">
        <v>1697</v>
      </c>
      <c r="B1620" s="8" t="s">
        <v>1690</v>
      </c>
      <c r="C1620" s="41" t="s">
        <v>37</v>
      </c>
      <c r="D1620" s="1" t="s">
        <v>38</v>
      </c>
      <c r="E1620" s="26" t="s">
        <v>39</v>
      </c>
      <c r="F1620" s="27">
        <v>0.95238095238095233</v>
      </c>
      <c r="G1620" s="33">
        <v>0.33333333333333331</v>
      </c>
      <c r="H1620" s="41" t="s">
        <v>408</v>
      </c>
      <c r="I1620" s="1" t="s">
        <v>409</v>
      </c>
      <c r="J1620" s="26" t="s">
        <v>39</v>
      </c>
      <c r="K1620" s="27">
        <v>0.94339622641509424</v>
      </c>
      <c r="L1620" s="33">
        <v>0.33333333333333331</v>
      </c>
      <c r="M1620" s="41" t="s">
        <v>410</v>
      </c>
      <c r="N1620" s="1" t="s">
        <v>38</v>
      </c>
      <c r="O1620" s="26" t="s">
        <v>42</v>
      </c>
      <c r="P1620" s="27">
        <v>3.2258064516129035</v>
      </c>
      <c r="Q1620" s="33">
        <v>0.33333333333333331</v>
      </c>
      <c r="R1620" s="55" t="s">
        <v>37</v>
      </c>
      <c r="S1620" s="26" t="s">
        <v>38</v>
      </c>
      <c r="T1620" s="26" t="s">
        <v>39</v>
      </c>
      <c r="U1620" s="27">
        <v>0.95238095238095233</v>
      </c>
      <c r="V1620" s="33">
        <v>0.33333333333333331</v>
      </c>
      <c r="W1620" s="26" t="s">
        <v>408</v>
      </c>
      <c r="X1620" s="26" t="s">
        <v>409</v>
      </c>
      <c r="Y1620" s="26" t="s">
        <v>39</v>
      </c>
      <c r="Z1620" s="27">
        <v>0.94339622641509424</v>
      </c>
      <c r="AA1620" s="33">
        <v>0.33333333333333331</v>
      </c>
      <c r="AB1620" s="26" t="s">
        <v>411</v>
      </c>
      <c r="AC1620" s="26" t="s">
        <v>38</v>
      </c>
      <c r="AD1620" s="26" t="s">
        <v>42</v>
      </c>
      <c r="AE1620" s="27">
        <v>2.5</v>
      </c>
      <c r="AF1620" s="36">
        <v>0.33333333333333331</v>
      </c>
      <c r="AG1620" s="31">
        <v>0</v>
      </c>
      <c r="AH1620" t="s">
        <v>44</v>
      </c>
    </row>
    <row r="1621" spans="1:34">
      <c r="A1621" s="15" t="s">
        <v>1698</v>
      </c>
      <c r="B1621" s="8" t="s">
        <v>1690</v>
      </c>
      <c r="C1621" s="41" t="s">
        <v>37</v>
      </c>
      <c r="D1621" s="1" t="s">
        <v>38</v>
      </c>
      <c r="E1621" s="26" t="s">
        <v>39</v>
      </c>
      <c r="F1621" s="27">
        <v>0.95238095238095233</v>
      </c>
      <c r="G1621" s="33">
        <v>0.33333333333333331</v>
      </c>
      <c r="H1621" s="41" t="s">
        <v>408</v>
      </c>
      <c r="I1621" s="1" t="s">
        <v>409</v>
      </c>
      <c r="J1621" s="26" t="s">
        <v>39</v>
      </c>
      <c r="K1621" s="27">
        <v>0.94339622641509424</v>
      </c>
      <c r="L1621" s="33">
        <v>0.33333333333333331</v>
      </c>
      <c r="M1621" s="41" t="s">
        <v>410</v>
      </c>
      <c r="N1621" s="1" t="s">
        <v>38</v>
      </c>
      <c r="O1621" s="26" t="s">
        <v>42</v>
      </c>
      <c r="P1621" s="27">
        <v>3.2258064516129035</v>
      </c>
      <c r="Q1621" s="33">
        <v>0.33333333333333331</v>
      </c>
      <c r="R1621" s="55" t="s">
        <v>37</v>
      </c>
      <c r="S1621" s="26" t="s">
        <v>38</v>
      </c>
      <c r="T1621" s="26" t="s">
        <v>39</v>
      </c>
      <c r="U1621" s="27">
        <v>0.95238095238095233</v>
      </c>
      <c r="V1621" s="33">
        <v>0.33333333333333331</v>
      </c>
      <c r="W1621" s="26" t="s">
        <v>408</v>
      </c>
      <c r="X1621" s="26" t="s">
        <v>409</v>
      </c>
      <c r="Y1621" s="26" t="s">
        <v>39</v>
      </c>
      <c r="Z1621" s="27">
        <v>0.94339622641509424</v>
      </c>
      <c r="AA1621" s="33">
        <v>0.33333333333333331</v>
      </c>
      <c r="AB1621" s="26" t="s">
        <v>411</v>
      </c>
      <c r="AC1621" s="26" t="s">
        <v>38</v>
      </c>
      <c r="AD1621" s="26" t="s">
        <v>42</v>
      </c>
      <c r="AE1621" s="27">
        <v>2.5</v>
      </c>
      <c r="AF1621" s="36">
        <v>0.33333333333333331</v>
      </c>
      <c r="AG1621" s="31">
        <v>0</v>
      </c>
      <c r="AH1621" t="s">
        <v>44</v>
      </c>
    </row>
    <row r="1622" spans="1:34">
      <c r="A1622" s="15" t="s">
        <v>1699</v>
      </c>
      <c r="B1622" s="8" t="s">
        <v>1690</v>
      </c>
      <c r="C1622" s="41" t="s">
        <v>37</v>
      </c>
      <c r="D1622" s="1" t="s">
        <v>38</v>
      </c>
      <c r="E1622" s="26" t="s">
        <v>39</v>
      </c>
      <c r="F1622" s="27">
        <v>0.95238095238095233</v>
      </c>
      <c r="G1622" s="33">
        <v>0.33333333333333331</v>
      </c>
      <c r="H1622" s="41" t="s">
        <v>408</v>
      </c>
      <c r="I1622" s="1" t="s">
        <v>409</v>
      </c>
      <c r="J1622" s="26" t="s">
        <v>39</v>
      </c>
      <c r="K1622" s="27">
        <v>0.94339622641509424</v>
      </c>
      <c r="L1622" s="33">
        <v>0.33333333333333331</v>
      </c>
      <c r="M1622" s="41" t="s">
        <v>410</v>
      </c>
      <c r="N1622" s="1" t="s">
        <v>38</v>
      </c>
      <c r="O1622" s="26" t="s">
        <v>42</v>
      </c>
      <c r="P1622" s="27">
        <v>3.2258064516129035</v>
      </c>
      <c r="Q1622" s="33">
        <v>0.33333333333333331</v>
      </c>
      <c r="R1622" s="55" t="s">
        <v>37</v>
      </c>
      <c r="S1622" s="26" t="s">
        <v>38</v>
      </c>
      <c r="T1622" s="26" t="s">
        <v>39</v>
      </c>
      <c r="U1622" s="27">
        <v>0.95238095238095233</v>
      </c>
      <c r="V1622" s="33">
        <v>0.33333333333333331</v>
      </c>
      <c r="W1622" s="26" t="s">
        <v>408</v>
      </c>
      <c r="X1622" s="26" t="s">
        <v>409</v>
      </c>
      <c r="Y1622" s="26" t="s">
        <v>39</v>
      </c>
      <c r="Z1622" s="27">
        <v>0.94339622641509424</v>
      </c>
      <c r="AA1622" s="33">
        <v>0.33333333333333331</v>
      </c>
      <c r="AB1622" s="26" t="s">
        <v>411</v>
      </c>
      <c r="AC1622" s="26" t="s">
        <v>38</v>
      </c>
      <c r="AD1622" s="26" t="s">
        <v>42</v>
      </c>
      <c r="AE1622" s="27">
        <v>2.5</v>
      </c>
      <c r="AF1622" s="36">
        <v>0.33333333333333331</v>
      </c>
      <c r="AG1622" s="31">
        <v>0</v>
      </c>
      <c r="AH1622" t="s">
        <v>44</v>
      </c>
    </row>
    <row r="1623" spans="1:34">
      <c r="A1623" s="15" t="s">
        <v>1700</v>
      </c>
      <c r="B1623" s="8" t="s">
        <v>1690</v>
      </c>
      <c r="C1623" s="41" t="s">
        <v>37</v>
      </c>
      <c r="D1623" s="1" t="s">
        <v>38</v>
      </c>
      <c r="E1623" s="26" t="s">
        <v>39</v>
      </c>
      <c r="F1623" s="27">
        <v>0.95238095238095233</v>
      </c>
      <c r="G1623" s="33">
        <v>0.33333333333333331</v>
      </c>
      <c r="H1623" s="41" t="s">
        <v>408</v>
      </c>
      <c r="I1623" s="1" t="s">
        <v>409</v>
      </c>
      <c r="J1623" s="26" t="s">
        <v>39</v>
      </c>
      <c r="K1623" s="27">
        <v>0.94339622641509424</v>
      </c>
      <c r="L1623" s="33">
        <v>0.33333333333333331</v>
      </c>
      <c r="M1623" s="41" t="s">
        <v>410</v>
      </c>
      <c r="N1623" s="1" t="s">
        <v>38</v>
      </c>
      <c r="O1623" s="26" t="s">
        <v>42</v>
      </c>
      <c r="P1623" s="27">
        <v>3.2258064516129035</v>
      </c>
      <c r="Q1623" s="33">
        <v>0.33333333333333331</v>
      </c>
      <c r="R1623" s="55" t="s">
        <v>37</v>
      </c>
      <c r="S1623" s="26" t="s">
        <v>38</v>
      </c>
      <c r="T1623" s="26" t="s">
        <v>39</v>
      </c>
      <c r="U1623" s="27">
        <v>0.95238095238095233</v>
      </c>
      <c r="V1623" s="33">
        <v>0.33333333333333331</v>
      </c>
      <c r="W1623" s="26" t="s">
        <v>408</v>
      </c>
      <c r="X1623" s="26" t="s">
        <v>409</v>
      </c>
      <c r="Y1623" s="26" t="s">
        <v>39</v>
      </c>
      <c r="Z1623" s="27">
        <v>0.94339622641509424</v>
      </c>
      <c r="AA1623" s="33">
        <v>0.33333333333333331</v>
      </c>
      <c r="AB1623" s="26" t="s">
        <v>411</v>
      </c>
      <c r="AC1623" s="26" t="s">
        <v>38</v>
      </c>
      <c r="AD1623" s="26" t="s">
        <v>42</v>
      </c>
      <c r="AE1623" s="27">
        <v>2.5</v>
      </c>
      <c r="AF1623" s="36">
        <v>0.33333333333333331</v>
      </c>
      <c r="AG1623" s="31">
        <v>0</v>
      </c>
      <c r="AH1623" t="s">
        <v>44</v>
      </c>
    </row>
    <row r="1624" spans="1:34">
      <c r="A1624" s="15" t="s">
        <v>1701</v>
      </c>
      <c r="B1624" s="8" t="s">
        <v>1690</v>
      </c>
      <c r="C1624" s="41" t="s">
        <v>37</v>
      </c>
      <c r="D1624" s="1" t="s">
        <v>38</v>
      </c>
      <c r="E1624" s="26" t="s">
        <v>39</v>
      </c>
      <c r="F1624" s="27">
        <v>0.95238095238095233</v>
      </c>
      <c r="G1624" s="33">
        <v>0.33333333333333331</v>
      </c>
      <c r="H1624" s="41" t="s">
        <v>408</v>
      </c>
      <c r="I1624" s="1" t="s">
        <v>409</v>
      </c>
      <c r="J1624" s="26" t="s">
        <v>39</v>
      </c>
      <c r="K1624" s="27">
        <v>0.94339622641509424</v>
      </c>
      <c r="L1624" s="33">
        <v>0.33333333333333331</v>
      </c>
      <c r="M1624" s="41" t="s">
        <v>410</v>
      </c>
      <c r="N1624" s="1" t="s">
        <v>38</v>
      </c>
      <c r="O1624" s="26" t="s">
        <v>42</v>
      </c>
      <c r="P1624" s="27">
        <v>3.2258064516129035</v>
      </c>
      <c r="Q1624" s="33">
        <v>0.33333333333333331</v>
      </c>
      <c r="R1624" s="55" t="s">
        <v>37</v>
      </c>
      <c r="S1624" s="26" t="s">
        <v>38</v>
      </c>
      <c r="T1624" s="26" t="s">
        <v>39</v>
      </c>
      <c r="U1624" s="27">
        <v>0.95238095238095233</v>
      </c>
      <c r="V1624" s="33">
        <v>0.33333333333333331</v>
      </c>
      <c r="W1624" s="26" t="s">
        <v>408</v>
      </c>
      <c r="X1624" s="26" t="s">
        <v>409</v>
      </c>
      <c r="Y1624" s="26" t="s">
        <v>39</v>
      </c>
      <c r="Z1624" s="27">
        <v>0.94339622641509424</v>
      </c>
      <c r="AA1624" s="33">
        <v>0.33333333333333331</v>
      </c>
      <c r="AB1624" s="26" t="s">
        <v>411</v>
      </c>
      <c r="AC1624" s="26" t="s">
        <v>38</v>
      </c>
      <c r="AD1624" s="26" t="s">
        <v>42</v>
      </c>
      <c r="AE1624" s="27">
        <v>2.5</v>
      </c>
      <c r="AF1624" s="36">
        <v>0.33333333333333331</v>
      </c>
      <c r="AG1624" s="31">
        <v>0</v>
      </c>
      <c r="AH1624" t="s">
        <v>44</v>
      </c>
    </row>
    <row r="1625" spans="1:34">
      <c r="A1625" s="15" t="s">
        <v>1702</v>
      </c>
      <c r="B1625" s="8" t="s">
        <v>1690</v>
      </c>
      <c r="C1625" s="41" t="s">
        <v>37</v>
      </c>
      <c r="D1625" s="1" t="s">
        <v>38</v>
      </c>
      <c r="E1625" s="26" t="s">
        <v>39</v>
      </c>
      <c r="F1625" s="27">
        <v>0.95238095238095233</v>
      </c>
      <c r="G1625" s="33">
        <v>0.33333333333333331</v>
      </c>
      <c r="H1625" s="41" t="s">
        <v>408</v>
      </c>
      <c r="I1625" s="1" t="s">
        <v>409</v>
      </c>
      <c r="J1625" s="26" t="s">
        <v>39</v>
      </c>
      <c r="K1625" s="27">
        <v>0.94339622641509424</v>
      </c>
      <c r="L1625" s="33">
        <v>0.33333333333333331</v>
      </c>
      <c r="M1625" s="41" t="s">
        <v>410</v>
      </c>
      <c r="N1625" s="1" t="s">
        <v>38</v>
      </c>
      <c r="O1625" s="26" t="s">
        <v>42</v>
      </c>
      <c r="P1625" s="27">
        <v>3.2258064516129035</v>
      </c>
      <c r="Q1625" s="33">
        <v>0.33333333333333331</v>
      </c>
      <c r="R1625" s="55" t="s">
        <v>37</v>
      </c>
      <c r="S1625" s="26" t="s">
        <v>38</v>
      </c>
      <c r="T1625" s="26" t="s">
        <v>39</v>
      </c>
      <c r="U1625" s="27">
        <v>0.95238095238095233</v>
      </c>
      <c r="V1625" s="33">
        <v>0.33333333333333331</v>
      </c>
      <c r="W1625" s="26" t="s">
        <v>408</v>
      </c>
      <c r="X1625" s="26" t="s">
        <v>409</v>
      </c>
      <c r="Y1625" s="26" t="s">
        <v>39</v>
      </c>
      <c r="Z1625" s="27">
        <v>0.94339622641509424</v>
      </c>
      <c r="AA1625" s="33">
        <v>0.33333333333333331</v>
      </c>
      <c r="AB1625" s="26" t="s">
        <v>411</v>
      </c>
      <c r="AC1625" s="26" t="s">
        <v>38</v>
      </c>
      <c r="AD1625" s="26" t="s">
        <v>42</v>
      </c>
      <c r="AE1625" s="27">
        <v>2.5</v>
      </c>
      <c r="AF1625" s="36">
        <v>0.33333333333333331</v>
      </c>
      <c r="AG1625" s="31">
        <v>0</v>
      </c>
      <c r="AH1625" t="s">
        <v>44</v>
      </c>
    </row>
    <row r="1626" spans="1:34">
      <c r="A1626" s="15" t="s">
        <v>1703</v>
      </c>
      <c r="B1626" s="8" t="s">
        <v>1690</v>
      </c>
      <c r="C1626" s="41" t="s">
        <v>37</v>
      </c>
      <c r="D1626" s="1" t="s">
        <v>38</v>
      </c>
      <c r="E1626" s="26" t="s">
        <v>39</v>
      </c>
      <c r="F1626" s="27">
        <v>0.95238095238095233</v>
      </c>
      <c r="G1626" s="33">
        <v>0.33333333333333331</v>
      </c>
      <c r="H1626" s="41" t="s">
        <v>408</v>
      </c>
      <c r="I1626" s="1" t="s">
        <v>409</v>
      </c>
      <c r="J1626" s="26" t="s">
        <v>39</v>
      </c>
      <c r="K1626" s="27">
        <v>0.94339622641509424</v>
      </c>
      <c r="L1626" s="33">
        <v>0.33333333333333331</v>
      </c>
      <c r="M1626" s="41" t="s">
        <v>410</v>
      </c>
      <c r="N1626" s="1" t="s">
        <v>38</v>
      </c>
      <c r="O1626" s="26" t="s">
        <v>42</v>
      </c>
      <c r="P1626" s="27">
        <v>3.2258064516129035</v>
      </c>
      <c r="Q1626" s="33">
        <v>0.33333333333333331</v>
      </c>
      <c r="R1626" s="55" t="s">
        <v>37</v>
      </c>
      <c r="S1626" s="26" t="s">
        <v>38</v>
      </c>
      <c r="T1626" s="26" t="s">
        <v>39</v>
      </c>
      <c r="U1626" s="27">
        <v>0.95238095238095233</v>
      </c>
      <c r="V1626" s="33">
        <v>0.33333333333333331</v>
      </c>
      <c r="W1626" s="26" t="s">
        <v>408</v>
      </c>
      <c r="X1626" s="26" t="s">
        <v>409</v>
      </c>
      <c r="Y1626" s="26" t="s">
        <v>39</v>
      </c>
      <c r="Z1626" s="27">
        <v>0.94339622641509424</v>
      </c>
      <c r="AA1626" s="33">
        <v>0.33333333333333331</v>
      </c>
      <c r="AB1626" s="26" t="s">
        <v>411</v>
      </c>
      <c r="AC1626" s="26" t="s">
        <v>38</v>
      </c>
      <c r="AD1626" s="26" t="s">
        <v>42</v>
      </c>
      <c r="AE1626" s="27">
        <v>2.5</v>
      </c>
      <c r="AF1626" s="36">
        <v>0.33333333333333331</v>
      </c>
      <c r="AG1626" s="31">
        <v>0</v>
      </c>
      <c r="AH1626" t="s">
        <v>44</v>
      </c>
    </row>
    <row r="1627" spans="1:34">
      <c r="A1627" s="15" t="s">
        <v>1704</v>
      </c>
      <c r="B1627" s="8" t="s">
        <v>1690</v>
      </c>
      <c r="C1627" s="41" t="s">
        <v>37</v>
      </c>
      <c r="D1627" s="1" t="s">
        <v>38</v>
      </c>
      <c r="E1627" s="26" t="s">
        <v>39</v>
      </c>
      <c r="F1627" s="27">
        <v>0.95238095238095233</v>
      </c>
      <c r="G1627" s="33">
        <v>0.33333333333333331</v>
      </c>
      <c r="H1627" s="41" t="s">
        <v>408</v>
      </c>
      <c r="I1627" s="1" t="s">
        <v>409</v>
      </c>
      <c r="J1627" s="26" t="s">
        <v>39</v>
      </c>
      <c r="K1627" s="27">
        <v>0.94339622641509424</v>
      </c>
      <c r="L1627" s="33">
        <v>0.33333333333333331</v>
      </c>
      <c r="M1627" s="41" t="s">
        <v>410</v>
      </c>
      <c r="N1627" s="1" t="s">
        <v>38</v>
      </c>
      <c r="O1627" s="26" t="s">
        <v>42</v>
      </c>
      <c r="P1627" s="27">
        <v>3.2258064516129035</v>
      </c>
      <c r="Q1627" s="33">
        <v>0.33333333333333331</v>
      </c>
      <c r="R1627" s="55" t="s">
        <v>37</v>
      </c>
      <c r="S1627" s="26" t="s">
        <v>38</v>
      </c>
      <c r="T1627" s="26" t="s">
        <v>39</v>
      </c>
      <c r="U1627" s="27">
        <v>0.95238095238095233</v>
      </c>
      <c r="V1627" s="33">
        <v>0.33333333333333331</v>
      </c>
      <c r="W1627" s="26" t="s">
        <v>408</v>
      </c>
      <c r="X1627" s="26" t="s">
        <v>409</v>
      </c>
      <c r="Y1627" s="26" t="s">
        <v>39</v>
      </c>
      <c r="Z1627" s="27">
        <v>0.94339622641509424</v>
      </c>
      <c r="AA1627" s="33">
        <v>0.33333333333333331</v>
      </c>
      <c r="AB1627" s="26" t="s">
        <v>411</v>
      </c>
      <c r="AC1627" s="26" t="s">
        <v>38</v>
      </c>
      <c r="AD1627" s="26" t="s">
        <v>42</v>
      </c>
      <c r="AE1627" s="27">
        <v>2.5</v>
      </c>
      <c r="AF1627" s="36">
        <v>0.33333333333333331</v>
      </c>
      <c r="AG1627" s="31">
        <v>0</v>
      </c>
      <c r="AH1627" t="s">
        <v>44</v>
      </c>
    </row>
    <row r="1628" spans="1:34">
      <c r="A1628" s="15" t="s">
        <v>1705</v>
      </c>
      <c r="B1628" s="8" t="s">
        <v>1690</v>
      </c>
      <c r="C1628" s="41" t="s">
        <v>37</v>
      </c>
      <c r="D1628" s="1" t="s">
        <v>38</v>
      </c>
      <c r="E1628" s="26" t="s">
        <v>39</v>
      </c>
      <c r="F1628" s="27">
        <v>0.95238095238095233</v>
      </c>
      <c r="G1628" s="33">
        <v>0.33333333333333331</v>
      </c>
      <c r="H1628" s="41" t="s">
        <v>408</v>
      </c>
      <c r="I1628" s="1" t="s">
        <v>409</v>
      </c>
      <c r="J1628" s="26" t="s">
        <v>39</v>
      </c>
      <c r="K1628" s="27">
        <v>0.94339622641509424</v>
      </c>
      <c r="L1628" s="33">
        <v>0.33333333333333331</v>
      </c>
      <c r="M1628" s="41" t="s">
        <v>410</v>
      </c>
      <c r="N1628" s="1" t="s">
        <v>38</v>
      </c>
      <c r="O1628" s="26" t="s">
        <v>42</v>
      </c>
      <c r="P1628" s="27">
        <v>3.2258064516129035</v>
      </c>
      <c r="Q1628" s="33">
        <v>0.33333333333333331</v>
      </c>
      <c r="R1628" s="55" t="s">
        <v>37</v>
      </c>
      <c r="S1628" s="26" t="s">
        <v>38</v>
      </c>
      <c r="T1628" s="26" t="s">
        <v>39</v>
      </c>
      <c r="U1628" s="27">
        <v>0.95238095238095233</v>
      </c>
      <c r="V1628" s="33">
        <v>0.33333333333333331</v>
      </c>
      <c r="W1628" s="26" t="s">
        <v>408</v>
      </c>
      <c r="X1628" s="26" t="s">
        <v>409</v>
      </c>
      <c r="Y1628" s="26" t="s">
        <v>39</v>
      </c>
      <c r="Z1628" s="27">
        <v>0.94339622641509424</v>
      </c>
      <c r="AA1628" s="33">
        <v>0.33333333333333331</v>
      </c>
      <c r="AB1628" s="26" t="s">
        <v>411</v>
      </c>
      <c r="AC1628" s="26" t="s">
        <v>38</v>
      </c>
      <c r="AD1628" s="26" t="s">
        <v>42</v>
      </c>
      <c r="AE1628" s="27">
        <v>2.5</v>
      </c>
      <c r="AF1628" s="36">
        <v>0.33333333333333331</v>
      </c>
      <c r="AG1628" s="31">
        <v>0</v>
      </c>
      <c r="AH1628" t="s">
        <v>44</v>
      </c>
    </row>
    <row r="1629" spans="1:34">
      <c r="A1629" s="15" t="s">
        <v>1706</v>
      </c>
      <c r="B1629" s="8" t="s">
        <v>1690</v>
      </c>
      <c r="C1629" s="41" t="s">
        <v>37</v>
      </c>
      <c r="D1629" s="1" t="s">
        <v>38</v>
      </c>
      <c r="E1629" s="26" t="s">
        <v>39</v>
      </c>
      <c r="F1629" s="27">
        <v>0.95238095238095233</v>
      </c>
      <c r="G1629" s="33">
        <v>0.33333333333333331</v>
      </c>
      <c r="H1629" s="41" t="s">
        <v>408</v>
      </c>
      <c r="I1629" s="1" t="s">
        <v>409</v>
      </c>
      <c r="J1629" s="26" t="s">
        <v>39</v>
      </c>
      <c r="K1629" s="27">
        <v>0.94339622641509424</v>
      </c>
      <c r="L1629" s="33">
        <v>0.33333333333333331</v>
      </c>
      <c r="M1629" s="41" t="s">
        <v>410</v>
      </c>
      <c r="N1629" s="1" t="s">
        <v>38</v>
      </c>
      <c r="O1629" s="26" t="s">
        <v>42</v>
      </c>
      <c r="P1629" s="27">
        <v>3.2258064516129035</v>
      </c>
      <c r="Q1629" s="33">
        <v>0.33333333333333331</v>
      </c>
      <c r="R1629" s="55" t="s">
        <v>37</v>
      </c>
      <c r="S1629" s="26" t="s">
        <v>38</v>
      </c>
      <c r="T1629" s="26" t="s">
        <v>39</v>
      </c>
      <c r="U1629" s="27">
        <v>0.95238095238095233</v>
      </c>
      <c r="V1629" s="33">
        <v>0.33333333333333331</v>
      </c>
      <c r="W1629" s="26" t="s">
        <v>408</v>
      </c>
      <c r="X1629" s="26" t="s">
        <v>409</v>
      </c>
      <c r="Y1629" s="26" t="s">
        <v>39</v>
      </c>
      <c r="Z1629" s="27">
        <v>0.94339622641509424</v>
      </c>
      <c r="AA1629" s="33">
        <v>0.33333333333333331</v>
      </c>
      <c r="AB1629" s="26" t="s">
        <v>411</v>
      </c>
      <c r="AC1629" s="26" t="s">
        <v>38</v>
      </c>
      <c r="AD1629" s="26" t="s">
        <v>42</v>
      </c>
      <c r="AE1629" s="27">
        <v>2.5</v>
      </c>
      <c r="AF1629" s="36">
        <v>0.33333333333333331</v>
      </c>
      <c r="AG1629" s="31">
        <v>0</v>
      </c>
      <c r="AH1629" t="s">
        <v>44</v>
      </c>
    </row>
    <row r="1630" spans="1:34">
      <c r="A1630" s="15" t="s">
        <v>1707</v>
      </c>
      <c r="B1630" s="8" t="s">
        <v>1690</v>
      </c>
      <c r="C1630" s="41" t="s">
        <v>37</v>
      </c>
      <c r="D1630" s="1" t="s">
        <v>38</v>
      </c>
      <c r="E1630" s="26" t="s">
        <v>39</v>
      </c>
      <c r="F1630" s="27">
        <v>0.95238095238095233</v>
      </c>
      <c r="G1630" s="33">
        <v>0.33333333333333331</v>
      </c>
      <c r="H1630" s="41" t="s">
        <v>408</v>
      </c>
      <c r="I1630" s="1" t="s">
        <v>409</v>
      </c>
      <c r="J1630" s="26" t="s">
        <v>39</v>
      </c>
      <c r="K1630" s="27">
        <v>0.94339622641509424</v>
      </c>
      <c r="L1630" s="33">
        <v>0.33333333333333331</v>
      </c>
      <c r="M1630" s="41" t="s">
        <v>410</v>
      </c>
      <c r="N1630" s="1" t="s">
        <v>38</v>
      </c>
      <c r="O1630" s="26" t="s">
        <v>42</v>
      </c>
      <c r="P1630" s="27">
        <v>3.2258064516129035</v>
      </c>
      <c r="Q1630" s="33">
        <v>0.33333333333333331</v>
      </c>
      <c r="R1630" s="55" t="s">
        <v>37</v>
      </c>
      <c r="S1630" s="26" t="s">
        <v>38</v>
      </c>
      <c r="T1630" s="26" t="s">
        <v>39</v>
      </c>
      <c r="U1630" s="27">
        <v>0.95238095238095233</v>
      </c>
      <c r="V1630" s="33">
        <v>0.33333333333333331</v>
      </c>
      <c r="W1630" s="26" t="s">
        <v>408</v>
      </c>
      <c r="X1630" s="26" t="s">
        <v>409</v>
      </c>
      <c r="Y1630" s="26" t="s">
        <v>39</v>
      </c>
      <c r="Z1630" s="27">
        <v>0.94339622641509424</v>
      </c>
      <c r="AA1630" s="33">
        <v>0.33333333333333331</v>
      </c>
      <c r="AB1630" s="26" t="s">
        <v>411</v>
      </c>
      <c r="AC1630" s="26" t="s">
        <v>38</v>
      </c>
      <c r="AD1630" s="26" t="s">
        <v>42</v>
      </c>
      <c r="AE1630" s="27">
        <v>2.5</v>
      </c>
      <c r="AF1630" s="36">
        <v>0.33333333333333331</v>
      </c>
      <c r="AG1630" s="31">
        <v>0</v>
      </c>
      <c r="AH1630" t="s">
        <v>44</v>
      </c>
    </row>
    <row r="1631" spans="1:34">
      <c r="A1631" s="15" t="s">
        <v>1708</v>
      </c>
      <c r="B1631" s="8" t="s">
        <v>1690</v>
      </c>
      <c r="C1631" s="41" t="s">
        <v>37</v>
      </c>
      <c r="D1631" s="1" t="s">
        <v>38</v>
      </c>
      <c r="E1631" s="26" t="s">
        <v>39</v>
      </c>
      <c r="F1631" s="27">
        <v>0.95238095238095233</v>
      </c>
      <c r="G1631" s="33">
        <v>0.33333333333333331</v>
      </c>
      <c r="H1631" s="41" t="s">
        <v>408</v>
      </c>
      <c r="I1631" s="1" t="s">
        <v>409</v>
      </c>
      <c r="J1631" s="26" t="s">
        <v>39</v>
      </c>
      <c r="K1631" s="27">
        <v>0.94339622641509424</v>
      </c>
      <c r="L1631" s="33">
        <v>0.33333333333333331</v>
      </c>
      <c r="M1631" s="41" t="s">
        <v>410</v>
      </c>
      <c r="N1631" s="1" t="s">
        <v>38</v>
      </c>
      <c r="O1631" s="26" t="s">
        <v>42</v>
      </c>
      <c r="P1631" s="27">
        <v>3.2258064516129035</v>
      </c>
      <c r="Q1631" s="33">
        <v>0.33333333333333331</v>
      </c>
      <c r="R1631" s="55" t="s">
        <v>37</v>
      </c>
      <c r="S1631" s="26" t="s">
        <v>38</v>
      </c>
      <c r="T1631" s="26" t="s">
        <v>39</v>
      </c>
      <c r="U1631" s="27">
        <v>0.95238095238095233</v>
      </c>
      <c r="V1631" s="33">
        <v>0.33333333333333331</v>
      </c>
      <c r="W1631" s="26" t="s">
        <v>408</v>
      </c>
      <c r="X1631" s="26" t="s">
        <v>409</v>
      </c>
      <c r="Y1631" s="26" t="s">
        <v>39</v>
      </c>
      <c r="Z1631" s="27">
        <v>0.94339622641509424</v>
      </c>
      <c r="AA1631" s="33">
        <v>0.33333333333333331</v>
      </c>
      <c r="AB1631" s="26" t="s">
        <v>411</v>
      </c>
      <c r="AC1631" s="26" t="s">
        <v>38</v>
      </c>
      <c r="AD1631" s="26" t="s">
        <v>42</v>
      </c>
      <c r="AE1631" s="27">
        <v>2.5</v>
      </c>
      <c r="AF1631" s="36">
        <v>0.33333333333333331</v>
      </c>
      <c r="AG1631" s="31">
        <v>0</v>
      </c>
      <c r="AH1631" t="s">
        <v>44</v>
      </c>
    </row>
    <row r="1632" spans="1:34">
      <c r="A1632" s="15" t="s">
        <v>1709</v>
      </c>
      <c r="B1632" s="8" t="s">
        <v>1690</v>
      </c>
      <c r="C1632" s="41" t="s">
        <v>37</v>
      </c>
      <c r="D1632" s="1" t="s">
        <v>38</v>
      </c>
      <c r="E1632" s="26" t="s">
        <v>39</v>
      </c>
      <c r="F1632" s="27">
        <v>0.95238095238095233</v>
      </c>
      <c r="G1632" s="33">
        <v>0.33333333333333331</v>
      </c>
      <c r="H1632" s="41" t="s">
        <v>408</v>
      </c>
      <c r="I1632" s="1" t="s">
        <v>409</v>
      </c>
      <c r="J1632" s="26" t="s">
        <v>39</v>
      </c>
      <c r="K1632" s="27">
        <v>0.94339622641509424</v>
      </c>
      <c r="L1632" s="33">
        <v>0.33333333333333331</v>
      </c>
      <c r="M1632" s="41" t="s">
        <v>410</v>
      </c>
      <c r="N1632" s="1" t="s">
        <v>38</v>
      </c>
      <c r="O1632" s="26" t="s">
        <v>42</v>
      </c>
      <c r="P1632" s="27">
        <v>3.2258064516129035</v>
      </c>
      <c r="Q1632" s="33">
        <v>0.33333333333333331</v>
      </c>
      <c r="R1632" s="55" t="s">
        <v>37</v>
      </c>
      <c r="S1632" s="26" t="s">
        <v>38</v>
      </c>
      <c r="T1632" s="26" t="s">
        <v>39</v>
      </c>
      <c r="U1632" s="27">
        <v>0.95238095238095233</v>
      </c>
      <c r="V1632" s="33">
        <v>0.33333333333333331</v>
      </c>
      <c r="W1632" s="26" t="s">
        <v>408</v>
      </c>
      <c r="X1632" s="26" t="s">
        <v>409</v>
      </c>
      <c r="Y1632" s="26" t="s">
        <v>39</v>
      </c>
      <c r="Z1632" s="27">
        <v>0.94339622641509424</v>
      </c>
      <c r="AA1632" s="33">
        <v>0.33333333333333331</v>
      </c>
      <c r="AB1632" s="26" t="s">
        <v>411</v>
      </c>
      <c r="AC1632" s="26" t="s">
        <v>38</v>
      </c>
      <c r="AD1632" s="26" t="s">
        <v>42</v>
      </c>
      <c r="AE1632" s="27">
        <v>2.5</v>
      </c>
      <c r="AF1632" s="36">
        <v>0.33333333333333331</v>
      </c>
      <c r="AG1632" s="31">
        <v>0</v>
      </c>
      <c r="AH1632" t="s">
        <v>44</v>
      </c>
    </row>
    <row r="1633" spans="1:34">
      <c r="A1633" s="15" t="s">
        <v>1710</v>
      </c>
      <c r="B1633" s="8" t="s">
        <v>1690</v>
      </c>
      <c r="C1633" s="41" t="s">
        <v>37</v>
      </c>
      <c r="D1633" s="1" t="s">
        <v>38</v>
      </c>
      <c r="E1633" s="26" t="s">
        <v>39</v>
      </c>
      <c r="F1633" s="27">
        <v>0.95238095238095233</v>
      </c>
      <c r="G1633" s="33">
        <v>0.33333333333333331</v>
      </c>
      <c r="H1633" s="41" t="s">
        <v>408</v>
      </c>
      <c r="I1633" s="1" t="s">
        <v>409</v>
      </c>
      <c r="J1633" s="26" t="s">
        <v>39</v>
      </c>
      <c r="K1633" s="27">
        <v>0.94339622641509424</v>
      </c>
      <c r="L1633" s="33">
        <v>0.33333333333333331</v>
      </c>
      <c r="M1633" s="41" t="s">
        <v>410</v>
      </c>
      <c r="N1633" s="1" t="s">
        <v>38</v>
      </c>
      <c r="O1633" s="26" t="s">
        <v>42</v>
      </c>
      <c r="P1633" s="27">
        <v>3.2258064516129035</v>
      </c>
      <c r="Q1633" s="33">
        <v>0.33333333333333331</v>
      </c>
      <c r="R1633" s="55" t="s">
        <v>37</v>
      </c>
      <c r="S1633" s="26" t="s">
        <v>38</v>
      </c>
      <c r="T1633" s="26" t="s">
        <v>39</v>
      </c>
      <c r="U1633" s="27">
        <v>0.95238095238095233</v>
      </c>
      <c r="V1633" s="33">
        <v>0.33333333333333331</v>
      </c>
      <c r="W1633" s="26" t="s">
        <v>408</v>
      </c>
      <c r="X1633" s="26" t="s">
        <v>409</v>
      </c>
      <c r="Y1633" s="26" t="s">
        <v>39</v>
      </c>
      <c r="Z1633" s="27">
        <v>0.94339622641509424</v>
      </c>
      <c r="AA1633" s="33">
        <v>0.33333333333333331</v>
      </c>
      <c r="AB1633" s="26" t="s">
        <v>411</v>
      </c>
      <c r="AC1633" s="26" t="s">
        <v>38</v>
      </c>
      <c r="AD1633" s="26" t="s">
        <v>42</v>
      </c>
      <c r="AE1633" s="27">
        <v>2.5</v>
      </c>
      <c r="AF1633" s="36">
        <v>0.33333333333333331</v>
      </c>
      <c r="AG1633" s="31">
        <v>0</v>
      </c>
      <c r="AH1633" t="s">
        <v>44</v>
      </c>
    </row>
    <row r="1634" spans="1:34">
      <c r="A1634" s="15" t="s">
        <v>1711</v>
      </c>
      <c r="B1634" s="8" t="s">
        <v>1690</v>
      </c>
      <c r="C1634" s="41" t="s">
        <v>37</v>
      </c>
      <c r="D1634" s="1" t="s">
        <v>38</v>
      </c>
      <c r="E1634" s="26" t="s">
        <v>39</v>
      </c>
      <c r="F1634" s="27">
        <v>0.95238095238095233</v>
      </c>
      <c r="G1634" s="33">
        <v>0.33333333333333331</v>
      </c>
      <c r="H1634" s="41" t="s">
        <v>408</v>
      </c>
      <c r="I1634" s="1" t="s">
        <v>409</v>
      </c>
      <c r="J1634" s="26" t="s">
        <v>39</v>
      </c>
      <c r="K1634" s="27">
        <v>0.94339622641509424</v>
      </c>
      <c r="L1634" s="33">
        <v>0.33333333333333331</v>
      </c>
      <c r="M1634" s="41" t="s">
        <v>410</v>
      </c>
      <c r="N1634" s="1" t="s">
        <v>38</v>
      </c>
      <c r="O1634" s="26" t="s">
        <v>42</v>
      </c>
      <c r="P1634" s="27">
        <v>3.2258064516129035</v>
      </c>
      <c r="Q1634" s="33">
        <v>0.33333333333333331</v>
      </c>
      <c r="R1634" s="55" t="s">
        <v>37</v>
      </c>
      <c r="S1634" s="26" t="s">
        <v>38</v>
      </c>
      <c r="T1634" s="26" t="s">
        <v>39</v>
      </c>
      <c r="U1634" s="27">
        <v>0.95238095238095233</v>
      </c>
      <c r="V1634" s="33">
        <v>0.33333333333333331</v>
      </c>
      <c r="W1634" s="26" t="s">
        <v>408</v>
      </c>
      <c r="X1634" s="26" t="s">
        <v>409</v>
      </c>
      <c r="Y1634" s="26" t="s">
        <v>39</v>
      </c>
      <c r="Z1634" s="27">
        <v>0.94339622641509424</v>
      </c>
      <c r="AA1634" s="33">
        <v>0.33333333333333331</v>
      </c>
      <c r="AB1634" s="26" t="s">
        <v>411</v>
      </c>
      <c r="AC1634" s="26" t="s">
        <v>38</v>
      </c>
      <c r="AD1634" s="26" t="s">
        <v>42</v>
      </c>
      <c r="AE1634" s="27">
        <v>2.5</v>
      </c>
      <c r="AF1634" s="36">
        <v>0.33333333333333331</v>
      </c>
      <c r="AG1634" s="31">
        <v>0</v>
      </c>
      <c r="AH1634" t="s">
        <v>44</v>
      </c>
    </row>
    <row r="1635" spans="1:34">
      <c r="A1635" s="15" t="s">
        <v>1712</v>
      </c>
      <c r="B1635" s="8" t="s">
        <v>1690</v>
      </c>
      <c r="C1635" s="41" t="s">
        <v>37</v>
      </c>
      <c r="D1635" s="1" t="s">
        <v>38</v>
      </c>
      <c r="E1635" s="26" t="s">
        <v>39</v>
      </c>
      <c r="F1635" s="27">
        <v>0.95238095238095233</v>
      </c>
      <c r="G1635" s="33">
        <v>0.33333333333333331</v>
      </c>
      <c r="H1635" s="41" t="s">
        <v>408</v>
      </c>
      <c r="I1635" s="1" t="s">
        <v>409</v>
      </c>
      <c r="J1635" s="26" t="s">
        <v>39</v>
      </c>
      <c r="K1635" s="27">
        <v>0.94339622641509424</v>
      </c>
      <c r="L1635" s="33">
        <v>0.33333333333333331</v>
      </c>
      <c r="M1635" s="41" t="s">
        <v>410</v>
      </c>
      <c r="N1635" s="1" t="s">
        <v>38</v>
      </c>
      <c r="O1635" s="26" t="s">
        <v>42</v>
      </c>
      <c r="P1635" s="27">
        <v>3.2258064516129035</v>
      </c>
      <c r="Q1635" s="33">
        <v>0.33333333333333331</v>
      </c>
      <c r="R1635" s="55" t="s">
        <v>37</v>
      </c>
      <c r="S1635" s="26" t="s">
        <v>38</v>
      </c>
      <c r="T1635" s="26" t="s">
        <v>39</v>
      </c>
      <c r="U1635" s="27">
        <v>0.95238095238095233</v>
      </c>
      <c r="V1635" s="33">
        <v>0.33333333333333331</v>
      </c>
      <c r="W1635" s="26" t="s">
        <v>408</v>
      </c>
      <c r="X1635" s="26" t="s">
        <v>409</v>
      </c>
      <c r="Y1635" s="26" t="s">
        <v>39</v>
      </c>
      <c r="Z1635" s="27">
        <v>0.94339622641509424</v>
      </c>
      <c r="AA1635" s="33">
        <v>0.33333333333333331</v>
      </c>
      <c r="AB1635" s="26" t="s">
        <v>411</v>
      </c>
      <c r="AC1635" s="26" t="s">
        <v>38</v>
      </c>
      <c r="AD1635" s="26" t="s">
        <v>42</v>
      </c>
      <c r="AE1635" s="27">
        <v>2.5</v>
      </c>
      <c r="AF1635" s="36">
        <v>0.33333333333333331</v>
      </c>
      <c r="AG1635" s="31">
        <v>0</v>
      </c>
      <c r="AH1635" t="s">
        <v>44</v>
      </c>
    </row>
    <row r="1636" spans="1:34">
      <c r="A1636" s="15" t="s">
        <v>1713</v>
      </c>
      <c r="B1636" s="8" t="s">
        <v>1690</v>
      </c>
      <c r="C1636" s="41" t="s">
        <v>37</v>
      </c>
      <c r="D1636" s="1" t="s">
        <v>38</v>
      </c>
      <c r="E1636" s="26" t="s">
        <v>39</v>
      </c>
      <c r="F1636" s="27">
        <v>0.95238095238095233</v>
      </c>
      <c r="G1636" s="33">
        <v>0.33333333333333331</v>
      </c>
      <c r="H1636" s="41" t="s">
        <v>408</v>
      </c>
      <c r="I1636" s="1" t="s">
        <v>409</v>
      </c>
      <c r="J1636" s="26" t="s">
        <v>39</v>
      </c>
      <c r="K1636" s="27">
        <v>0.94339622641509424</v>
      </c>
      <c r="L1636" s="33">
        <v>0.33333333333333331</v>
      </c>
      <c r="M1636" s="41" t="s">
        <v>410</v>
      </c>
      <c r="N1636" s="1" t="s">
        <v>38</v>
      </c>
      <c r="O1636" s="26" t="s">
        <v>42</v>
      </c>
      <c r="P1636" s="27">
        <v>3.2258064516129035</v>
      </c>
      <c r="Q1636" s="33">
        <v>0.33333333333333331</v>
      </c>
      <c r="R1636" s="55" t="s">
        <v>37</v>
      </c>
      <c r="S1636" s="26" t="s">
        <v>38</v>
      </c>
      <c r="T1636" s="26" t="s">
        <v>39</v>
      </c>
      <c r="U1636" s="27">
        <v>0.95238095238095233</v>
      </c>
      <c r="V1636" s="33">
        <v>0.33333333333333331</v>
      </c>
      <c r="W1636" s="26" t="s">
        <v>408</v>
      </c>
      <c r="X1636" s="26" t="s">
        <v>409</v>
      </c>
      <c r="Y1636" s="26" t="s">
        <v>39</v>
      </c>
      <c r="Z1636" s="27">
        <v>0.94339622641509424</v>
      </c>
      <c r="AA1636" s="33">
        <v>0.33333333333333331</v>
      </c>
      <c r="AB1636" s="26" t="s">
        <v>411</v>
      </c>
      <c r="AC1636" s="26" t="s">
        <v>38</v>
      </c>
      <c r="AD1636" s="26" t="s">
        <v>42</v>
      </c>
      <c r="AE1636" s="27">
        <v>2.5</v>
      </c>
      <c r="AF1636" s="36">
        <v>0.33333333333333331</v>
      </c>
      <c r="AG1636" s="31">
        <v>0</v>
      </c>
      <c r="AH1636" t="s">
        <v>44</v>
      </c>
    </row>
    <row r="1637" spans="1:34">
      <c r="A1637" s="15" t="s">
        <v>1714</v>
      </c>
      <c r="B1637" s="8" t="s">
        <v>1690</v>
      </c>
      <c r="C1637" s="41" t="s">
        <v>37</v>
      </c>
      <c r="D1637" s="1" t="s">
        <v>38</v>
      </c>
      <c r="E1637" s="26" t="s">
        <v>39</v>
      </c>
      <c r="F1637" s="27">
        <v>0.95238095238095233</v>
      </c>
      <c r="G1637" s="33">
        <v>0.33333333333333331</v>
      </c>
      <c r="H1637" s="41" t="s">
        <v>408</v>
      </c>
      <c r="I1637" s="1" t="s">
        <v>409</v>
      </c>
      <c r="J1637" s="26" t="s">
        <v>39</v>
      </c>
      <c r="K1637" s="27">
        <v>0.94339622641509424</v>
      </c>
      <c r="L1637" s="33">
        <v>0.33333333333333331</v>
      </c>
      <c r="M1637" s="41" t="s">
        <v>410</v>
      </c>
      <c r="N1637" s="1" t="s">
        <v>38</v>
      </c>
      <c r="O1637" s="26" t="s">
        <v>42</v>
      </c>
      <c r="P1637" s="27">
        <v>3.2258064516129035</v>
      </c>
      <c r="Q1637" s="33">
        <v>0.33333333333333331</v>
      </c>
      <c r="R1637" s="55" t="s">
        <v>37</v>
      </c>
      <c r="S1637" s="26" t="s">
        <v>38</v>
      </c>
      <c r="T1637" s="26" t="s">
        <v>39</v>
      </c>
      <c r="U1637" s="27">
        <v>0.95238095238095233</v>
      </c>
      <c r="V1637" s="33">
        <v>0.33333333333333331</v>
      </c>
      <c r="W1637" s="26" t="s">
        <v>408</v>
      </c>
      <c r="X1637" s="26" t="s">
        <v>409</v>
      </c>
      <c r="Y1637" s="26" t="s">
        <v>39</v>
      </c>
      <c r="Z1637" s="27">
        <v>0.94339622641509424</v>
      </c>
      <c r="AA1637" s="33">
        <v>0.33333333333333331</v>
      </c>
      <c r="AB1637" s="26" t="s">
        <v>411</v>
      </c>
      <c r="AC1637" s="26" t="s">
        <v>38</v>
      </c>
      <c r="AD1637" s="26" t="s">
        <v>42</v>
      </c>
      <c r="AE1637" s="27">
        <v>2.5</v>
      </c>
      <c r="AF1637" s="36">
        <v>0.33333333333333331</v>
      </c>
      <c r="AG1637" s="31">
        <v>0</v>
      </c>
      <c r="AH1637" t="s">
        <v>44</v>
      </c>
    </row>
    <row r="1638" spans="1:34">
      <c r="A1638" s="15" t="s">
        <v>1715</v>
      </c>
      <c r="B1638" s="8" t="s">
        <v>1690</v>
      </c>
      <c r="C1638" s="41" t="s">
        <v>37</v>
      </c>
      <c r="D1638" s="1" t="s">
        <v>38</v>
      </c>
      <c r="E1638" s="26" t="s">
        <v>39</v>
      </c>
      <c r="F1638" s="27">
        <v>0.95238095238095233</v>
      </c>
      <c r="G1638" s="33">
        <v>0.33333333333333331</v>
      </c>
      <c r="H1638" s="41" t="s">
        <v>408</v>
      </c>
      <c r="I1638" s="1" t="s">
        <v>409</v>
      </c>
      <c r="J1638" s="26" t="s">
        <v>39</v>
      </c>
      <c r="K1638" s="27">
        <v>0.94339622641509424</v>
      </c>
      <c r="L1638" s="33">
        <v>0.33333333333333331</v>
      </c>
      <c r="M1638" s="41" t="s">
        <v>410</v>
      </c>
      <c r="N1638" s="1" t="s">
        <v>38</v>
      </c>
      <c r="O1638" s="26" t="s">
        <v>42</v>
      </c>
      <c r="P1638" s="27">
        <v>3.2258064516129035</v>
      </c>
      <c r="Q1638" s="33">
        <v>0.33333333333333331</v>
      </c>
      <c r="R1638" s="55" t="s">
        <v>37</v>
      </c>
      <c r="S1638" s="26" t="s">
        <v>38</v>
      </c>
      <c r="T1638" s="26" t="s">
        <v>39</v>
      </c>
      <c r="U1638" s="27">
        <v>0.95238095238095233</v>
      </c>
      <c r="V1638" s="33">
        <v>0.33333333333333331</v>
      </c>
      <c r="W1638" s="26" t="s">
        <v>408</v>
      </c>
      <c r="X1638" s="26" t="s">
        <v>409</v>
      </c>
      <c r="Y1638" s="26" t="s">
        <v>39</v>
      </c>
      <c r="Z1638" s="27">
        <v>0.94339622641509424</v>
      </c>
      <c r="AA1638" s="33">
        <v>0.33333333333333331</v>
      </c>
      <c r="AB1638" s="26" t="s">
        <v>411</v>
      </c>
      <c r="AC1638" s="26" t="s">
        <v>38</v>
      </c>
      <c r="AD1638" s="26" t="s">
        <v>42</v>
      </c>
      <c r="AE1638" s="27">
        <v>2.5</v>
      </c>
      <c r="AF1638" s="36">
        <v>0.33333333333333331</v>
      </c>
      <c r="AG1638" s="31">
        <v>0</v>
      </c>
      <c r="AH1638" t="s">
        <v>44</v>
      </c>
    </row>
    <row r="1639" spans="1:34">
      <c r="A1639" s="15" t="s">
        <v>1716</v>
      </c>
      <c r="B1639" s="8" t="s">
        <v>1690</v>
      </c>
      <c r="C1639" s="41" t="s">
        <v>37</v>
      </c>
      <c r="D1639" s="1" t="s">
        <v>38</v>
      </c>
      <c r="E1639" s="26" t="s">
        <v>39</v>
      </c>
      <c r="F1639" s="27">
        <v>0.95238095238095233</v>
      </c>
      <c r="G1639" s="33">
        <v>0.33333333333333331</v>
      </c>
      <c r="H1639" s="41" t="s">
        <v>408</v>
      </c>
      <c r="I1639" s="1" t="s">
        <v>409</v>
      </c>
      <c r="J1639" s="26" t="s">
        <v>39</v>
      </c>
      <c r="K1639" s="27">
        <v>0.94339622641509424</v>
      </c>
      <c r="L1639" s="33">
        <v>0.33333333333333331</v>
      </c>
      <c r="M1639" s="41" t="s">
        <v>410</v>
      </c>
      <c r="N1639" s="1" t="s">
        <v>38</v>
      </c>
      <c r="O1639" s="26" t="s">
        <v>42</v>
      </c>
      <c r="P1639" s="27">
        <v>3.2258064516129035</v>
      </c>
      <c r="Q1639" s="33">
        <v>0.33333333333333331</v>
      </c>
      <c r="R1639" s="55" t="s">
        <v>37</v>
      </c>
      <c r="S1639" s="26" t="s">
        <v>38</v>
      </c>
      <c r="T1639" s="26" t="s">
        <v>39</v>
      </c>
      <c r="U1639" s="27">
        <v>0.95238095238095233</v>
      </c>
      <c r="V1639" s="33">
        <v>0.33333333333333331</v>
      </c>
      <c r="W1639" s="26" t="s">
        <v>408</v>
      </c>
      <c r="X1639" s="26" t="s">
        <v>409</v>
      </c>
      <c r="Y1639" s="26" t="s">
        <v>39</v>
      </c>
      <c r="Z1639" s="27">
        <v>0.94339622641509424</v>
      </c>
      <c r="AA1639" s="33">
        <v>0.33333333333333331</v>
      </c>
      <c r="AB1639" s="26" t="s">
        <v>411</v>
      </c>
      <c r="AC1639" s="26" t="s">
        <v>38</v>
      </c>
      <c r="AD1639" s="26" t="s">
        <v>42</v>
      </c>
      <c r="AE1639" s="27">
        <v>2.5</v>
      </c>
      <c r="AF1639" s="36">
        <v>0.33333333333333331</v>
      </c>
      <c r="AG1639" s="31">
        <v>0</v>
      </c>
      <c r="AH1639" t="s">
        <v>44</v>
      </c>
    </row>
    <row r="1640" spans="1:34">
      <c r="A1640" s="15" t="s">
        <v>1717</v>
      </c>
      <c r="B1640" s="8" t="s">
        <v>1690</v>
      </c>
      <c r="C1640" s="41" t="s">
        <v>37</v>
      </c>
      <c r="D1640" s="1" t="s">
        <v>38</v>
      </c>
      <c r="E1640" s="26" t="s">
        <v>39</v>
      </c>
      <c r="F1640" s="27">
        <v>0.95238095238095233</v>
      </c>
      <c r="G1640" s="33">
        <v>0.33333333333333331</v>
      </c>
      <c r="H1640" s="41" t="s">
        <v>408</v>
      </c>
      <c r="I1640" s="1" t="s">
        <v>409</v>
      </c>
      <c r="J1640" s="26" t="s">
        <v>39</v>
      </c>
      <c r="K1640" s="27">
        <v>0.94339622641509424</v>
      </c>
      <c r="L1640" s="33">
        <v>0.33333333333333331</v>
      </c>
      <c r="M1640" s="41" t="s">
        <v>410</v>
      </c>
      <c r="N1640" s="1" t="s">
        <v>38</v>
      </c>
      <c r="O1640" s="26" t="s">
        <v>42</v>
      </c>
      <c r="P1640" s="27">
        <v>3.2258064516129035</v>
      </c>
      <c r="Q1640" s="33">
        <v>0.33333333333333331</v>
      </c>
      <c r="R1640" s="55" t="s">
        <v>37</v>
      </c>
      <c r="S1640" s="26" t="s">
        <v>38</v>
      </c>
      <c r="T1640" s="26" t="s">
        <v>39</v>
      </c>
      <c r="U1640" s="27">
        <v>0.95238095238095233</v>
      </c>
      <c r="V1640" s="33">
        <v>0.33333333333333331</v>
      </c>
      <c r="W1640" s="26" t="s">
        <v>408</v>
      </c>
      <c r="X1640" s="26" t="s">
        <v>409</v>
      </c>
      <c r="Y1640" s="26" t="s">
        <v>39</v>
      </c>
      <c r="Z1640" s="27">
        <v>0.94339622641509424</v>
      </c>
      <c r="AA1640" s="33">
        <v>0.33333333333333331</v>
      </c>
      <c r="AB1640" s="26" t="s">
        <v>411</v>
      </c>
      <c r="AC1640" s="26" t="s">
        <v>38</v>
      </c>
      <c r="AD1640" s="26" t="s">
        <v>42</v>
      </c>
      <c r="AE1640" s="27">
        <v>2.5</v>
      </c>
      <c r="AF1640" s="36">
        <v>0.33333333333333331</v>
      </c>
      <c r="AG1640" s="31">
        <v>0</v>
      </c>
      <c r="AH1640" t="s">
        <v>44</v>
      </c>
    </row>
    <row r="1641" spans="1:34">
      <c r="A1641" s="15" t="s">
        <v>1718</v>
      </c>
      <c r="B1641" s="8" t="s">
        <v>1690</v>
      </c>
      <c r="C1641" s="41" t="s">
        <v>37</v>
      </c>
      <c r="D1641" s="1" t="s">
        <v>38</v>
      </c>
      <c r="E1641" s="26" t="s">
        <v>39</v>
      </c>
      <c r="F1641" s="27">
        <v>0.95238095238095233</v>
      </c>
      <c r="G1641" s="33">
        <v>0.33333333333333331</v>
      </c>
      <c r="H1641" s="41" t="s">
        <v>408</v>
      </c>
      <c r="I1641" s="1" t="s">
        <v>409</v>
      </c>
      <c r="J1641" s="26" t="s">
        <v>39</v>
      </c>
      <c r="K1641" s="27">
        <v>0.94339622641509424</v>
      </c>
      <c r="L1641" s="33">
        <v>0.33333333333333331</v>
      </c>
      <c r="M1641" s="41" t="s">
        <v>410</v>
      </c>
      <c r="N1641" s="1" t="s">
        <v>38</v>
      </c>
      <c r="O1641" s="26" t="s">
        <v>42</v>
      </c>
      <c r="P1641" s="27">
        <v>3.2258064516129035</v>
      </c>
      <c r="Q1641" s="33">
        <v>0.33333333333333331</v>
      </c>
      <c r="R1641" s="55" t="s">
        <v>37</v>
      </c>
      <c r="S1641" s="26" t="s">
        <v>38</v>
      </c>
      <c r="T1641" s="26" t="s">
        <v>39</v>
      </c>
      <c r="U1641" s="27">
        <v>0.95238095238095233</v>
      </c>
      <c r="V1641" s="33">
        <v>0.33333333333333331</v>
      </c>
      <c r="W1641" s="26" t="s">
        <v>408</v>
      </c>
      <c r="X1641" s="26" t="s">
        <v>409</v>
      </c>
      <c r="Y1641" s="26" t="s">
        <v>39</v>
      </c>
      <c r="Z1641" s="27">
        <v>0.94339622641509424</v>
      </c>
      <c r="AA1641" s="33">
        <v>0.33333333333333331</v>
      </c>
      <c r="AB1641" s="26" t="s">
        <v>411</v>
      </c>
      <c r="AC1641" s="26" t="s">
        <v>38</v>
      </c>
      <c r="AD1641" s="26" t="s">
        <v>42</v>
      </c>
      <c r="AE1641" s="27">
        <v>2.5</v>
      </c>
      <c r="AF1641" s="36">
        <v>0.33333333333333331</v>
      </c>
      <c r="AG1641" s="31">
        <v>0</v>
      </c>
      <c r="AH1641" t="s">
        <v>44</v>
      </c>
    </row>
    <row r="1642" spans="1:34">
      <c r="A1642" s="15" t="s">
        <v>1719</v>
      </c>
      <c r="B1642" s="8" t="s">
        <v>1690</v>
      </c>
      <c r="C1642" s="41" t="s">
        <v>37</v>
      </c>
      <c r="D1642" s="1" t="s">
        <v>38</v>
      </c>
      <c r="E1642" s="26" t="s">
        <v>39</v>
      </c>
      <c r="F1642" s="27">
        <v>0.95238095238095233</v>
      </c>
      <c r="G1642" s="33">
        <v>0.33333333333333331</v>
      </c>
      <c r="H1642" s="41" t="s">
        <v>408</v>
      </c>
      <c r="I1642" s="1" t="s">
        <v>409</v>
      </c>
      <c r="J1642" s="26" t="s">
        <v>39</v>
      </c>
      <c r="K1642" s="27">
        <v>0.94339622641509424</v>
      </c>
      <c r="L1642" s="33">
        <v>0.33333333333333331</v>
      </c>
      <c r="M1642" s="41" t="s">
        <v>410</v>
      </c>
      <c r="N1642" s="1" t="s">
        <v>38</v>
      </c>
      <c r="O1642" s="26" t="s">
        <v>42</v>
      </c>
      <c r="P1642" s="27">
        <v>3.2258064516129035</v>
      </c>
      <c r="Q1642" s="33">
        <v>0.33333333333333331</v>
      </c>
      <c r="R1642" s="55" t="s">
        <v>37</v>
      </c>
      <c r="S1642" s="26" t="s">
        <v>38</v>
      </c>
      <c r="T1642" s="26" t="s">
        <v>39</v>
      </c>
      <c r="U1642" s="27">
        <v>0.95238095238095233</v>
      </c>
      <c r="V1642" s="33">
        <v>0.33333333333333331</v>
      </c>
      <c r="W1642" s="26" t="s">
        <v>408</v>
      </c>
      <c r="X1642" s="26" t="s">
        <v>409</v>
      </c>
      <c r="Y1642" s="26" t="s">
        <v>39</v>
      </c>
      <c r="Z1642" s="27">
        <v>0.94339622641509424</v>
      </c>
      <c r="AA1642" s="33">
        <v>0.33333333333333331</v>
      </c>
      <c r="AB1642" s="26" t="s">
        <v>411</v>
      </c>
      <c r="AC1642" s="26" t="s">
        <v>38</v>
      </c>
      <c r="AD1642" s="26" t="s">
        <v>42</v>
      </c>
      <c r="AE1642" s="27">
        <v>2.5</v>
      </c>
      <c r="AF1642" s="36">
        <v>0.33333333333333331</v>
      </c>
      <c r="AG1642" s="31">
        <v>0</v>
      </c>
      <c r="AH1642" t="s">
        <v>44</v>
      </c>
    </row>
    <row r="1643" spans="1:34">
      <c r="A1643" s="15" t="s">
        <v>1720</v>
      </c>
      <c r="B1643" s="8" t="s">
        <v>1690</v>
      </c>
      <c r="C1643" s="41" t="s">
        <v>37</v>
      </c>
      <c r="D1643" s="1" t="s">
        <v>38</v>
      </c>
      <c r="E1643" s="26" t="s">
        <v>39</v>
      </c>
      <c r="F1643" s="27">
        <v>0.95238095238095233</v>
      </c>
      <c r="G1643" s="33">
        <v>0.33333333333333331</v>
      </c>
      <c r="H1643" s="41" t="s">
        <v>408</v>
      </c>
      <c r="I1643" s="1" t="s">
        <v>409</v>
      </c>
      <c r="J1643" s="26" t="s">
        <v>39</v>
      </c>
      <c r="K1643" s="27">
        <v>0.94339622641509424</v>
      </c>
      <c r="L1643" s="33">
        <v>0.33333333333333331</v>
      </c>
      <c r="M1643" s="41" t="s">
        <v>410</v>
      </c>
      <c r="N1643" s="1" t="s">
        <v>38</v>
      </c>
      <c r="O1643" s="26" t="s">
        <v>42</v>
      </c>
      <c r="P1643" s="27">
        <v>3.2258064516129035</v>
      </c>
      <c r="Q1643" s="33">
        <v>0.33333333333333331</v>
      </c>
      <c r="R1643" s="55" t="s">
        <v>37</v>
      </c>
      <c r="S1643" s="26" t="s">
        <v>38</v>
      </c>
      <c r="T1643" s="26" t="s">
        <v>39</v>
      </c>
      <c r="U1643" s="27">
        <v>0.95238095238095233</v>
      </c>
      <c r="V1643" s="33">
        <v>0.33333333333333331</v>
      </c>
      <c r="W1643" s="26" t="s">
        <v>408</v>
      </c>
      <c r="X1643" s="26" t="s">
        <v>409</v>
      </c>
      <c r="Y1643" s="26" t="s">
        <v>39</v>
      </c>
      <c r="Z1643" s="27">
        <v>0.94339622641509424</v>
      </c>
      <c r="AA1643" s="33">
        <v>0.33333333333333331</v>
      </c>
      <c r="AB1643" s="26" t="s">
        <v>411</v>
      </c>
      <c r="AC1643" s="26" t="s">
        <v>38</v>
      </c>
      <c r="AD1643" s="26" t="s">
        <v>42</v>
      </c>
      <c r="AE1643" s="27">
        <v>2.5</v>
      </c>
      <c r="AF1643" s="36">
        <v>0.33333333333333331</v>
      </c>
      <c r="AG1643" s="31">
        <v>0</v>
      </c>
      <c r="AH1643" t="s">
        <v>44</v>
      </c>
    </row>
    <row r="1644" spans="1:34">
      <c r="A1644" s="15" t="s">
        <v>1721</v>
      </c>
      <c r="B1644" s="8" t="s">
        <v>1690</v>
      </c>
      <c r="C1644" s="41" t="s">
        <v>37</v>
      </c>
      <c r="D1644" s="1" t="s">
        <v>38</v>
      </c>
      <c r="E1644" s="26" t="s">
        <v>39</v>
      </c>
      <c r="F1644" s="27">
        <v>0.95238095238095233</v>
      </c>
      <c r="G1644" s="33">
        <v>0.33333333333333331</v>
      </c>
      <c r="H1644" s="41" t="s">
        <v>408</v>
      </c>
      <c r="I1644" s="1" t="s">
        <v>409</v>
      </c>
      <c r="J1644" s="26" t="s">
        <v>39</v>
      </c>
      <c r="K1644" s="27">
        <v>0.94339622641509424</v>
      </c>
      <c r="L1644" s="33">
        <v>0.33333333333333331</v>
      </c>
      <c r="M1644" s="41" t="s">
        <v>410</v>
      </c>
      <c r="N1644" s="1" t="s">
        <v>38</v>
      </c>
      <c r="O1644" s="26" t="s">
        <v>42</v>
      </c>
      <c r="P1644" s="27">
        <v>3.2258064516129035</v>
      </c>
      <c r="Q1644" s="33">
        <v>0.33333333333333331</v>
      </c>
      <c r="R1644" s="55" t="s">
        <v>37</v>
      </c>
      <c r="S1644" s="26" t="s">
        <v>38</v>
      </c>
      <c r="T1644" s="26" t="s">
        <v>39</v>
      </c>
      <c r="U1644" s="27">
        <v>0.95238095238095233</v>
      </c>
      <c r="V1644" s="33">
        <v>0.33333333333333331</v>
      </c>
      <c r="W1644" s="26" t="s">
        <v>408</v>
      </c>
      <c r="X1644" s="26" t="s">
        <v>409</v>
      </c>
      <c r="Y1644" s="26" t="s">
        <v>39</v>
      </c>
      <c r="Z1644" s="27">
        <v>0.94339622641509424</v>
      </c>
      <c r="AA1644" s="33">
        <v>0.33333333333333331</v>
      </c>
      <c r="AB1644" s="26" t="s">
        <v>411</v>
      </c>
      <c r="AC1644" s="26" t="s">
        <v>38</v>
      </c>
      <c r="AD1644" s="26" t="s">
        <v>42</v>
      </c>
      <c r="AE1644" s="27">
        <v>2.5</v>
      </c>
      <c r="AF1644" s="36">
        <v>0.33333333333333331</v>
      </c>
      <c r="AG1644" s="31">
        <v>0</v>
      </c>
      <c r="AH1644" t="s">
        <v>44</v>
      </c>
    </row>
    <row r="1645" spans="1:34">
      <c r="A1645" s="15" t="s">
        <v>1722</v>
      </c>
      <c r="B1645" s="8" t="s">
        <v>1690</v>
      </c>
      <c r="C1645" s="41" t="s">
        <v>37</v>
      </c>
      <c r="D1645" s="1" t="s">
        <v>38</v>
      </c>
      <c r="E1645" s="26" t="s">
        <v>39</v>
      </c>
      <c r="F1645" s="27">
        <v>0.95238095238095233</v>
      </c>
      <c r="G1645" s="33">
        <v>0.33333333333333331</v>
      </c>
      <c r="H1645" s="41" t="s">
        <v>408</v>
      </c>
      <c r="I1645" s="1" t="s">
        <v>409</v>
      </c>
      <c r="J1645" s="26" t="s">
        <v>39</v>
      </c>
      <c r="K1645" s="27">
        <v>0.94339622641509424</v>
      </c>
      <c r="L1645" s="33">
        <v>0.33333333333333331</v>
      </c>
      <c r="M1645" s="41" t="s">
        <v>410</v>
      </c>
      <c r="N1645" s="1" t="s">
        <v>38</v>
      </c>
      <c r="O1645" s="26" t="s">
        <v>42</v>
      </c>
      <c r="P1645" s="27">
        <v>3.2258064516129035</v>
      </c>
      <c r="Q1645" s="33">
        <v>0.33333333333333331</v>
      </c>
      <c r="R1645" s="55" t="s">
        <v>37</v>
      </c>
      <c r="S1645" s="26" t="s">
        <v>38</v>
      </c>
      <c r="T1645" s="26" t="s">
        <v>39</v>
      </c>
      <c r="U1645" s="27">
        <v>0.95238095238095233</v>
      </c>
      <c r="V1645" s="33">
        <v>0.33333333333333331</v>
      </c>
      <c r="W1645" s="26" t="s">
        <v>408</v>
      </c>
      <c r="X1645" s="26" t="s">
        <v>409</v>
      </c>
      <c r="Y1645" s="26" t="s">
        <v>39</v>
      </c>
      <c r="Z1645" s="27">
        <v>0.94339622641509424</v>
      </c>
      <c r="AA1645" s="33">
        <v>0.33333333333333331</v>
      </c>
      <c r="AB1645" s="26" t="s">
        <v>411</v>
      </c>
      <c r="AC1645" s="26" t="s">
        <v>38</v>
      </c>
      <c r="AD1645" s="26" t="s">
        <v>42</v>
      </c>
      <c r="AE1645" s="27">
        <v>2.5</v>
      </c>
      <c r="AF1645" s="36">
        <v>0.33333333333333331</v>
      </c>
      <c r="AG1645" s="31">
        <v>0</v>
      </c>
      <c r="AH1645" t="s">
        <v>44</v>
      </c>
    </row>
    <row r="1646" spans="1:34">
      <c r="A1646" s="15" t="s">
        <v>1723</v>
      </c>
      <c r="B1646" s="8" t="s">
        <v>1690</v>
      </c>
      <c r="C1646" s="41" t="s">
        <v>37</v>
      </c>
      <c r="D1646" s="1" t="s">
        <v>38</v>
      </c>
      <c r="E1646" s="26" t="s">
        <v>39</v>
      </c>
      <c r="F1646" s="27">
        <v>0.95238095238095233</v>
      </c>
      <c r="G1646" s="33">
        <v>0.33333333333333331</v>
      </c>
      <c r="H1646" s="41" t="s">
        <v>408</v>
      </c>
      <c r="I1646" s="1" t="s">
        <v>409</v>
      </c>
      <c r="J1646" s="26" t="s">
        <v>39</v>
      </c>
      <c r="K1646" s="27">
        <v>0.94339622641509424</v>
      </c>
      <c r="L1646" s="33">
        <v>0.33333333333333331</v>
      </c>
      <c r="M1646" s="41" t="s">
        <v>410</v>
      </c>
      <c r="N1646" s="1" t="s">
        <v>38</v>
      </c>
      <c r="O1646" s="26" t="s">
        <v>42</v>
      </c>
      <c r="P1646" s="27">
        <v>3.2258064516129035</v>
      </c>
      <c r="Q1646" s="33">
        <v>0.33333333333333331</v>
      </c>
      <c r="R1646" s="55" t="s">
        <v>37</v>
      </c>
      <c r="S1646" s="26" t="s">
        <v>38</v>
      </c>
      <c r="T1646" s="26" t="s">
        <v>39</v>
      </c>
      <c r="U1646" s="27">
        <v>0.95238095238095233</v>
      </c>
      <c r="V1646" s="33">
        <v>0.33333333333333331</v>
      </c>
      <c r="W1646" s="26" t="s">
        <v>408</v>
      </c>
      <c r="X1646" s="26" t="s">
        <v>409</v>
      </c>
      <c r="Y1646" s="26" t="s">
        <v>39</v>
      </c>
      <c r="Z1646" s="27">
        <v>0.94339622641509424</v>
      </c>
      <c r="AA1646" s="33">
        <v>0.33333333333333331</v>
      </c>
      <c r="AB1646" s="26" t="s">
        <v>411</v>
      </c>
      <c r="AC1646" s="26" t="s">
        <v>38</v>
      </c>
      <c r="AD1646" s="26" t="s">
        <v>42</v>
      </c>
      <c r="AE1646" s="27">
        <v>2.5</v>
      </c>
      <c r="AF1646" s="36">
        <v>0.33333333333333331</v>
      </c>
      <c r="AG1646" s="31">
        <v>0</v>
      </c>
      <c r="AH1646" t="s">
        <v>44</v>
      </c>
    </row>
    <row r="1647" spans="1:34">
      <c r="A1647" s="15" t="s">
        <v>1724</v>
      </c>
      <c r="B1647" s="8" t="s">
        <v>1690</v>
      </c>
      <c r="C1647" s="41" t="s">
        <v>37</v>
      </c>
      <c r="D1647" s="1" t="s">
        <v>38</v>
      </c>
      <c r="E1647" s="26" t="s">
        <v>39</v>
      </c>
      <c r="F1647" s="27">
        <v>0.95238095238095233</v>
      </c>
      <c r="G1647" s="33">
        <v>0.33333333333333331</v>
      </c>
      <c r="H1647" s="41" t="s">
        <v>408</v>
      </c>
      <c r="I1647" s="1" t="s">
        <v>409</v>
      </c>
      <c r="J1647" s="26" t="s">
        <v>39</v>
      </c>
      <c r="K1647" s="27">
        <v>0.94339622641509424</v>
      </c>
      <c r="L1647" s="33">
        <v>0.33333333333333331</v>
      </c>
      <c r="M1647" s="41" t="s">
        <v>410</v>
      </c>
      <c r="N1647" s="1" t="s">
        <v>38</v>
      </c>
      <c r="O1647" s="26" t="s">
        <v>42</v>
      </c>
      <c r="P1647" s="27">
        <v>3.2258064516129035</v>
      </c>
      <c r="Q1647" s="33">
        <v>0.33333333333333331</v>
      </c>
      <c r="R1647" s="55" t="s">
        <v>37</v>
      </c>
      <c r="S1647" s="26" t="s">
        <v>38</v>
      </c>
      <c r="T1647" s="26" t="s">
        <v>39</v>
      </c>
      <c r="U1647" s="27">
        <v>0.95238095238095233</v>
      </c>
      <c r="V1647" s="33">
        <v>0.33333333333333331</v>
      </c>
      <c r="W1647" s="26" t="s">
        <v>408</v>
      </c>
      <c r="X1647" s="26" t="s">
        <v>409</v>
      </c>
      <c r="Y1647" s="26" t="s">
        <v>39</v>
      </c>
      <c r="Z1647" s="27">
        <v>0.94339622641509424</v>
      </c>
      <c r="AA1647" s="33">
        <v>0.33333333333333331</v>
      </c>
      <c r="AB1647" s="26" t="s">
        <v>411</v>
      </c>
      <c r="AC1647" s="26" t="s">
        <v>38</v>
      </c>
      <c r="AD1647" s="26" t="s">
        <v>42</v>
      </c>
      <c r="AE1647" s="27">
        <v>2.5</v>
      </c>
      <c r="AF1647" s="36">
        <v>0.33333333333333331</v>
      </c>
      <c r="AG1647" s="31">
        <v>0</v>
      </c>
      <c r="AH1647" t="s">
        <v>44</v>
      </c>
    </row>
    <row r="1648" spans="1:34">
      <c r="A1648" s="15" t="s">
        <v>1725</v>
      </c>
      <c r="B1648" s="8" t="s">
        <v>1690</v>
      </c>
      <c r="C1648" s="41" t="s">
        <v>37</v>
      </c>
      <c r="D1648" s="1" t="s">
        <v>38</v>
      </c>
      <c r="E1648" s="26" t="s">
        <v>39</v>
      </c>
      <c r="F1648" s="27">
        <v>0.95238095238095233</v>
      </c>
      <c r="G1648" s="33">
        <v>0.33333333333333331</v>
      </c>
      <c r="H1648" s="41" t="s">
        <v>408</v>
      </c>
      <c r="I1648" s="1" t="s">
        <v>409</v>
      </c>
      <c r="J1648" s="26" t="s">
        <v>39</v>
      </c>
      <c r="K1648" s="27">
        <v>0.94339622641509424</v>
      </c>
      <c r="L1648" s="33">
        <v>0.33333333333333331</v>
      </c>
      <c r="M1648" s="41" t="s">
        <v>410</v>
      </c>
      <c r="N1648" s="1" t="s">
        <v>38</v>
      </c>
      <c r="O1648" s="26" t="s">
        <v>42</v>
      </c>
      <c r="P1648" s="27">
        <v>3.2258064516129035</v>
      </c>
      <c r="Q1648" s="33">
        <v>0.33333333333333331</v>
      </c>
      <c r="R1648" s="55" t="s">
        <v>37</v>
      </c>
      <c r="S1648" s="26" t="s">
        <v>38</v>
      </c>
      <c r="T1648" s="26" t="s">
        <v>39</v>
      </c>
      <c r="U1648" s="27">
        <v>0.95238095238095233</v>
      </c>
      <c r="V1648" s="33">
        <v>0.33333333333333331</v>
      </c>
      <c r="W1648" s="26" t="s">
        <v>408</v>
      </c>
      <c r="X1648" s="26" t="s">
        <v>409</v>
      </c>
      <c r="Y1648" s="26" t="s">
        <v>39</v>
      </c>
      <c r="Z1648" s="27">
        <v>0.94339622641509424</v>
      </c>
      <c r="AA1648" s="33">
        <v>0.33333333333333331</v>
      </c>
      <c r="AB1648" s="26" t="s">
        <v>411</v>
      </c>
      <c r="AC1648" s="26" t="s">
        <v>38</v>
      </c>
      <c r="AD1648" s="26" t="s">
        <v>42</v>
      </c>
      <c r="AE1648" s="27">
        <v>2.5</v>
      </c>
      <c r="AF1648" s="36">
        <v>0.33333333333333331</v>
      </c>
      <c r="AG1648" s="31">
        <v>0</v>
      </c>
      <c r="AH1648" t="s">
        <v>44</v>
      </c>
    </row>
    <row r="1649" spans="1:34">
      <c r="A1649" s="15" t="s">
        <v>1726</v>
      </c>
      <c r="B1649" s="8" t="s">
        <v>1690</v>
      </c>
      <c r="C1649" s="41" t="s">
        <v>37</v>
      </c>
      <c r="D1649" s="1" t="s">
        <v>38</v>
      </c>
      <c r="E1649" s="26" t="s">
        <v>39</v>
      </c>
      <c r="F1649" s="27">
        <v>0.95238095238095233</v>
      </c>
      <c r="G1649" s="33">
        <v>0.33333333333333331</v>
      </c>
      <c r="H1649" s="41" t="s">
        <v>408</v>
      </c>
      <c r="I1649" s="1" t="s">
        <v>409</v>
      </c>
      <c r="J1649" s="26" t="s">
        <v>39</v>
      </c>
      <c r="K1649" s="27">
        <v>0.94339622641509424</v>
      </c>
      <c r="L1649" s="33">
        <v>0.33333333333333331</v>
      </c>
      <c r="M1649" s="41" t="s">
        <v>410</v>
      </c>
      <c r="N1649" s="1" t="s">
        <v>38</v>
      </c>
      <c r="O1649" s="26" t="s">
        <v>42</v>
      </c>
      <c r="P1649" s="27">
        <v>3.2258064516129035</v>
      </c>
      <c r="Q1649" s="33">
        <v>0.33333333333333331</v>
      </c>
      <c r="R1649" s="55" t="s">
        <v>37</v>
      </c>
      <c r="S1649" s="26" t="s">
        <v>38</v>
      </c>
      <c r="T1649" s="26" t="s">
        <v>39</v>
      </c>
      <c r="U1649" s="27">
        <v>0.95238095238095233</v>
      </c>
      <c r="V1649" s="33">
        <v>0.33333333333333331</v>
      </c>
      <c r="W1649" s="26" t="s">
        <v>408</v>
      </c>
      <c r="X1649" s="26" t="s">
        <v>409</v>
      </c>
      <c r="Y1649" s="26" t="s">
        <v>39</v>
      </c>
      <c r="Z1649" s="27">
        <v>0.94339622641509424</v>
      </c>
      <c r="AA1649" s="33">
        <v>0.33333333333333331</v>
      </c>
      <c r="AB1649" s="26" t="s">
        <v>411</v>
      </c>
      <c r="AC1649" s="26" t="s">
        <v>38</v>
      </c>
      <c r="AD1649" s="26" t="s">
        <v>42</v>
      </c>
      <c r="AE1649" s="27">
        <v>2.5</v>
      </c>
      <c r="AF1649" s="36">
        <v>0.33333333333333331</v>
      </c>
      <c r="AG1649" s="31">
        <v>0</v>
      </c>
      <c r="AH1649" t="s">
        <v>44</v>
      </c>
    </row>
    <row r="1650" spans="1:34">
      <c r="A1650" s="15" t="s">
        <v>1727</v>
      </c>
      <c r="B1650" s="8" t="s">
        <v>1690</v>
      </c>
      <c r="C1650" s="41" t="s">
        <v>37</v>
      </c>
      <c r="D1650" s="1" t="s">
        <v>38</v>
      </c>
      <c r="E1650" s="26" t="s">
        <v>39</v>
      </c>
      <c r="F1650" s="27">
        <v>0.95238095238095233</v>
      </c>
      <c r="G1650" s="33">
        <v>0.33333333333333331</v>
      </c>
      <c r="H1650" s="41" t="s">
        <v>408</v>
      </c>
      <c r="I1650" s="1" t="s">
        <v>409</v>
      </c>
      <c r="J1650" s="26" t="s">
        <v>39</v>
      </c>
      <c r="K1650" s="27">
        <v>0.94339622641509424</v>
      </c>
      <c r="L1650" s="33">
        <v>0.33333333333333331</v>
      </c>
      <c r="M1650" s="41" t="s">
        <v>410</v>
      </c>
      <c r="N1650" s="1" t="s">
        <v>38</v>
      </c>
      <c r="O1650" s="26" t="s">
        <v>42</v>
      </c>
      <c r="P1650" s="27">
        <v>3.2258064516129035</v>
      </c>
      <c r="Q1650" s="33">
        <v>0.33333333333333331</v>
      </c>
      <c r="R1650" s="55" t="s">
        <v>37</v>
      </c>
      <c r="S1650" s="26" t="s">
        <v>38</v>
      </c>
      <c r="T1650" s="26" t="s">
        <v>39</v>
      </c>
      <c r="U1650" s="27">
        <v>0.95238095238095233</v>
      </c>
      <c r="V1650" s="33">
        <v>0.33333333333333331</v>
      </c>
      <c r="W1650" s="26" t="s">
        <v>408</v>
      </c>
      <c r="X1650" s="26" t="s">
        <v>409</v>
      </c>
      <c r="Y1650" s="26" t="s">
        <v>39</v>
      </c>
      <c r="Z1650" s="27">
        <v>0.94339622641509424</v>
      </c>
      <c r="AA1650" s="33">
        <v>0.33333333333333331</v>
      </c>
      <c r="AB1650" s="26" t="s">
        <v>411</v>
      </c>
      <c r="AC1650" s="26" t="s">
        <v>38</v>
      </c>
      <c r="AD1650" s="26" t="s">
        <v>42</v>
      </c>
      <c r="AE1650" s="27">
        <v>2.5</v>
      </c>
      <c r="AF1650" s="36">
        <v>0.33333333333333331</v>
      </c>
      <c r="AG1650" s="31">
        <v>0</v>
      </c>
      <c r="AH1650" t="s">
        <v>44</v>
      </c>
    </row>
    <row r="1651" spans="1:34">
      <c r="A1651" s="15" t="s">
        <v>1728</v>
      </c>
      <c r="B1651" s="8" t="s">
        <v>1690</v>
      </c>
      <c r="C1651" s="41" t="s">
        <v>37</v>
      </c>
      <c r="D1651" s="1" t="s">
        <v>38</v>
      </c>
      <c r="E1651" s="26" t="s">
        <v>39</v>
      </c>
      <c r="F1651" s="27">
        <v>0.95238095238095233</v>
      </c>
      <c r="G1651" s="33">
        <v>0.33333333333333331</v>
      </c>
      <c r="H1651" s="41" t="s">
        <v>408</v>
      </c>
      <c r="I1651" s="1" t="s">
        <v>409</v>
      </c>
      <c r="J1651" s="26" t="s">
        <v>39</v>
      </c>
      <c r="K1651" s="27">
        <v>0.94339622641509424</v>
      </c>
      <c r="L1651" s="33">
        <v>0.33333333333333331</v>
      </c>
      <c r="M1651" s="41" t="s">
        <v>410</v>
      </c>
      <c r="N1651" s="1" t="s">
        <v>38</v>
      </c>
      <c r="O1651" s="26" t="s">
        <v>42</v>
      </c>
      <c r="P1651" s="27">
        <v>3.2258064516129035</v>
      </c>
      <c r="Q1651" s="33">
        <v>0.33333333333333331</v>
      </c>
      <c r="R1651" s="55" t="s">
        <v>37</v>
      </c>
      <c r="S1651" s="26" t="s">
        <v>38</v>
      </c>
      <c r="T1651" s="26" t="s">
        <v>39</v>
      </c>
      <c r="U1651" s="27">
        <v>0.95238095238095233</v>
      </c>
      <c r="V1651" s="33">
        <v>0.33333333333333331</v>
      </c>
      <c r="W1651" s="26" t="s">
        <v>408</v>
      </c>
      <c r="X1651" s="26" t="s">
        <v>409</v>
      </c>
      <c r="Y1651" s="26" t="s">
        <v>39</v>
      </c>
      <c r="Z1651" s="27">
        <v>0.94339622641509424</v>
      </c>
      <c r="AA1651" s="33">
        <v>0.33333333333333331</v>
      </c>
      <c r="AB1651" s="26" t="s">
        <v>411</v>
      </c>
      <c r="AC1651" s="26" t="s">
        <v>38</v>
      </c>
      <c r="AD1651" s="26" t="s">
        <v>42</v>
      </c>
      <c r="AE1651" s="27">
        <v>2.5</v>
      </c>
      <c r="AF1651" s="36">
        <v>0.33333333333333331</v>
      </c>
      <c r="AG1651" s="31">
        <v>0</v>
      </c>
      <c r="AH1651" t="s">
        <v>44</v>
      </c>
    </row>
    <row r="1652" spans="1:34">
      <c r="A1652" s="15" t="s">
        <v>1729</v>
      </c>
      <c r="B1652" s="8" t="s">
        <v>1690</v>
      </c>
      <c r="C1652" s="41" t="s">
        <v>37</v>
      </c>
      <c r="D1652" s="1" t="s">
        <v>38</v>
      </c>
      <c r="E1652" s="26" t="s">
        <v>39</v>
      </c>
      <c r="F1652" s="27">
        <v>0.95238095238095233</v>
      </c>
      <c r="G1652" s="33">
        <v>0.33333333333333331</v>
      </c>
      <c r="H1652" s="41" t="s">
        <v>408</v>
      </c>
      <c r="I1652" s="1" t="s">
        <v>409</v>
      </c>
      <c r="J1652" s="26" t="s">
        <v>39</v>
      </c>
      <c r="K1652" s="27">
        <v>0.94339622641509424</v>
      </c>
      <c r="L1652" s="33">
        <v>0.33333333333333331</v>
      </c>
      <c r="M1652" s="41" t="s">
        <v>410</v>
      </c>
      <c r="N1652" s="1" t="s">
        <v>38</v>
      </c>
      <c r="O1652" s="26" t="s">
        <v>42</v>
      </c>
      <c r="P1652" s="27">
        <v>3.2258064516129035</v>
      </c>
      <c r="Q1652" s="33">
        <v>0.33333333333333331</v>
      </c>
      <c r="R1652" s="55" t="s">
        <v>37</v>
      </c>
      <c r="S1652" s="26" t="s">
        <v>38</v>
      </c>
      <c r="T1652" s="26" t="s">
        <v>39</v>
      </c>
      <c r="U1652" s="27">
        <v>0.95238095238095233</v>
      </c>
      <c r="V1652" s="33">
        <v>0.33333333333333331</v>
      </c>
      <c r="W1652" s="26" t="s">
        <v>408</v>
      </c>
      <c r="X1652" s="26" t="s">
        <v>409</v>
      </c>
      <c r="Y1652" s="26" t="s">
        <v>39</v>
      </c>
      <c r="Z1652" s="27">
        <v>0.94339622641509424</v>
      </c>
      <c r="AA1652" s="33">
        <v>0.33333333333333331</v>
      </c>
      <c r="AB1652" s="26" t="s">
        <v>411</v>
      </c>
      <c r="AC1652" s="26" t="s">
        <v>38</v>
      </c>
      <c r="AD1652" s="26" t="s">
        <v>42</v>
      </c>
      <c r="AE1652" s="27">
        <v>2.5</v>
      </c>
      <c r="AF1652" s="36">
        <v>0.33333333333333331</v>
      </c>
      <c r="AG1652" s="31">
        <v>0</v>
      </c>
      <c r="AH1652" t="s">
        <v>44</v>
      </c>
    </row>
    <row r="1653" spans="1:34">
      <c r="A1653" s="15" t="s">
        <v>1730</v>
      </c>
      <c r="B1653" s="8" t="s">
        <v>1690</v>
      </c>
      <c r="C1653" s="41" t="s">
        <v>37</v>
      </c>
      <c r="D1653" s="1" t="s">
        <v>38</v>
      </c>
      <c r="E1653" s="26" t="s">
        <v>39</v>
      </c>
      <c r="F1653" s="27">
        <v>0.95238095238095233</v>
      </c>
      <c r="G1653" s="33">
        <v>0.33333333333333331</v>
      </c>
      <c r="H1653" s="41" t="s">
        <v>408</v>
      </c>
      <c r="I1653" s="1" t="s">
        <v>409</v>
      </c>
      <c r="J1653" s="26" t="s">
        <v>39</v>
      </c>
      <c r="K1653" s="27">
        <v>0.94339622641509424</v>
      </c>
      <c r="L1653" s="33">
        <v>0.33333333333333331</v>
      </c>
      <c r="M1653" s="41" t="s">
        <v>410</v>
      </c>
      <c r="N1653" s="1" t="s">
        <v>38</v>
      </c>
      <c r="O1653" s="26" t="s">
        <v>42</v>
      </c>
      <c r="P1653" s="27">
        <v>3.2258064516129035</v>
      </c>
      <c r="Q1653" s="33">
        <v>0.33333333333333331</v>
      </c>
      <c r="R1653" s="55" t="s">
        <v>37</v>
      </c>
      <c r="S1653" s="26" t="s">
        <v>38</v>
      </c>
      <c r="T1653" s="26" t="s">
        <v>39</v>
      </c>
      <c r="U1653" s="27">
        <v>0.95238095238095233</v>
      </c>
      <c r="V1653" s="33">
        <v>0.33333333333333331</v>
      </c>
      <c r="W1653" s="26" t="s">
        <v>408</v>
      </c>
      <c r="X1653" s="26" t="s">
        <v>409</v>
      </c>
      <c r="Y1653" s="26" t="s">
        <v>39</v>
      </c>
      <c r="Z1653" s="27">
        <v>0.94339622641509424</v>
      </c>
      <c r="AA1653" s="33">
        <v>0.33333333333333331</v>
      </c>
      <c r="AB1653" s="26" t="s">
        <v>411</v>
      </c>
      <c r="AC1653" s="26" t="s">
        <v>38</v>
      </c>
      <c r="AD1653" s="26" t="s">
        <v>42</v>
      </c>
      <c r="AE1653" s="27">
        <v>2.5</v>
      </c>
      <c r="AF1653" s="36">
        <v>0.33333333333333331</v>
      </c>
      <c r="AG1653" s="31">
        <v>0</v>
      </c>
      <c r="AH1653" t="s">
        <v>44</v>
      </c>
    </row>
    <row r="1654" spans="1:34">
      <c r="A1654" s="15" t="s">
        <v>1731</v>
      </c>
      <c r="B1654" s="8" t="s">
        <v>1690</v>
      </c>
      <c r="C1654" s="41" t="s">
        <v>37</v>
      </c>
      <c r="D1654" s="1" t="s">
        <v>38</v>
      </c>
      <c r="E1654" s="26" t="s">
        <v>39</v>
      </c>
      <c r="F1654" s="27">
        <v>0.95238095238095233</v>
      </c>
      <c r="G1654" s="33">
        <v>0.33333333333333331</v>
      </c>
      <c r="H1654" s="41" t="s">
        <v>408</v>
      </c>
      <c r="I1654" s="1" t="s">
        <v>409</v>
      </c>
      <c r="J1654" s="26" t="s">
        <v>39</v>
      </c>
      <c r="K1654" s="27">
        <v>0.94339622641509424</v>
      </c>
      <c r="L1654" s="33">
        <v>0.33333333333333331</v>
      </c>
      <c r="M1654" s="41" t="s">
        <v>410</v>
      </c>
      <c r="N1654" s="1" t="s">
        <v>38</v>
      </c>
      <c r="O1654" s="26" t="s">
        <v>42</v>
      </c>
      <c r="P1654" s="27">
        <v>3.2258064516129035</v>
      </c>
      <c r="Q1654" s="33">
        <v>0.33333333333333331</v>
      </c>
      <c r="R1654" s="55" t="s">
        <v>37</v>
      </c>
      <c r="S1654" s="26" t="s">
        <v>38</v>
      </c>
      <c r="T1654" s="26" t="s">
        <v>39</v>
      </c>
      <c r="U1654" s="27">
        <v>0.95238095238095233</v>
      </c>
      <c r="V1654" s="33">
        <v>0.33333333333333331</v>
      </c>
      <c r="W1654" s="26" t="s">
        <v>408</v>
      </c>
      <c r="X1654" s="26" t="s">
        <v>409</v>
      </c>
      <c r="Y1654" s="26" t="s">
        <v>39</v>
      </c>
      <c r="Z1654" s="27">
        <v>0.94339622641509424</v>
      </c>
      <c r="AA1654" s="33">
        <v>0.33333333333333331</v>
      </c>
      <c r="AB1654" s="26" t="s">
        <v>411</v>
      </c>
      <c r="AC1654" s="26" t="s">
        <v>38</v>
      </c>
      <c r="AD1654" s="26" t="s">
        <v>42</v>
      </c>
      <c r="AE1654" s="27">
        <v>2.5</v>
      </c>
      <c r="AF1654" s="36">
        <v>0.33333333333333331</v>
      </c>
      <c r="AG1654" s="31">
        <v>0</v>
      </c>
      <c r="AH1654" t="s">
        <v>44</v>
      </c>
    </row>
    <row r="1655" spans="1:34">
      <c r="A1655" s="15" t="s">
        <v>1732</v>
      </c>
      <c r="B1655" s="8" t="s">
        <v>1690</v>
      </c>
      <c r="C1655" s="41" t="s">
        <v>37</v>
      </c>
      <c r="D1655" s="1" t="s">
        <v>38</v>
      </c>
      <c r="E1655" s="26" t="s">
        <v>39</v>
      </c>
      <c r="F1655" s="27">
        <v>0.95238095238095233</v>
      </c>
      <c r="G1655" s="33">
        <v>0.33333333333333331</v>
      </c>
      <c r="H1655" s="41" t="s">
        <v>408</v>
      </c>
      <c r="I1655" s="1" t="s">
        <v>409</v>
      </c>
      <c r="J1655" s="26" t="s">
        <v>39</v>
      </c>
      <c r="K1655" s="27">
        <v>0.94339622641509424</v>
      </c>
      <c r="L1655" s="33">
        <v>0.33333333333333331</v>
      </c>
      <c r="M1655" s="41" t="s">
        <v>410</v>
      </c>
      <c r="N1655" s="1" t="s">
        <v>38</v>
      </c>
      <c r="O1655" s="26" t="s">
        <v>42</v>
      </c>
      <c r="P1655" s="27">
        <v>3.2258064516129035</v>
      </c>
      <c r="Q1655" s="33">
        <v>0.33333333333333331</v>
      </c>
      <c r="R1655" s="55" t="s">
        <v>37</v>
      </c>
      <c r="S1655" s="26" t="s">
        <v>38</v>
      </c>
      <c r="T1655" s="26" t="s">
        <v>39</v>
      </c>
      <c r="U1655" s="27">
        <v>0.95238095238095233</v>
      </c>
      <c r="V1655" s="33">
        <v>0.33333333333333331</v>
      </c>
      <c r="W1655" s="26" t="s">
        <v>408</v>
      </c>
      <c r="X1655" s="26" t="s">
        <v>409</v>
      </c>
      <c r="Y1655" s="26" t="s">
        <v>39</v>
      </c>
      <c r="Z1655" s="27">
        <v>0.94339622641509424</v>
      </c>
      <c r="AA1655" s="33">
        <v>0.33333333333333331</v>
      </c>
      <c r="AB1655" s="26" t="s">
        <v>411</v>
      </c>
      <c r="AC1655" s="26" t="s">
        <v>38</v>
      </c>
      <c r="AD1655" s="26" t="s">
        <v>42</v>
      </c>
      <c r="AE1655" s="27">
        <v>2.5</v>
      </c>
      <c r="AF1655" s="36">
        <v>0.33333333333333331</v>
      </c>
      <c r="AG1655" s="31">
        <v>1</v>
      </c>
      <c r="AH1655" s="1" t="s">
        <v>73</v>
      </c>
    </row>
    <row r="1656" spans="1:34">
      <c r="A1656" s="15" t="s">
        <v>1733</v>
      </c>
      <c r="B1656" s="8" t="s">
        <v>1690</v>
      </c>
      <c r="C1656" s="41" t="s">
        <v>37</v>
      </c>
      <c r="D1656" s="1" t="s">
        <v>38</v>
      </c>
      <c r="E1656" s="26" t="s">
        <v>39</v>
      </c>
      <c r="F1656" s="27">
        <v>0.95238095238095233</v>
      </c>
      <c r="G1656" s="33">
        <v>0.33333333333333331</v>
      </c>
      <c r="H1656" s="41" t="s">
        <v>408</v>
      </c>
      <c r="I1656" s="1" t="s">
        <v>409</v>
      </c>
      <c r="J1656" s="26" t="s">
        <v>39</v>
      </c>
      <c r="K1656" s="27">
        <v>0.94339622641509424</v>
      </c>
      <c r="L1656" s="33">
        <v>0.33333333333333331</v>
      </c>
      <c r="M1656" s="41" t="s">
        <v>410</v>
      </c>
      <c r="N1656" s="1" t="s">
        <v>38</v>
      </c>
      <c r="O1656" s="26" t="s">
        <v>42</v>
      </c>
      <c r="P1656" s="27">
        <v>3.2258064516129035</v>
      </c>
      <c r="Q1656" s="33">
        <v>0.33333333333333331</v>
      </c>
      <c r="R1656" s="55" t="s">
        <v>37</v>
      </c>
      <c r="S1656" s="26" t="s">
        <v>38</v>
      </c>
      <c r="T1656" s="26" t="s">
        <v>39</v>
      </c>
      <c r="U1656" s="27">
        <v>0.95238095238095233</v>
      </c>
      <c r="V1656" s="33">
        <v>0.33333333333333331</v>
      </c>
      <c r="W1656" s="26" t="s">
        <v>408</v>
      </c>
      <c r="X1656" s="26" t="s">
        <v>409</v>
      </c>
      <c r="Y1656" s="26" t="s">
        <v>39</v>
      </c>
      <c r="Z1656" s="27">
        <v>0.94339622641509424</v>
      </c>
      <c r="AA1656" s="33">
        <v>0.33333333333333331</v>
      </c>
      <c r="AB1656" s="26" t="s">
        <v>411</v>
      </c>
      <c r="AC1656" s="26" t="s">
        <v>38</v>
      </c>
      <c r="AD1656" s="26" t="s">
        <v>42</v>
      </c>
      <c r="AE1656" s="27">
        <v>2.5</v>
      </c>
      <c r="AF1656" s="36">
        <v>0.33333333333333331</v>
      </c>
      <c r="AG1656" s="31">
        <v>1</v>
      </c>
      <c r="AH1656" s="1" t="s">
        <v>73</v>
      </c>
    </row>
    <row r="1657" spans="1:34">
      <c r="A1657" s="15" t="s">
        <v>1734</v>
      </c>
      <c r="B1657" s="8" t="s">
        <v>1690</v>
      </c>
      <c r="C1657" s="41" t="s">
        <v>37</v>
      </c>
      <c r="D1657" s="1" t="s">
        <v>38</v>
      </c>
      <c r="E1657" s="26" t="s">
        <v>39</v>
      </c>
      <c r="F1657" s="27">
        <v>0.95238095238095233</v>
      </c>
      <c r="G1657" s="33">
        <v>0.33333333333333331</v>
      </c>
      <c r="H1657" s="41" t="s">
        <v>408</v>
      </c>
      <c r="I1657" s="1" t="s">
        <v>409</v>
      </c>
      <c r="J1657" s="26" t="s">
        <v>39</v>
      </c>
      <c r="K1657" s="27">
        <v>0.94339622641509424</v>
      </c>
      <c r="L1657" s="33">
        <v>0.33333333333333331</v>
      </c>
      <c r="M1657" s="41" t="s">
        <v>410</v>
      </c>
      <c r="N1657" s="1" t="s">
        <v>38</v>
      </c>
      <c r="O1657" s="26" t="s">
        <v>42</v>
      </c>
      <c r="P1657" s="27">
        <v>3.2258064516129035</v>
      </c>
      <c r="Q1657" s="33">
        <v>0.33333333333333331</v>
      </c>
      <c r="R1657" s="55" t="s">
        <v>37</v>
      </c>
      <c r="S1657" s="26" t="s">
        <v>38</v>
      </c>
      <c r="T1657" s="26" t="s">
        <v>39</v>
      </c>
      <c r="U1657" s="27">
        <v>0.95238095238095233</v>
      </c>
      <c r="V1657" s="33">
        <v>0.33333333333333331</v>
      </c>
      <c r="W1657" s="26" t="s">
        <v>408</v>
      </c>
      <c r="X1657" s="26" t="s">
        <v>409</v>
      </c>
      <c r="Y1657" s="26" t="s">
        <v>39</v>
      </c>
      <c r="Z1657" s="27">
        <v>0.94339622641509424</v>
      </c>
      <c r="AA1657" s="33">
        <v>0.33333333333333331</v>
      </c>
      <c r="AB1657" s="26" t="s">
        <v>411</v>
      </c>
      <c r="AC1657" s="26" t="s">
        <v>38</v>
      </c>
      <c r="AD1657" s="26" t="s">
        <v>42</v>
      </c>
      <c r="AE1657" s="27">
        <v>2.5</v>
      </c>
      <c r="AF1657" s="36">
        <v>0.33333333333333331</v>
      </c>
      <c r="AG1657" s="31">
        <v>1</v>
      </c>
      <c r="AH1657" s="1" t="s">
        <v>73</v>
      </c>
    </row>
    <row r="1658" spans="1:34">
      <c r="A1658" s="15" t="s">
        <v>1735</v>
      </c>
      <c r="B1658" s="8" t="s">
        <v>1690</v>
      </c>
      <c r="C1658" s="41" t="s">
        <v>37</v>
      </c>
      <c r="D1658" s="1" t="s">
        <v>38</v>
      </c>
      <c r="E1658" s="26" t="s">
        <v>39</v>
      </c>
      <c r="F1658" s="27">
        <v>0.95238095238095233</v>
      </c>
      <c r="G1658" s="33">
        <v>0.33333333333333331</v>
      </c>
      <c r="H1658" s="41" t="s">
        <v>408</v>
      </c>
      <c r="I1658" s="1" t="s">
        <v>409</v>
      </c>
      <c r="J1658" s="26" t="s">
        <v>39</v>
      </c>
      <c r="K1658" s="27">
        <v>0.94339622641509424</v>
      </c>
      <c r="L1658" s="33">
        <v>0.33333333333333331</v>
      </c>
      <c r="M1658" s="41" t="s">
        <v>410</v>
      </c>
      <c r="N1658" s="1" t="s">
        <v>38</v>
      </c>
      <c r="O1658" s="26" t="s">
        <v>42</v>
      </c>
      <c r="P1658" s="27">
        <v>3.2258064516129035</v>
      </c>
      <c r="Q1658" s="33">
        <v>0.33333333333333331</v>
      </c>
      <c r="R1658" s="55" t="s">
        <v>37</v>
      </c>
      <c r="S1658" s="26" t="s">
        <v>38</v>
      </c>
      <c r="T1658" s="26" t="s">
        <v>39</v>
      </c>
      <c r="U1658" s="27">
        <v>0.95238095238095233</v>
      </c>
      <c r="V1658" s="33">
        <v>0.33333333333333331</v>
      </c>
      <c r="W1658" s="26" t="s">
        <v>408</v>
      </c>
      <c r="X1658" s="26" t="s">
        <v>409</v>
      </c>
      <c r="Y1658" s="26" t="s">
        <v>39</v>
      </c>
      <c r="Z1658" s="27">
        <v>0.94339622641509424</v>
      </c>
      <c r="AA1658" s="33">
        <v>0.33333333333333331</v>
      </c>
      <c r="AB1658" s="26" t="s">
        <v>411</v>
      </c>
      <c r="AC1658" s="26" t="s">
        <v>38</v>
      </c>
      <c r="AD1658" s="26" t="s">
        <v>42</v>
      </c>
      <c r="AE1658" s="27">
        <v>2.5</v>
      </c>
      <c r="AF1658" s="36">
        <v>0.33333333333333331</v>
      </c>
      <c r="AG1658" s="31">
        <v>1</v>
      </c>
      <c r="AH1658" s="1" t="s">
        <v>73</v>
      </c>
    </row>
    <row r="1659" spans="1:34">
      <c r="A1659" s="15" t="s">
        <v>1736</v>
      </c>
      <c r="B1659" s="8" t="s">
        <v>1690</v>
      </c>
      <c r="C1659" s="41" t="s">
        <v>37</v>
      </c>
      <c r="D1659" s="1" t="s">
        <v>38</v>
      </c>
      <c r="E1659" s="26" t="s">
        <v>39</v>
      </c>
      <c r="F1659" s="27">
        <v>0.95238095238095233</v>
      </c>
      <c r="G1659" s="33">
        <v>0.33333333333333331</v>
      </c>
      <c r="H1659" s="41" t="s">
        <v>408</v>
      </c>
      <c r="I1659" s="1" t="s">
        <v>409</v>
      </c>
      <c r="J1659" s="26" t="s">
        <v>39</v>
      </c>
      <c r="K1659" s="27">
        <v>0.94339622641509424</v>
      </c>
      <c r="L1659" s="33">
        <v>0.33333333333333331</v>
      </c>
      <c r="M1659" s="41" t="s">
        <v>410</v>
      </c>
      <c r="N1659" s="1" t="s">
        <v>38</v>
      </c>
      <c r="O1659" s="26" t="s">
        <v>42</v>
      </c>
      <c r="P1659" s="27">
        <v>3.2258064516129035</v>
      </c>
      <c r="Q1659" s="33">
        <v>0.33333333333333331</v>
      </c>
      <c r="R1659" s="55" t="s">
        <v>37</v>
      </c>
      <c r="S1659" s="26" t="s">
        <v>38</v>
      </c>
      <c r="T1659" s="26" t="s">
        <v>39</v>
      </c>
      <c r="U1659" s="27">
        <v>0.95238095238095233</v>
      </c>
      <c r="V1659" s="33">
        <v>0.33333333333333331</v>
      </c>
      <c r="W1659" s="26" t="s">
        <v>408</v>
      </c>
      <c r="X1659" s="26" t="s">
        <v>409</v>
      </c>
      <c r="Y1659" s="26" t="s">
        <v>39</v>
      </c>
      <c r="Z1659" s="27">
        <v>0.94339622641509424</v>
      </c>
      <c r="AA1659" s="33">
        <v>0.33333333333333331</v>
      </c>
      <c r="AB1659" s="26" t="s">
        <v>411</v>
      </c>
      <c r="AC1659" s="26" t="s">
        <v>38</v>
      </c>
      <c r="AD1659" s="26" t="s">
        <v>42</v>
      </c>
      <c r="AE1659" s="27">
        <v>2.5</v>
      </c>
      <c r="AF1659" s="36">
        <v>0.33333333333333331</v>
      </c>
      <c r="AG1659" s="31">
        <v>1</v>
      </c>
      <c r="AH1659" s="1" t="s">
        <v>73</v>
      </c>
    </row>
    <row r="1660" spans="1:34">
      <c r="A1660" s="15" t="s">
        <v>1737</v>
      </c>
      <c r="B1660" s="8" t="s">
        <v>1690</v>
      </c>
      <c r="C1660" s="41" t="s">
        <v>37</v>
      </c>
      <c r="D1660" s="1" t="s">
        <v>38</v>
      </c>
      <c r="E1660" s="26" t="s">
        <v>39</v>
      </c>
      <c r="F1660" s="27">
        <v>0.95238095238095233</v>
      </c>
      <c r="G1660" s="33">
        <v>0.33333333333333331</v>
      </c>
      <c r="H1660" s="41" t="s">
        <v>408</v>
      </c>
      <c r="I1660" s="1" t="s">
        <v>409</v>
      </c>
      <c r="J1660" s="26" t="s">
        <v>39</v>
      </c>
      <c r="K1660" s="27">
        <v>0.94339622641509424</v>
      </c>
      <c r="L1660" s="33">
        <v>0.33333333333333331</v>
      </c>
      <c r="M1660" s="41" t="s">
        <v>410</v>
      </c>
      <c r="N1660" s="1" t="s">
        <v>38</v>
      </c>
      <c r="O1660" s="26" t="s">
        <v>42</v>
      </c>
      <c r="P1660" s="27">
        <v>3.2258064516129035</v>
      </c>
      <c r="Q1660" s="33">
        <v>0.33333333333333331</v>
      </c>
      <c r="R1660" s="55" t="s">
        <v>37</v>
      </c>
      <c r="S1660" s="26" t="s">
        <v>38</v>
      </c>
      <c r="T1660" s="26" t="s">
        <v>39</v>
      </c>
      <c r="U1660" s="27">
        <v>0.95238095238095233</v>
      </c>
      <c r="V1660" s="33">
        <v>0.33333333333333331</v>
      </c>
      <c r="W1660" s="26" t="s">
        <v>408</v>
      </c>
      <c r="X1660" s="26" t="s">
        <v>409</v>
      </c>
      <c r="Y1660" s="26" t="s">
        <v>39</v>
      </c>
      <c r="Z1660" s="27">
        <v>0.94339622641509424</v>
      </c>
      <c r="AA1660" s="33">
        <v>0.33333333333333331</v>
      </c>
      <c r="AB1660" s="26" t="s">
        <v>411</v>
      </c>
      <c r="AC1660" s="26" t="s">
        <v>38</v>
      </c>
      <c r="AD1660" s="26" t="s">
        <v>42</v>
      </c>
      <c r="AE1660" s="27">
        <v>2.5</v>
      </c>
      <c r="AF1660" s="36">
        <v>0.33333333333333331</v>
      </c>
      <c r="AG1660" s="31">
        <v>1</v>
      </c>
      <c r="AH1660" s="1" t="s">
        <v>73</v>
      </c>
    </row>
    <row r="1661" spans="1:34">
      <c r="A1661" s="15" t="s">
        <v>1738</v>
      </c>
      <c r="B1661" s="8" t="s">
        <v>1690</v>
      </c>
      <c r="C1661" s="41" t="s">
        <v>37</v>
      </c>
      <c r="D1661" s="1" t="s">
        <v>38</v>
      </c>
      <c r="E1661" s="26" t="s">
        <v>39</v>
      </c>
      <c r="F1661" s="27">
        <v>0.95238095238095233</v>
      </c>
      <c r="G1661" s="33">
        <v>0.33333333333333331</v>
      </c>
      <c r="H1661" s="41" t="s">
        <v>408</v>
      </c>
      <c r="I1661" s="1" t="s">
        <v>409</v>
      </c>
      <c r="J1661" s="26" t="s">
        <v>39</v>
      </c>
      <c r="K1661" s="27">
        <v>0.94339622641509424</v>
      </c>
      <c r="L1661" s="33">
        <v>0.33333333333333331</v>
      </c>
      <c r="M1661" s="41" t="s">
        <v>410</v>
      </c>
      <c r="N1661" s="1" t="s">
        <v>38</v>
      </c>
      <c r="O1661" s="26" t="s">
        <v>42</v>
      </c>
      <c r="P1661" s="27">
        <v>3.2258064516129035</v>
      </c>
      <c r="Q1661" s="33">
        <v>0.33333333333333331</v>
      </c>
      <c r="R1661" s="55" t="s">
        <v>37</v>
      </c>
      <c r="S1661" s="26" t="s">
        <v>38</v>
      </c>
      <c r="T1661" s="26" t="s">
        <v>39</v>
      </c>
      <c r="U1661" s="27">
        <v>0.95238095238095233</v>
      </c>
      <c r="V1661" s="33">
        <v>0.33333333333333331</v>
      </c>
      <c r="W1661" s="26" t="s">
        <v>408</v>
      </c>
      <c r="X1661" s="26" t="s">
        <v>409</v>
      </c>
      <c r="Y1661" s="26" t="s">
        <v>39</v>
      </c>
      <c r="Z1661" s="27">
        <v>0.94339622641509424</v>
      </c>
      <c r="AA1661" s="33">
        <v>0.33333333333333331</v>
      </c>
      <c r="AB1661" s="26" t="s">
        <v>411</v>
      </c>
      <c r="AC1661" s="26" t="s">
        <v>38</v>
      </c>
      <c r="AD1661" s="26" t="s">
        <v>42</v>
      </c>
      <c r="AE1661" s="27">
        <v>2.5</v>
      </c>
      <c r="AF1661" s="36">
        <v>0.33333333333333331</v>
      </c>
      <c r="AG1661" s="31">
        <v>1</v>
      </c>
      <c r="AH1661" s="1" t="s">
        <v>73</v>
      </c>
    </row>
    <row r="1662" spans="1:34">
      <c r="A1662" s="15" t="s">
        <v>1739</v>
      </c>
      <c r="B1662" s="8" t="s">
        <v>1690</v>
      </c>
      <c r="C1662" s="41" t="s">
        <v>37</v>
      </c>
      <c r="D1662" s="1" t="s">
        <v>38</v>
      </c>
      <c r="E1662" s="26" t="s">
        <v>39</v>
      </c>
      <c r="F1662" s="27">
        <v>0.95238095238095233</v>
      </c>
      <c r="G1662" s="33">
        <v>0.33333333333333331</v>
      </c>
      <c r="H1662" s="41" t="s">
        <v>408</v>
      </c>
      <c r="I1662" s="1" t="s">
        <v>409</v>
      </c>
      <c r="J1662" s="26" t="s">
        <v>39</v>
      </c>
      <c r="K1662" s="27">
        <v>0.94339622641509424</v>
      </c>
      <c r="L1662" s="33">
        <v>0.33333333333333331</v>
      </c>
      <c r="M1662" s="41" t="s">
        <v>410</v>
      </c>
      <c r="N1662" s="1" t="s">
        <v>38</v>
      </c>
      <c r="O1662" s="26" t="s">
        <v>42</v>
      </c>
      <c r="P1662" s="27">
        <v>3.2258064516129035</v>
      </c>
      <c r="Q1662" s="33">
        <v>0.33333333333333331</v>
      </c>
      <c r="R1662" s="55" t="s">
        <v>37</v>
      </c>
      <c r="S1662" s="26" t="s">
        <v>38</v>
      </c>
      <c r="T1662" s="26" t="s">
        <v>39</v>
      </c>
      <c r="U1662" s="27">
        <v>0.95238095238095233</v>
      </c>
      <c r="V1662" s="33">
        <v>0.33333333333333331</v>
      </c>
      <c r="W1662" s="26" t="s">
        <v>408</v>
      </c>
      <c r="X1662" s="26" t="s">
        <v>409</v>
      </c>
      <c r="Y1662" s="26" t="s">
        <v>39</v>
      </c>
      <c r="Z1662" s="27">
        <v>0.94339622641509424</v>
      </c>
      <c r="AA1662" s="33">
        <v>0.33333333333333331</v>
      </c>
      <c r="AB1662" s="26" t="s">
        <v>411</v>
      </c>
      <c r="AC1662" s="26" t="s">
        <v>38</v>
      </c>
      <c r="AD1662" s="26" t="s">
        <v>42</v>
      </c>
      <c r="AE1662" s="27">
        <v>2.5</v>
      </c>
      <c r="AF1662" s="36">
        <v>0.33333333333333331</v>
      </c>
      <c r="AG1662" s="31">
        <v>1</v>
      </c>
      <c r="AH1662" s="1" t="s">
        <v>73</v>
      </c>
    </row>
    <row r="1663" spans="1:34">
      <c r="A1663" s="15" t="s">
        <v>1740</v>
      </c>
      <c r="B1663" s="8" t="s">
        <v>1690</v>
      </c>
      <c r="C1663" s="41" t="s">
        <v>37</v>
      </c>
      <c r="D1663" s="1" t="s">
        <v>38</v>
      </c>
      <c r="E1663" s="26" t="s">
        <v>39</v>
      </c>
      <c r="F1663" s="27">
        <v>0.95238095238095233</v>
      </c>
      <c r="G1663" s="33">
        <v>0.33333333333333331</v>
      </c>
      <c r="H1663" s="41" t="s">
        <v>408</v>
      </c>
      <c r="I1663" s="1" t="s">
        <v>409</v>
      </c>
      <c r="J1663" s="26" t="s">
        <v>39</v>
      </c>
      <c r="K1663" s="27">
        <v>0.94339622641509424</v>
      </c>
      <c r="L1663" s="33">
        <v>0.33333333333333331</v>
      </c>
      <c r="M1663" s="41" t="s">
        <v>410</v>
      </c>
      <c r="N1663" s="1" t="s">
        <v>38</v>
      </c>
      <c r="O1663" s="26" t="s">
        <v>42</v>
      </c>
      <c r="P1663" s="27">
        <v>3.2258064516129035</v>
      </c>
      <c r="Q1663" s="33">
        <v>0.33333333333333331</v>
      </c>
      <c r="R1663" s="55" t="s">
        <v>37</v>
      </c>
      <c r="S1663" s="26" t="s">
        <v>38</v>
      </c>
      <c r="T1663" s="26" t="s">
        <v>39</v>
      </c>
      <c r="U1663" s="27">
        <v>0.95238095238095233</v>
      </c>
      <c r="V1663" s="33">
        <v>0.33333333333333331</v>
      </c>
      <c r="W1663" s="26" t="s">
        <v>408</v>
      </c>
      <c r="X1663" s="26" t="s">
        <v>409</v>
      </c>
      <c r="Y1663" s="26" t="s">
        <v>39</v>
      </c>
      <c r="Z1663" s="27">
        <v>0.94339622641509424</v>
      </c>
      <c r="AA1663" s="33">
        <v>0.33333333333333331</v>
      </c>
      <c r="AB1663" s="26" t="s">
        <v>411</v>
      </c>
      <c r="AC1663" s="26" t="s">
        <v>38</v>
      </c>
      <c r="AD1663" s="26" t="s">
        <v>42</v>
      </c>
      <c r="AE1663" s="27">
        <v>2.5</v>
      </c>
      <c r="AF1663" s="36">
        <v>0.33333333333333331</v>
      </c>
      <c r="AG1663" s="31">
        <v>1</v>
      </c>
      <c r="AH1663" s="1" t="s">
        <v>73</v>
      </c>
    </row>
    <row r="1664" spans="1:34">
      <c r="A1664" s="15" t="s">
        <v>1741</v>
      </c>
      <c r="B1664" s="8" t="s">
        <v>1690</v>
      </c>
      <c r="C1664" s="41" t="s">
        <v>37</v>
      </c>
      <c r="D1664" s="1" t="s">
        <v>38</v>
      </c>
      <c r="E1664" s="26" t="s">
        <v>39</v>
      </c>
      <c r="F1664" s="27">
        <v>0.95238095238095233</v>
      </c>
      <c r="G1664" s="33">
        <v>0.33333333333333331</v>
      </c>
      <c r="H1664" s="41" t="s">
        <v>408</v>
      </c>
      <c r="I1664" s="1" t="s">
        <v>409</v>
      </c>
      <c r="J1664" s="26" t="s">
        <v>39</v>
      </c>
      <c r="K1664" s="27">
        <v>0.94339622641509424</v>
      </c>
      <c r="L1664" s="33">
        <v>0.33333333333333331</v>
      </c>
      <c r="M1664" s="41" t="s">
        <v>410</v>
      </c>
      <c r="N1664" s="1" t="s">
        <v>38</v>
      </c>
      <c r="O1664" s="26" t="s">
        <v>42</v>
      </c>
      <c r="P1664" s="27">
        <v>3.2258064516129035</v>
      </c>
      <c r="Q1664" s="33">
        <v>0.33333333333333331</v>
      </c>
      <c r="R1664" s="55" t="s">
        <v>37</v>
      </c>
      <c r="S1664" s="26" t="s">
        <v>38</v>
      </c>
      <c r="T1664" s="26" t="s">
        <v>39</v>
      </c>
      <c r="U1664" s="27">
        <v>0.95238095238095233</v>
      </c>
      <c r="V1664" s="33">
        <v>0.33333333333333331</v>
      </c>
      <c r="W1664" s="26" t="s">
        <v>408</v>
      </c>
      <c r="X1664" s="26" t="s">
        <v>409</v>
      </c>
      <c r="Y1664" s="26" t="s">
        <v>39</v>
      </c>
      <c r="Z1664" s="27">
        <v>0.94339622641509424</v>
      </c>
      <c r="AA1664" s="33">
        <v>0.33333333333333331</v>
      </c>
      <c r="AB1664" s="26" t="s">
        <v>411</v>
      </c>
      <c r="AC1664" s="26" t="s">
        <v>38</v>
      </c>
      <c r="AD1664" s="26" t="s">
        <v>42</v>
      </c>
      <c r="AE1664" s="27">
        <v>2.5</v>
      </c>
      <c r="AF1664" s="36">
        <v>0.33333333333333331</v>
      </c>
      <c r="AG1664" s="31">
        <v>1</v>
      </c>
      <c r="AH1664" s="1" t="s">
        <v>73</v>
      </c>
    </row>
    <row r="1665" spans="1:34">
      <c r="A1665" s="15" t="s">
        <v>1742</v>
      </c>
      <c r="B1665" s="8" t="s">
        <v>1690</v>
      </c>
      <c r="C1665" s="41" t="s">
        <v>37</v>
      </c>
      <c r="D1665" s="1" t="s">
        <v>38</v>
      </c>
      <c r="E1665" s="26" t="s">
        <v>39</v>
      </c>
      <c r="F1665" s="27">
        <v>0.95238095238095233</v>
      </c>
      <c r="G1665" s="33">
        <v>0.33333333333333331</v>
      </c>
      <c r="H1665" s="41" t="s">
        <v>408</v>
      </c>
      <c r="I1665" s="1" t="s">
        <v>409</v>
      </c>
      <c r="J1665" s="26" t="s">
        <v>39</v>
      </c>
      <c r="K1665" s="27">
        <v>0.94339622641509424</v>
      </c>
      <c r="L1665" s="33">
        <v>0.33333333333333331</v>
      </c>
      <c r="M1665" s="41" t="s">
        <v>410</v>
      </c>
      <c r="N1665" s="1" t="s">
        <v>38</v>
      </c>
      <c r="O1665" s="26" t="s">
        <v>42</v>
      </c>
      <c r="P1665" s="27">
        <v>3.2258064516129035</v>
      </c>
      <c r="Q1665" s="33">
        <v>0.33333333333333331</v>
      </c>
      <c r="R1665" s="55" t="s">
        <v>37</v>
      </c>
      <c r="S1665" s="26" t="s">
        <v>38</v>
      </c>
      <c r="T1665" s="26" t="s">
        <v>39</v>
      </c>
      <c r="U1665" s="27">
        <v>0.95238095238095233</v>
      </c>
      <c r="V1665" s="33">
        <v>0.33333333333333331</v>
      </c>
      <c r="W1665" s="26" t="s">
        <v>408</v>
      </c>
      <c r="X1665" s="26" t="s">
        <v>409</v>
      </c>
      <c r="Y1665" s="26" t="s">
        <v>39</v>
      </c>
      <c r="Z1665" s="27">
        <v>0.94339622641509424</v>
      </c>
      <c r="AA1665" s="33">
        <v>0.33333333333333331</v>
      </c>
      <c r="AB1665" s="26" t="s">
        <v>411</v>
      </c>
      <c r="AC1665" s="26" t="s">
        <v>38</v>
      </c>
      <c r="AD1665" s="26" t="s">
        <v>42</v>
      </c>
      <c r="AE1665" s="27">
        <v>2.5</v>
      </c>
      <c r="AF1665" s="36">
        <v>0.33333333333333331</v>
      </c>
      <c r="AG1665" s="31">
        <v>1</v>
      </c>
      <c r="AH1665" s="1" t="s">
        <v>73</v>
      </c>
    </row>
    <row r="1666" spans="1:34">
      <c r="A1666" s="15" t="s">
        <v>1743</v>
      </c>
      <c r="B1666" s="8" t="s">
        <v>1690</v>
      </c>
      <c r="C1666" s="41" t="s">
        <v>37</v>
      </c>
      <c r="D1666" s="1" t="s">
        <v>38</v>
      </c>
      <c r="E1666" s="26" t="s">
        <v>39</v>
      </c>
      <c r="F1666" s="27">
        <v>0.95238095238095233</v>
      </c>
      <c r="G1666" s="33">
        <v>0.33333333333333331</v>
      </c>
      <c r="H1666" s="41" t="s">
        <v>408</v>
      </c>
      <c r="I1666" s="1" t="s">
        <v>409</v>
      </c>
      <c r="J1666" s="26" t="s">
        <v>39</v>
      </c>
      <c r="K1666" s="27">
        <v>0.94339622641509424</v>
      </c>
      <c r="L1666" s="33">
        <v>0.33333333333333331</v>
      </c>
      <c r="M1666" s="41" t="s">
        <v>410</v>
      </c>
      <c r="N1666" s="1" t="s">
        <v>38</v>
      </c>
      <c r="O1666" s="26" t="s">
        <v>42</v>
      </c>
      <c r="P1666" s="27">
        <v>3.2258064516129035</v>
      </c>
      <c r="Q1666" s="33">
        <v>0.33333333333333331</v>
      </c>
      <c r="R1666" s="55" t="s">
        <v>37</v>
      </c>
      <c r="S1666" s="26" t="s">
        <v>38</v>
      </c>
      <c r="T1666" s="26" t="s">
        <v>39</v>
      </c>
      <c r="U1666" s="27">
        <v>0.95238095238095233</v>
      </c>
      <c r="V1666" s="33">
        <v>0.33333333333333331</v>
      </c>
      <c r="W1666" s="26" t="s">
        <v>408</v>
      </c>
      <c r="X1666" s="26" t="s">
        <v>409</v>
      </c>
      <c r="Y1666" s="26" t="s">
        <v>39</v>
      </c>
      <c r="Z1666" s="27">
        <v>0.94339622641509424</v>
      </c>
      <c r="AA1666" s="33">
        <v>0.33333333333333331</v>
      </c>
      <c r="AB1666" s="26" t="s">
        <v>411</v>
      </c>
      <c r="AC1666" s="26" t="s">
        <v>38</v>
      </c>
      <c r="AD1666" s="26" t="s">
        <v>42</v>
      </c>
      <c r="AE1666" s="27">
        <v>2.5</v>
      </c>
      <c r="AF1666" s="36">
        <v>0.33333333333333331</v>
      </c>
      <c r="AG1666" s="31">
        <v>1</v>
      </c>
      <c r="AH1666" s="1" t="s">
        <v>73</v>
      </c>
    </row>
    <row r="1667" spans="1:34">
      <c r="A1667" s="15" t="s">
        <v>1744</v>
      </c>
      <c r="B1667" s="8" t="s">
        <v>1690</v>
      </c>
      <c r="C1667" s="41" t="s">
        <v>37</v>
      </c>
      <c r="D1667" s="1" t="s">
        <v>38</v>
      </c>
      <c r="E1667" s="26" t="s">
        <v>39</v>
      </c>
      <c r="F1667" s="27">
        <v>0.95238095238095233</v>
      </c>
      <c r="G1667" s="33">
        <v>0.33333333333333331</v>
      </c>
      <c r="H1667" s="41" t="s">
        <v>408</v>
      </c>
      <c r="I1667" s="1" t="s">
        <v>409</v>
      </c>
      <c r="J1667" s="26" t="s">
        <v>39</v>
      </c>
      <c r="K1667" s="27">
        <v>0.94339622641509424</v>
      </c>
      <c r="L1667" s="33">
        <v>0.33333333333333331</v>
      </c>
      <c r="M1667" s="41" t="s">
        <v>410</v>
      </c>
      <c r="N1667" s="1" t="s">
        <v>38</v>
      </c>
      <c r="O1667" s="26" t="s">
        <v>42</v>
      </c>
      <c r="P1667" s="27">
        <v>3.2258064516129035</v>
      </c>
      <c r="Q1667" s="33">
        <v>0.33333333333333331</v>
      </c>
      <c r="R1667" s="55" t="s">
        <v>37</v>
      </c>
      <c r="S1667" s="26" t="s">
        <v>38</v>
      </c>
      <c r="T1667" s="26" t="s">
        <v>39</v>
      </c>
      <c r="U1667" s="27">
        <v>0.95238095238095233</v>
      </c>
      <c r="V1667" s="33">
        <v>0.33333333333333331</v>
      </c>
      <c r="W1667" s="26" t="s">
        <v>408</v>
      </c>
      <c r="X1667" s="26" t="s">
        <v>409</v>
      </c>
      <c r="Y1667" s="26" t="s">
        <v>39</v>
      </c>
      <c r="Z1667" s="27">
        <v>0.94339622641509424</v>
      </c>
      <c r="AA1667" s="33">
        <v>0.33333333333333331</v>
      </c>
      <c r="AB1667" s="26" t="s">
        <v>411</v>
      </c>
      <c r="AC1667" s="26" t="s">
        <v>38</v>
      </c>
      <c r="AD1667" s="26" t="s">
        <v>42</v>
      </c>
      <c r="AE1667" s="27">
        <v>2.5</v>
      </c>
      <c r="AF1667" s="36">
        <v>0.33333333333333331</v>
      </c>
      <c r="AG1667" s="31">
        <v>1</v>
      </c>
      <c r="AH1667" s="1" t="s">
        <v>73</v>
      </c>
    </row>
    <row r="1668" spans="1:34">
      <c r="A1668" s="15" t="s">
        <v>1745</v>
      </c>
      <c r="B1668" s="8" t="s">
        <v>1690</v>
      </c>
      <c r="C1668" s="41" t="s">
        <v>37</v>
      </c>
      <c r="D1668" s="1" t="s">
        <v>38</v>
      </c>
      <c r="E1668" s="26" t="s">
        <v>39</v>
      </c>
      <c r="F1668" s="27">
        <v>0.95238095238095233</v>
      </c>
      <c r="G1668" s="33">
        <v>0.33333333333333331</v>
      </c>
      <c r="H1668" s="41" t="s">
        <v>408</v>
      </c>
      <c r="I1668" s="1" t="s">
        <v>409</v>
      </c>
      <c r="J1668" s="26" t="s">
        <v>39</v>
      </c>
      <c r="K1668" s="27">
        <v>0.94339622641509424</v>
      </c>
      <c r="L1668" s="33">
        <v>0.33333333333333331</v>
      </c>
      <c r="M1668" s="41" t="s">
        <v>410</v>
      </c>
      <c r="N1668" s="1" t="s">
        <v>38</v>
      </c>
      <c r="O1668" s="26" t="s">
        <v>42</v>
      </c>
      <c r="P1668" s="27">
        <v>3.2258064516129035</v>
      </c>
      <c r="Q1668" s="33">
        <v>0.33333333333333331</v>
      </c>
      <c r="R1668" s="55" t="s">
        <v>37</v>
      </c>
      <c r="S1668" s="26" t="s">
        <v>38</v>
      </c>
      <c r="T1668" s="26" t="s">
        <v>39</v>
      </c>
      <c r="U1668" s="27">
        <v>0.95238095238095233</v>
      </c>
      <c r="V1668" s="33">
        <v>0.33333333333333331</v>
      </c>
      <c r="W1668" s="26" t="s">
        <v>408</v>
      </c>
      <c r="X1668" s="26" t="s">
        <v>409</v>
      </c>
      <c r="Y1668" s="26" t="s">
        <v>39</v>
      </c>
      <c r="Z1668" s="27">
        <v>0.94339622641509424</v>
      </c>
      <c r="AA1668" s="33">
        <v>0.33333333333333331</v>
      </c>
      <c r="AB1668" s="26" t="s">
        <v>411</v>
      </c>
      <c r="AC1668" s="26" t="s">
        <v>38</v>
      </c>
      <c r="AD1668" s="26" t="s">
        <v>42</v>
      </c>
      <c r="AE1668" s="27">
        <v>2.5</v>
      </c>
      <c r="AF1668" s="36">
        <v>0.33333333333333331</v>
      </c>
      <c r="AG1668" s="31">
        <v>1</v>
      </c>
      <c r="AH1668" s="1" t="s">
        <v>73</v>
      </c>
    </row>
    <row r="1669" spans="1:34">
      <c r="A1669" s="15" t="s">
        <v>1746</v>
      </c>
      <c r="B1669" s="8" t="s">
        <v>1690</v>
      </c>
      <c r="C1669" s="41" t="s">
        <v>37</v>
      </c>
      <c r="D1669" s="1" t="s">
        <v>38</v>
      </c>
      <c r="E1669" s="26" t="s">
        <v>39</v>
      </c>
      <c r="F1669" s="27">
        <v>0.95238095238095233</v>
      </c>
      <c r="G1669" s="33">
        <v>0.33333333333333331</v>
      </c>
      <c r="H1669" s="41" t="s">
        <v>408</v>
      </c>
      <c r="I1669" s="1" t="s">
        <v>409</v>
      </c>
      <c r="J1669" s="26" t="s">
        <v>39</v>
      </c>
      <c r="K1669" s="27">
        <v>0.94339622641509424</v>
      </c>
      <c r="L1669" s="33">
        <v>0.33333333333333331</v>
      </c>
      <c r="M1669" s="41" t="s">
        <v>410</v>
      </c>
      <c r="N1669" s="1" t="s">
        <v>38</v>
      </c>
      <c r="O1669" s="26" t="s">
        <v>42</v>
      </c>
      <c r="P1669" s="27">
        <v>3.2258064516129035</v>
      </c>
      <c r="Q1669" s="33">
        <v>0.33333333333333331</v>
      </c>
      <c r="R1669" s="55" t="s">
        <v>37</v>
      </c>
      <c r="S1669" s="26" t="s">
        <v>38</v>
      </c>
      <c r="T1669" s="26" t="s">
        <v>39</v>
      </c>
      <c r="U1669" s="27">
        <v>0.95238095238095233</v>
      </c>
      <c r="V1669" s="33">
        <v>0.33333333333333331</v>
      </c>
      <c r="W1669" s="26" t="s">
        <v>408</v>
      </c>
      <c r="X1669" s="26" t="s">
        <v>409</v>
      </c>
      <c r="Y1669" s="26" t="s">
        <v>39</v>
      </c>
      <c r="Z1669" s="27">
        <v>0.94339622641509424</v>
      </c>
      <c r="AA1669" s="33">
        <v>0.33333333333333331</v>
      </c>
      <c r="AB1669" s="26" t="s">
        <v>411</v>
      </c>
      <c r="AC1669" s="26" t="s">
        <v>38</v>
      </c>
      <c r="AD1669" s="26" t="s">
        <v>42</v>
      </c>
      <c r="AE1669" s="27">
        <v>2.5</v>
      </c>
      <c r="AF1669" s="36">
        <v>0.33333333333333331</v>
      </c>
      <c r="AG1669" s="31">
        <v>0</v>
      </c>
      <c r="AH1669" t="s">
        <v>44</v>
      </c>
    </row>
    <row r="1670" spans="1:34">
      <c r="A1670" s="15" t="s">
        <v>1747</v>
      </c>
      <c r="B1670" s="8" t="s">
        <v>1690</v>
      </c>
      <c r="C1670" s="41" t="s">
        <v>37</v>
      </c>
      <c r="D1670" s="1" t="s">
        <v>38</v>
      </c>
      <c r="E1670" s="26" t="s">
        <v>39</v>
      </c>
      <c r="F1670" s="27">
        <v>0.95238095238095233</v>
      </c>
      <c r="G1670" s="33">
        <v>0.33333333333333331</v>
      </c>
      <c r="H1670" s="41" t="s">
        <v>408</v>
      </c>
      <c r="I1670" s="1" t="s">
        <v>409</v>
      </c>
      <c r="J1670" s="26" t="s">
        <v>39</v>
      </c>
      <c r="K1670" s="27">
        <v>0.94339622641509424</v>
      </c>
      <c r="L1670" s="33">
        <v>0.33333333333333331</v>
      </c>
      <c r="M1670" s="41" t="s">
        <v>410</v>
      </c>
      <c r="N1670" s="1" t="s">
        <v>38</v>
      </c>
      <c r="O1670" s="26" t="s">
        <v>42</v>
      </c>
      <c r="P1670" s="27">
        <v>3.2258064516129035</v>
      </c>
      <c r="Q1670" s="33">
        <v>0.33333333333333331</v>
      </c>
      <c r="R1670" s="55" t="s">
        <v>37</v>
      </c>
      <c r="S1670" s="26" t="s">
        <v>38</v>
      </c>
      <c r="T1670" s="26" t="s">
        <v>39</v>
      </c>
      <c r="U1670" s="27">
        <v>0.95238095238095233</v>
      </c>
      <c r="V1670" s="33">
        <v>0.33333333333333331</v>
      </c>
      <c r="W1670" s="26" t="s">
        <v>408</v>
      </c>
      <c r="X1670" s="26" t="s">
        <v>409</v>
      </c>
      <c r="Y1670" s="26" t="s">
        <v>39</v>
      </c>
      <c r="Z1670" s="27">
        <v>0.94339622641509424</v>
      </c>
      <c r="AA1670" s="33">
        <v>0.33333333333333331</v>
      </c>
      <c r="AB1670" s="26" t="s">
        <v>411</v>
      </c>
      <c r="AC1670" s="26" t="s">
        <v>38</v>
      </c>
      <c r="AD1670" s="26" t="s">
        <v>42</v>
      </c>
      <c r="AE1670" s="27">
        <v>2.5</v>
      </c>
      <c r="AF1670" s="36">
        <v>0.33333333333333331</v>
      </c>
      <c r="AG1670" s="31">
        <v>0</v>
      </c>
      <c r="AH1670" t="s">
        <v>44</v>
      </c>
    </row>
    <row r="1671" spans="1:34">
      <c r="A1671" s="15" t="s">
        <v>1748</v>
      </c>
      <c r="B1671" s="8" t="s">
        <v>1690</v>
      </c>
      <c r="C1671" s="41" t="s">
        <v>37</v>
      </c>
      <c r="D1671" s="1" t="s">
        <v>38</v>
      </c>
      <c r="E1671" s="26" t="s">
        <v>39</v>
      </c>
      <c r="F1671" s="27">
        <v>0.95238095238095233</v>
      </c>
      <c r="G1671" s="33">
        <v>0.33333333333333331</v>
      </c>
      <c r="H1671" s="41" t="s">
        <v>408</v>
      </c>
      <c r="I1671" s="1" t="s">
        <v>409</v>
      </c>
      <c r="J1671" s="26" t="s">
        <v>39</v>
      </c>
      <c r="K1671" s="27">
        <v>0.94339622641509424</v>
      </c>
      <c r="L1671" s="33">
        <v>0.33333333333333331</v>
      </c>
      <c r="M1671" s="41" t="s">
        <v>410</v>
      </c>
      <c r="N1671" s="1" t="s">
        <v>38</v>
      </c>
      <c r="O1671" s="26" t="s">
        <v>42</v>
      </c>
      <c r="P1671" s="27">
        <v>3.2258064516129035</v>
      </c>
      <c r="Q1671" s="33">
        <v>0.33333333333333331</v>
      </c>
      <c r="R1671" s="55" t="s">
        <v>37</v>
      </c>
      <c r="S1671" s="26" t="s">
        <v>38</v>
      </c>
      <c r="T1671" s="26" t="s">
        <v>39</v>
      </c>
      <c r="U1671" s="27">
        <v>0.95238095238095233</v>
      </c>
      <c r="V1671" s="33">
        <v>0.33333333333333331</v>
      </c>
      <c r="W1671" s="26" t="s">
        <v>408</v>
      </c>
      <c r="X1671" s="26" t="s">
        <v>409</v>
      </c>
      <c r="Y1671" s="26" t="s">
        <v>39</v>
      </c>
      <c r="Z1671" s="27">
        <v>0.94339622641509424</v>
      </c>
      <c r="AA1671" s="33">
        <v>0.33333333333333331</v>
      </c>
      <c r="AB1671" s="26" t="s">
        <v>411</v>
      </c>
      <c r="AC1671" s="26" t="s">
        <v>38</v>
      </c>
      <c r="AD1671" s="26" t="s">
        <v>42</v>
      </c>
      <c r="AE1671" s="27">
        <v>2.5</v>
      </c>
      <c r="AF1671" s="36">
        <v>0.33333333333333331</v>
      </c>
      <c r="AG1671" s="31">
        <v>0</v>
      </c>
      <c r="AH1671" t="s">
        <v>44</v>
      </c>
    </row>
    <row r="1672" spans="1:34">
      <c r="A1672" s="15" t="s">
        <v>1749</v>
      </c>
      <c r="B1672" s="8" t="s">
        <v>1690</v>
      </c>
      <c r="C1672" s="41" t="s">
        <v>37</v>
      </c>
      <c r="D1672" s="1" t="s">
        <v>38</v>
      </c>
      <c r="E1672" s="26" t="s">
        <v>39</v>
      </c>
      <c r="F1672" s="27">
        <v>0.95238095238095233</v>
      </c>
      <c r="G1672" s="33">
        <v>0.33333333333333331</v>
      </c>
      <c r="H1672" s="41" t="s">
        <v>408</v>
      </c>
      <c r="I1672" s="1" t="s">
        <v>409</v>
      </c>
      <c r="J1672" s="26" t="s">
        <v>39</v>
      </c>
      <c r="K1672" s="27">
        <v>0.94339622641509424</v>
      </c>
      <c r="L1672" s="33">
        <v>0.33333333333333331</v>
      </c>
      <c r="M1672" s="41" t="s">
        <v>410</v>
      </c>
      <c r="N1672" s="1" t="s">
        <v>38</v>
      </c>
      <c r="O1672" s="26" t="s">
        <v>42</v>
      </c>
      <c r="P1672" s="27">
        <v>3.2258064516129035</v>
      </c>
      <c r="Q1672" s="33">
        <v>0.33333333333333331</v>
      </c>
      <c r="R1672" s="55" t="s">
        <v>37</v>
      </c>
      <c r="S1672" s="26" t="s">
        <v>38</v>
      </c>
      <c r="T1672" s="26" t="s">
        <v>39</v>
      </c>
      <c r="U1672" s="27">
        <v>0.95238095238095233</v>
      </c>
      <c r="V1672" s="33">
        <v>0.33333333333333331</v>
      </c>
      <c r="W1672" s="26" t="s">
        <v>408</v>
      </c>
      <c r="X1672" s="26" t="s">
        <v>409</v>
      </c>
      <c r="Y1672" s="26" t="s">
        <v>39</v>
      </c>
      <c r="Z1672" s="27">
        <v>0.94339622641509424</v>
      </c>
      <c r="AA1672" s="33">
        <v>0.33333333333333331</v>
      </c>
      <c r="AB1672" s="26" t="s">
        <v>411</v>
      </c>
      <c r="AC1672" s="26" t="s">
        <v>38</v>
      </c>
      <c r="AD1672" s="26" t="s">
        <v>42</v>
      </c>
      <c r="AE1672" s="27">
        <v>2.5</v>
      </c>
      <c r="AF1672" s="36">
        <v>0.33333333333333331</v>
      </c>
      <c r="AG1672" s="31">
        <v>0</v>
      </c>
      <c r="AH1672" t="s">
        <v>44</v>
      </c>
    </row>
    <row r="1673" spans="1:34">
      <c r="A1673" s="15" t="s">
        <v>1750</v>
      </c>
      <c r="B1673" s="8" t="s">
        <v>1690</v>
      </c>
      <c r="C1673" s="41" t="s">
        <v>37</v>
      </c>
      <c r="D1673" s="1" t="s">
        <v>38</v>
      </c>
      <c r="E1673" s="26" t="s">
        <v>39</v>
      </c>
      <c r="F1673" s="27">
        <v>0.95238095238095233</v>
      </c>
      <c r="G1673" s="33">
        <v>0.33333333333333331</v>
      </c>
      <c r="H1673" s="41" t="s">
        <v>408</v>
      </c>
      <c r="I1673" s="1" t="s">
        <v>409</v>
      </c>
      <c r="J1673" s="26" t="s">
        <v>39</v>
      </c>
      <c r="K1673" s="27">
        <v>0.94339622641509424</v>
      </c>
      <c r="L1673" s="33">
        <v>0.33333333333333331</v>
      </c>
      <c r="M1673" s="41" t="s">
        <v>410</v>
      </c>
      <c r="N1673" s="1" t="s">
        <v>38</v>
      </c>
      <c r="O1673" s="26" t="s">
        <v>42</v>
      </c>
      <c r="P1673" s="27">
        <v>3.2258064516129035</v>
      </c>
      <c r="Q1673" s="33">
        <v>0.33333333333333331</v>
      </c>
      <c r="R1673" s="55" t="s">
        <v>37</v>
      </c>
      <c r="S1673" s="26" t="s">
        <v>38</v>
      </c>
      <c r="T1673" s="26" t="s">
        <v>39</v>
      </c>
      <c r="U1673" s="27">
        <v>0.95238095238095233</v>
      </c>
      <c r="V1673" s="33">
        <v>0.33333333333333331</v>
      </c>
      <c r="W1673" s="26" t="s">
        <v>408</v>
      </c>
      <c r="X1673" s="26" t="s">
        <v>409</v>
      </c>
      <c r="Y1673" s="26" t="s">
        <v>39</v>
      </c>
      <c r="Z1673" s="27">
        <v>0.94339622641509424</v>
      </c>
      <c r="AA1673" s="33">
        <v>0.33333333333333331</v>
      </c>
      <c r="AB1673" s="26" t="s">
        <v>411</v>
      </c>
      <c r="AC1673" s="26" t="s">
        <v>38</v>
      </c>
      <c r="AD1673" s="26" t="s">
        <v>42</v>
      </c>
      <c r="AE1673" s="27">
        <v>2.5</v>
      </c>
      <c r="AF1673" s="36">
        <v>0.33333333333333331</v>
      </c>
      <c r="AG1673" s="31">
        <v>0</v>
      </c>
      <c r="AH1673" t="s">
        <v>44</v>
      </c>
    </row>
    <row r="1674" spans="1:34">
      <c r="A1674" s="15" t="s">
        <v>1751</v>
      </c>
      <c r="B1674" s="8" t="s">
        <v>1690</v>
      </c>
      <c r="C1674" s="41" t="s">
        <v>37</v>
      </c>
      <c r="D1674" s="1" t="s">
        <v>38</v>
      </c>
      <c r="E1674" s="26" t="s">
        <v>39</v>
      </c>
      <c r="F1674" s="27">
        <v>0.95238095238095233</v>
      </c>
      <c r="G1674" s="33">
        <v>0.33333333333333331</v>
      </c>
      <c r="H1674" s="41" t="s">
        <v>408</v>
      </c>
      <c r="I1674" s="1" t="s">
        <v>409</v>
      </c>
      <c r="J1674" s="26" t="s">
        <v>39</v>
      </c>
      <c r="K1674" s="27">
        <v>0.94339622641509424</v>
      </c>
      <c r="L1674" s="33">
        <v>0.33333333333333331</v>
      </c>
      <c r="M1674" s="41" t="s">
        <v>410</v>
      </c>
      <c r="N1674" s="1" t="s">
        <v>38</v>
      </c>
      <c r="O1674" s="26" t="s">
        <v>42</v>
      </c>
      <c r="P1674" s="27">
        <v>3.2258064516129035</v>
      </c>
      <c r="Q1674" s="33">
        <v>0.33333333333333331</v>
      </c>
      <c r="R1674" s="55" t="s">
        <v>37</v>
      </c>
      <c r="S1674" s="26" t="s">
        <v>38</v>
      </c>
      <c r="T1674" s="26" t="s">
        <v>39</v>
      </c>
      <c r="U1674" s="27">
        <v>0.95238095238095233</v>
      </c>
      <c r="V1674" s="33">
        <v>0.33333333333333331</v>
      </c>
      <c r="W1674" s="26" t="s">
        <v>408</v>
      </c>
      <c r="X1674" s="26" t="s">
        <v>409</v>
      </c>
      <c r="Y1674" s="26" t="s">
        <v>39</v>
      </c>
      <c r="Z1674" s="27">
        <v>0.94339622641509424</v>
      </c>
      <c r="AA1674" s="33">
        <v>0.33333333333333331</v>
      </c>
      <c r="AB1674" s="26" t="s">
        <v>411</v>
      </c>
      <c r="AC1674" s="26" t="s">
        <v>38</v>
      </c>
      <c r="AD1674" s="26" t="s">
        <v>42</v>
      </c>
      <c r="AE1674" s="27">
        <v>2.5</v>
      </c>
      <c r="AF1674" s="36">
        <v>0.33333333333333331</v>
      </c>
      <c r="AG1674" s="31">
        <v>0</v>
      </c>
      <c r="AH1674" t="s">
        <v>44</v>
      </c>
    </row>
    <row r="1675" spans="1:34">
      <c r="A1675" s="15" t="s">
        <v>1752</v>
      </c>
      <c r="B1675" s="8" t="s">
        <v>1690</v>
      </c>
      <c r="C1675" s="41" t="s">
        <v>37</v>
      </c>
      <c r="D1675" s="1" t="s">
        <v>38</v>
      </c>
      <c r="E1675" s="26" t="s">
        <v>39</v>
      </c>
      <c r="F1675" s="27">
        <v>0.95238095238095233</v>
      </c>
      <c r="G1675" s="33">
        <v>0.33333333333333331</v>
      </c>
      <c r="H1675" s="41" t="s">
        <v>408</v>
      </c>
      <c r="I1675" s="1" t="s">
        <v>409</v>
      </c>
      <c r="J1675" s="26" t="s">
        <v>39</v>
      </c>
      <c r="K1675" s="27">
        <v>0.94339622641509424</v>
      </c>
      <c r="L1675" s="33">
        <v>0.33333333333333331</v>
      </c>
      <c r="M1675" s="41" t="s">
        <v>410</v>
      </c>
      <c r="N1675" s="1" t="s">
        <v>38</v>
      </c>
      <c r="O1675" s="26" t="s">
        <v>42</v>
      </c>
      <c r="P1675" s="27">
        <v>3.2258064516129035</v>
      </c>
      <c r="Q1675" s="33">
        <v>0.33333333333333331</v>
      </c>
      <c r="R1675" s="55" t="s">
        <v>37</v>
      </c>
      <c r="S1675" s="26" t="s">
        <v>38</v>
      </c>
      <c r="T1675" s="26" t="s">
        <v>39</v>
      </c>
      <c r="U1675" s="27">
        <v>0.95238095238095233</v>
      </c>
      <c r="V1675" s="33">
        <v>0.33333333333333331</v>
      </c>
      <c r="W1675" s="26" t="s">
        <v>408</v>
      </c>
      <c r="X1675" s="26" t="s">
        <v>409</v>
      </c>
      <c r="Y1675" s="26" t="s">
        <v>39</v>
      </c>
      <c r="Z1675" s="27">
        <v>0.94339622641509424</v>
      </c>
      <c r="AA1675" s="33">
        <v>0.33333333333333331</v>
      </c>
      <c r="AB1675" s="26" t="s">
        <v>411</v>
      </c>
      <c r="AC1675" s="26" t="s">
        <v>38</v>
      </c>
      <c r="AD1675" s="26" t="s">
        <v>42</v>
      </c>
      <c r="AE1675" s="27">
        <v>2.5</v>
      </c>
      <c r="AF1675" s="36">
        <v>0.33333333333333331</v>
      </c>
      <c r="AG1675" s="31">
        <v>0</v>
      </c>
      <c r="AH1675" t="s">
        <v>44</v>
      </c>
    </row>
    <row r="1676" spans="1:34">
      <c r="A1676" s="15" t="s">
        <v>1753</v>
      </c>
      <c r="B1676" s="8" t="s">
        <v>1690</v>
      </c>
      <c r="C1676" s="41" t="s">
        <v>37</v>
      </c>
      <c r="D1676" s="1" t="s">
        <v>38</v>
      </c>
      <c r="E1676" s="26" t="s">
        <v>39</v>
      </c>
      <c r="F1676" s="27">
        <v>0.95238095238095233</v>
      </c>
      <c r="G1676" s="33">
        <v>0.33333333333333331</v>
      </c>
      <c r="H1676" s="41" t="s">
        <v>408</v>
      </c>
      <c r="I1676" s="1" t="s">
        <v>409</v>
      </c>
      <c r="J1676" s="26" t="s">
        <v>39</v>
      </c>
      <c r="K1676" s="27">
        <v>0.94339622641509424</v>
      </c>
      <c r="L1676" s="33">
        <v>0.33333333333333331</v>
      </c>
      <c r="M1676" s="41" t="s">
        <v>410</v>
      </c>
      <c r="N1676" s="1" t="s">
        <v>38</v>
      </c>
      <c r="O1676" s="26" t="s">
        <v>42</v>
      </c>
      <c r="P1676" s="27">
        <v>3.2258064516129035</v>
      </c>
      <c r="Q1676" s="33">
        <v>0.33333333333333331</v>
      </c>
      <c r="R1676" s="55" t="s">
        <v>37</v>
      </c>
      <c r="S1676" s="26" t="s">
        <v>38</v>
      </c>
      <c r="T1676" s="26" t="s">
        <v>39</v>
      </c>
      <c r="U1676" s="27">
        <v>0.95238095238095233</v>
      </c>
      <c r="V1676" s="33">
        <v>0.33333333333333331</v>
      </c>
      <c r="W1676" s="26" t="s">
        <v>408</v>
      </c>
      <c r="X1676" s="26" t="s">
        <v>409</v>
      </c>
      <c r="Y1676" s="26" t="s">
        <v>39</v>
      </c>
      <c r="Z1676" s="27">
        <v>0.94339622641509424</v>
      </c>
      <c r="AA1676" s="33">
        <v>0.33333333333333331</v>
      </c>
      <c r="AB1676" s="26" t="s">
        <v>411</v>
      </c>
      <c r="AC1676" s="26" t="s">
        <v>38</v>
      </c>
      <c r="AD1676" s="26" t="s">
        <v>42</v>
      </c>
      <c r="AE1676" s="27">
        <v>2.5</v>
      </c>
      <c r="AF1676" s="36">
        <v>0.33333333333333331</v>
      </c>
      <c r="AG1676" s="31">
        <v>0</v>
      </c>
      <c r="AH1676" t="s">
        <v>44</v>
      </c>
    </row>
    <row r="1677" spans="1:34">
      <c r="A1677" s="15" t="s">
        <v>1754</v>
      </c>
      <c r="B1677" s="8" t="s">
        <v>1690</v>
      </c>
      <c r="C1677" s="41" t="s">
        <v>37</v>
      </c>
      <c r="D1677" s="1" t="s">
        <v>38</v>
      </c>
      <c r="E1677" s="26" t="s">
        <v>39</v>
      </c>
      <c r="F1677" s="27">
        <v>0.95238095238095233</v>
      </c>
      <c r="G1677" s="33">
        <v>0.33333333333333331</v>
      </c>
      <c r="H1677" s="41" t="s">
        <v>408</v>
      </c>
      <c r="I1677" s="1" t="s">
        <v>409</v>
      </c>
      <c r="J1677" s="26" t="s">
        <v>39</v>
      </c>
      <c r="K1677" s="27">
        <v>0.94339622641509424</v>
      </c>
      <c r="L1677" s="33">
        <v>0.33333333333333331</v>
      </c>
      <c r="M1677" s="41" t="s">
        <v>410</v>
      </c>
      <c r="N1677" s="1" t="s">
        <v>38</v>
      </c>
      <c r="O1677" s="26" t="s">
        <v>42</v>
      </c>
      <c r="P1677" s="27">
        <v>3.2258064516129035</v>
      </c>
      <c r="Q1677" s="33">
        <v>0.33333333333333331</v>
      </c>
      <c r="R1677" s="55" t="s">
        <v>37</v>
      </c>
      <c r="S1677" s="26" t="s">
        <v>38</v>
      </c>
      <c r="T1677" s="26" t="s">
        <v>39</v>
      </c>
      <c r="U1677" s="27">
        <v>0.95238095238095233</v>
      </c>
      <c r="V1677" s="33">
        <v>0.33333333333333331</v>
      </c>
      <c r="W1677" s="26" t="s">
        <v>408</v>
      </c>
      <c r="X1677" s="26" t="s">
        <v>409</v>
      </c>
      <c r="Y1677" s="26" t="s">
        <v>39</v>
      </c>
      <c r="Z1677" s="27">
        <v>0.94339622641509424</v>
      </c>
      <c r="AA1677" s="33">
        <v>0.33333333333333331</v>
      </c>
      <c r="AB1677" s="26" t="s">
        <v>411</v>
      </c>
      <c r="AC1677" s="26" t="s">
        <v>38</v>
      </c>
      <c r="AD1677" s="26" t="s">
        <v>42</v>
      </c>
      <c r="AE1677" s="27">
        <v>2.5</v>
      </c>
      <c r="AF1677" s="36">
        <v>0.33333333333333331</v>
      </c>
      <c r="AG1677" s="31">
        <v>0</v>
      </c>
      <c r="AH1677" t="s">
        <v>44</v>
      </c>
    </row>
    <row r="1678" spans="1:34">
      <c r="A1678" s="15" t="s">
        <v>1755</v>
      </c>
      <c r="B1678" s="8" t="s">
        <v>1690</v>
      </c>
      <c r="C1678" s="41" t="s">
        <v>37</v>
      </c>
      <c r="D1678" s="1" t="s">
        <v>38</v>
      </c>
      <c r="E1678" s="26" t="s">
        <v>39</v>
      </c>
      <c r="F1678" s="27">
        <v>0.95238095238095233</v>
      </c>
      <c r="G1678" s="33">
        <v>0.33333333333333331</v>
      </c>
      <c r="H1678" s="41" t="s">
        <v>408</v>
      </c>
      <c r="I1678" s="1" t="s">
        <v>409</v>
      </c>
      <c r="J1678" s="26" t="s">
        <v>39</v>
      </c>
      <c r="K1678" s="27">
        <v>0.94339622641509424</v>
      </c>
      <c r="L1678" s="33">
        <v>0.33333333333333331</v>
      </c>
      <c r="M1678" s="41" t="s">
        <v>410</v>
      </c>
      <c r="N1678" s="1" t="s">
        <v>38</v>
      </c>
      <c r="O1678" s="26" t="s">
        <v>42</v>
      </c>
      <c r="P1678" s="27">
        <v>3.2258064516129035</v>
      </c>
      <c r="Q1678" s="33">
        <v>0.33333333333333331</v>
      </c>
      <c r="R1678" s="55" t="s">
        <v>37</v>
      </c>
      <c r="S1678" s="26" t="s">
        <v>38</v>
      </c>
      <c r="T1678" s="26" t="s">
        <v>39</v>
      </c>
      <c r="U1678" s="27">
        <v>0.95238095238095233</v>
      </c>
      <c r="V1678" s="33">
        <v>0.33333333333333331</v>
      </c>
      <c r="W1678" s="26" t="s">
        <v>408</v>
      </c>
      <c r="X1678" s="26" t="s">
        <v>409</v>
      </c>
      <c r="Y1678" s="26" t="s">
        <v>39</v>
      </c>
      <c r="Z1678" s="27">
        <v>0.94339622641509424</v>
      </c>
      <c r="AA1678" s="33">
        <v>0.33333333333333331</v>
      </c>
      <c r="AB1678" s="26" t="s">
        <v>411</v>
      </c>
      <c r="AC1678" s="26" t="s">
        <v>38</v>
      </c>
      <c r="AD1678" s="26" t="s">
        <v>42</v>
      </c>
      <c r="AE1678" s="27">
        <v>2.5</v>
      </c>
      <c r="AF1678" s="36">
        <v>0.33333333333333331</v>
      </c>
      <c r="AG1678" s="31">
        <v>0</v>
      </c>
      <c r="AH1678" t="s">
        <v>44</v>
      </c>
    </row>
    <row r="1679" spans="1:34">
      <c r="A1679" s="15" t="s">
        <v>1756</v>
      </c>
      <c r="B1679" s="8" t="s">
        <v>1690</v>
      </c>
      <c r="C1679" s="41" t="s">
        <v>37</v>
      </c>
      <c r="D1679" s="1" t="s">
        <v>38</v>
      </c>
      <c r="E1679" s="26" t="s">
        <v>39</v>
      </c>
      <c r="F1679" s="27">
        <v>0.95238095238095233</v>
      </c>
      <c r="G1679" s="33">
        <v>0.33333333333333331</v>
      </c>
      <c r="H1679" s="41" t="s">
        <v>408</v>
      </c>
      <c r="I1679" s="1" t="s">
        <v>409</v>
      </c>
      <c r="J1679" s="26" t="s">
        <v>39</v>
      </c>
      <c r="K1679" s="27">
        <v>0.94339622641509424</v>
      </c>
      <c r="L1679" s="33">
        <v>0.33333333333333331</v>
      </c>
      <c r="M1679" s="41" t="s">
        <v>410</v>
      </c>
      <c r="N1679" s="1" t="s">
        <v>38</v>
      </c>
      <c r="O1679" s="26" t="s">
        <v>42</v>
      </c>
      <c r="P1679" s="27">
        <v>3.2258064516129035</v>
      </c>
      <c r="Q1679" s="33">
        <v>0.33333333333333331</v>
      </c>
      <c r="R1679" s="55" t="s">
        <v>37</v>
      </c>
      <c r="S1679" s="26" t="s">
        <v>38</v>
      </c>
      <c r="T1679" s="26" t="s">
        <v>39</v>
      </c>
      <c r="U1679" s="27">
        <v>0.95238095238095233</v>
      </c>
      <c r="V1679" s="33">
        <v>0.33333333333333331</v>
      </c>
      <c r="W1679" s="26" t="s">
        <v>408</v>
      </c>
      <c r="X1679" s="26" t="s">
        <v>409</v>
      </c>
      <c r="Y1679" s="26" t="s">
        <v>39</v>
      </c>
      <c r="Z1679" s="27">
        <v>0.94339622641509424</v>
      </c>
      <c r="AA1679" s="33">
        <v>0.33333333333333331</v>
      </c>
      <c r="AB1679" s="26" t="s">
        <v>411</v>
      </c>
      <c r="AC1679" s="26" t="s">
        <v>38</v>
      </c>
      <c r="AD1679" s="26" t="s">
        <v>42</v>
      </c>
      <c r="AE1679" s="27">
        <v>2.5</v>
      </c>
      <c r="AF1679" s="36">
        <v>0.33333333333333331</v>
      </c>
      <c r="AG1679" s="31">
        <v>0</v>
      </c>
      <c r="AH1679" t="s">
        <v>44</v>
      </c>
    </row>
    <row r="1680" spans="1:34">
      <c r="A1680" s="15" t="s">
        <v>1757</v>
      </c>
      <c r="B1680" s="8" t="s">
        <v>1690</v>
      </c>
      <c r="C1680" s="41" t="s">
        <v>37</v>
      </c>
      <c r="D1680" s="1" t="s">
        <v>38</v>
      </c>
      <c r="E1680" s="26" t="s">
        <v>39</v>
      </c>
      <c r="F1680" s="27">
        <v>0.95238095238095233</v>
      </c>
      <c r="G1680" s="33">
        <v>0.33333333333333331</v>
      </c>
      <c r="H1680" s="41" t="s">
        <v>408</v>
      </c>
      <c r="I1680" s="1" t="s">
        <v>409</v>
      </c>
      <c r="J1680" s="26" t="s">
        <v>39</v>
      </c>
      <c r="K1680" s="27">
        <v>0.94339622641509424</v>
      </c>
      <c r="L1680" s="33">
        <v>0.33333333333333331</v>
      </c>
      <c r="M1680" s="41" t="s">
        <v>410</v>
      </c>
      <c r="N1680" s="1" t="s">
        <v>38</v>
      </c>
      <c r="O1680" s="26" t="s">
        <v>42</v>
      </c>
      <c r="P1680" s="27">
        <v>3.2258064516129035</v>
      </c>
      <c r="Q1680" s="33">
        <v>0.33333333333333331</v>
      </c>
      <c r="R1680" s="55" t="s">
        <v>37</v>
      </c>
      <c r="S1680" s="26" t="s">
        <v>38</v>
      </c>
      <c r="T1680" s="26" t="s">
        <v>39</v>
      </c>
      <c r="U1680" s="27">
        <v>0.95238095238095233</v>
      </c>
      <c r="V1680" s="33">
        <v>0.33333333333333331</v>
      </c>
      <c r="W1680" s="26" t="s">
        <v>408</v>
      </c>
      <c r="X1680" s="26" t="s">
        <v>409</v>
      </c>
      <c r="Y1680" s="26" t="s">
        <v>39</v>
      </c>
      <c r="Z1680" s="27">
        <v>0.94339622641509424</v>
      </c>
      <c r="AA1680" s="33">
        <v>0.33333333333333331</v>
      </c>
      <c r="AB1680" s="26" t="s">
        <v>411</v>
      </c>
      <c r="AC1680" s="26" t="s">
        <v>38</v>
      </c>
      <c r="AD1680" s="26" t="s">
        <v>42</v>
      </c>
      <c r="AE1680" s="27">
        <v>2.5</v>
      </c>
      <c r="AF1680" s="36">
        <v>0.33333333333333331</v>
      </c>
      <c r="AG1680" s="31">
        <v>0</v>
      </c>
      <c r="AH1680" t="s">
        <v>44</v>
      </c>
    </row>
    <row r="1681" spans="1:34">
      <c r="A1681" s="15" t="s">
        <v>1758</v>
      </c>
      <c r="B1681" s="8" t="s">
        <v>1690</v>
      </c>
      <c r="C1681" s="41" t="s">
        <v>37</v>
      </c>
      <c r="D1681" s="1" t="s">
        <v>38</v>
      </c>
      <c r="E1681" s="26" t="s">
        <v>39</v>
      </c>
      <c r="F1681" s="27">
        <v>0.95238095238095233</v>
      </c>
      <c r="G1681" s="33">
        <v>0.33333333333333331</v>
      </c>
      <c r="H1681" s="41" t="s">
        <v>408</v>
      </c>
      <c r="I1681" s="1" t="s">
        <v>409</v>
      </c>
      <c r="J1681" s="26" t="s">
        <v>39</v>
      </c>
      <c r="K1681" s="27">
        <v>0.94339622641509424</v>
      </c>
      <c r="L1681" s="33">
        <v>0.33333333333333331</v>
      </c>
      <c r="M1681" s="41" t="s">
        <v>410</v>
      </c>
      <c r="N1681" s="1" t="s">
        <v>38</v>
      </c>
      <c r="O1681" s="26" t="s">
        <v>42</v>
      </c>
      <c r="P1681" s="27">
        <v>3.2258064516129035</v>
      </c>
      <c r="Q1681" s="33">
        <v>0.33333333333333331</v>
      </c>
      <c r="R1681" s="55" t="s">
        <v>37</v>
      </c>
      <c r="S1681" s="26" t="s">
        <v>38</v>
      </c>
      <c r="T1681" s="26" t="s">
        <v>39</v>
      </c>
      <c r="U1681" s="27">
        <v>0.95238095238095233</v>
      </c>
      <c r="V1681" s="33">
        <v>0.33333333333333331</v>
      </c>
      <c r="W1681" s="26" t="s">
        <v>408</v>
      </c>
      <c r="X1681" s="26" t="s">
        <v>409</v>
      </c>
      <c r="Y1681" s="26" t="s">
        <v>39</v>
      </c>
      <c r="Z1681" s="27">
        <v>0.94339622641509424</v>
      </c>
      <c r="AA1681" s="33">
        <v>0.33333333333333331</v>
      </c>
      <c r="AB1681" s="26" t="s">
        <v>411</v>
      </c>
      <c r="AC1681" s="26" t="s">
        <v>38</v>
      </c>
      <c r="AD1681" s="26" t="s">
        <v>42</v>
      </c>
      <c r="AE1681" s="27">
        <v>2.5</v>
      </c>
      <c r="AF1681" s="36">
        <v>0.33333333333333331</v>
      </c>
      <c r="AG1681" s="31">
        <v>0</v>
      </c>
      <c r="AH1681" t="s">
        <v>44</v>
      </c>
    </row>
    <row r="1682" spans="1:34">
      <c r="A1682" s="15" t="s">
        <v>1759</v>
      </c>
      <c r="B1682" s="8" t="s">
        <v>1690</v>
      </c>
      <c r="C1682" s="41" t="s">
        <v>37</v>
      </c>
      <c r="D1682" s="1" t="s">
        <v>38</v>
      </c>
      <c r="E1682" s="26" t="s">
        <v>39</v>
      </c>
      <c r="F1682" s="27">
        <v>0.95238095238095233</v>
      </c>
      <c r="G1682" s="33">
        <v>0.33333333333333331</v>
      </c>
      <c r="H1682" s="41" t="s">
        <v>408</v>
      </c>
      <c r="I1682" s="1" t="s">
        <v>409</v>
      </c>
      <c r="J1682" s="26" t="s">
        <v>39</v>
      </c>
      <c r="K1682" s="27">
        <v>0.94339622641509424</v>
      </c>
      <c r="L1682" s="33">
        <v>0.33333333333333331</v>
      </c>
      <c r="M1682" s="41" t="s">
        <v>410</v>
      </c>
      <c r="N1682" s="1" t="s">
        <v>38</v>
      </c>
      <c r="O1682" s="26" t="s">
        <v>42</v>
      </c>
      <c r="P1682" s="27">
        <v>3.2258064516129035</v>
      </c>
      <c r="Q1682" s="33">
        <v>0.33333333333333331</v>
      </c>
      <c r="R1682" s="55" t="s">
        <v>37</v>
      </c>
      <c r="S1682" s="26" t="s">
        <v>38</v>
      </c>
      <c r="T1682" s="26" t="s">
        <v>39</v>
      </c>
      <c r="U1682" s="27">
        <v>0.95238095238095233</v>
      </c>
      <c r="V1682" s="33">
        <v>0.33333333333333331</v>
      </c>
      <c r="W1682" s="26" t="s">
        <v>408</v>
      </c>
      <c r="X1682" s="26" t="s">
        <v>409</v>
      </c>
      <c r="Y1682" s="26" t="s">
        <v>39</v>
      </c>
      <c r="Z1682" s="27">
        <v>0.94339622641509424</v>
      </c>
      <c r="AA1682" s="33">
        <v>0.33333333333333331</v>
      </c>
      <c r="AB1682" s="26" t="s">
        <v>411</v>
      </c>
      <c r="AC1682" s="26" t="s">
        <v>38</v>
      </c>
      <c r="AD1682" s="26" t="s">
        <v>42</v>
      </c>
      <c r="AE1682" s="27">
        <v>2.5</v>
      </c>
      <c r="AF1682" s="36">
        <v>0.33333333333333331</v>
      </c>
      <c r="AG1682" s="31">
        <v>0</v>
      </c>
      <c r="AH1682" t="s">
        <v>44</v>
      </c>
    </row>
    <row r="1683" spans="1:34">
      <c r="A1683" s="15" t="s">
        <v>1760</v>
      </c>
      <c r="B1683" s="8" t="s">
        <v>1690</v>
      </c>
      <c r="C1683" s="41" t="s">
        <v>37</v>
      </c>
      <c r="D1683" s="1" t="s">
        <v>38</v>
      </c>
      <c r="E1683" s="26" t="s">
        <v>39</v>
      </c>
      <c r="F1683" s="27">
        <v>0.95238095238095233</v>
      </c>
      <c r="G1683" s="33">
        <v>0.33333333333333331</v>
      </c>
      <c r="H1683" s="41" t="s">
        <v>408</v>
      </c>
      <c r="I1683" s="1" t="s">
        <v>409</v>
      </c>
      <c r="J1683" s="26" t="s">
        <v>39</v>
      </c>
      <c r="K1683" s="27">
        <v>0.94339622641509424</v>
      </c>
      <c r="L1683" s="33">
        <v>0.33333333333333331</v>
      </c>
      <c r="M1683" s="41" t="s">
        <v>410</v>
      </c>
      <c r="N1683" s="1" t="s">
        <v>38</v>
      </c>
      <c r="O1683" s="26" t="s">
        <v>42</v>
      </c>
      <c r="P1683" s="27">
        <v>3.2258064516129035</v>
      </c>
      <c r="Q1683" s="33">
        <v>0.33333333333333331</v>
      </c>
      <c r="R1683" s="55" t="s">
        <v>37</v>
      </c>
      <c r="S1683" s="26" t="s">
        <v>38</v>
      </c>
      <c r="T1683" s="26" t="s">
        <v>39</v>
      </c>
      <c r="U1683" s="27">
        <v>0.95238095238095233</v>
      </c>
      <c r="V1683" s="33">
        <v>0.33333333333333331</v>
      </c>
      <c r="W1683" s="26" t="s">
        <v>408</v>
      </c>
      <c r="X1683" s="26" t="s">
        <v>409</v>
      </c>
      <c r="Y1683" s="26" t="s">
        <v>39</v>
      </c>
      <c r="Z1683" s="27">
        <v>0.94339622641509424</v>
      </c>
      <c r="AA1683" s="33">
        <v>0.33333333333333331</v>
      </c>
      <c r="AB1683" s="26" t="s">
        <v>411</v>
      </c>
      <c r="AC1683" s="26" t="s">
        <v>38</v>
      </c>
      <c r="AD1683" s="26" t="s">
        <v>42</v>
      </c>
      <c r="AE1683" s="27">
        <v>2.5</v>
      </c>
      <c r="AF1683" s="36">
        <v>0.33333333333333331</v>
      </c>
      <c r="AG1683" s="31">
        <v>0</v>
      </c>
      <c r="AH1683" t="s">
        <v>44</v>
      </c>
    </row>
    <row r="1684" spans="1:34">
      <c r="A1684" s="15" t="s">
        <v>1761</v>
      </c>
      <c r="B1684" s="8" t="s">
        <v>1690</v>
      </c>
      <c r="C1684" s="41" t="s">
        <v>37</v>
      </c>
      <c r="D1684" s="1" t="s">
        <v>38</v>
      </c>
      <c r="E1684" s="26" t="s">
        <v>39</v>
      </c>
      <c r="F1684" s="27">
        <v>0.95238095238095233</v>
      </c>
      <c r="G1684" s="33">
        <v>0.33333333333333331</v>
      </c>
      <c r="H1684" s="41" t="s">
        <v>408</v>
      </c>
      <c r="I1684" s="1" t="s">
        <v>409</v>
      </c>
      <c r="J1684" s="26" t="s">
        <v>39</v>
      </c>
      <c r="K1684" s="27">
        <v>0.94339622641509424</v>
      </c>
      <c r="L1684" s="33">
        <v>0.33333333333333331</v>
      </c>
      <c r="M1684" s="41" t="s">
        <v>410</v>
      </c>
      <c r="N1684" s="1" t="s">
        <v>38</v>
      </c>
      <c r="O1684" s="26" t="s">
        <v>42</v>
      </c>
      <c r="P1684" s="27">
        <v>3.2258064516129035</v>
      </c>
      <c r="Q1684" s="33">
        <v>0.33333333333333331</v>
      </c>
      <c r="R1684" s="55" t="s">
        <v>37</v>
      </c>
      <c r="S1684" s="26" t="s">
        <v>38</v>
      </c>
      <c r="T1684" s="26" t="s">
        <v>39</v>
      </c>
      <c r="U1684" s="27">
        <v>0.95238095238095233</v>
      </c>
      <c r="V1684" s="33">
        <v>0.33333333333333331</v>
      </c>
      <c r="W1684" s="26" t="s">
        <v>408</v>
      </c>
      <c r="X1684" s="26" t="s">
        <v>409</v>
      </c>
      <c r="Y1684" s="26" t="s">
        <v>39</v>
      </c>
      <c r="Z1684" s="27">
        <v>0.94339622641509424</v>
      </c>
      <c r="AA1684" s="33">
        <v>0.33333333333333331</v>
      </c>
      <c r="AB1684" s="26" t="s">
        <v>411</v>
      </c>
      <c r="AC1684" s="26" t="s">
        <v>38</v>
      </c>
      <c r="AD1684" s="26" t="s">
        <v>42</v>
      </c>
      <c r="AE1684" s="27">
        <v>2.5</v>
      </c>
      <c r="AF1684" s="36">
        <v>0.33333333333333331</v>
      </c>
      <c r="AG1684" s="31">
        <v>0</v>
      </c>
      <c r="AH1684" t="s">
        <v>44</v>
      </c>
    </row>
    <row r="1685" spans="1:34">
      <c r="A1685" s="15" t="s">
        <v>1762</v>
      </c>
      <c r="B1685" s="8" t="s">
        <v>1690</v>
      </c>
      <c r="C1685" s="41" t="s">
        <v>37</v>
      </c>
      <c r="D1685" s="1" t="s">
        <v>38</v>
      </c>
      <c r="E1685" s="26" t="s">
        <v>39</v>
      </c>
      <c r="F1685" s="27">
        <v>0.95238095238095233</v>
      </c>
      <c r="G1685" s="33">
        <v>0.33333333333333331</v>
      </c>
      <c r="H1685" s="41" t="s">
        <v>408</v>
      </c>
      <c r="I1685" s="1" t="s">
        <v>409</v>
      </c>
      <c r="J1685" s="26" t="s">
        <v>39</v>
      </c>
      <c r="K1685" s="27">
        <v>0.94339622641509424</v>
      </c>
      <c r="L1685" s="33">
        <v>0.33333333333333331</v>
      </c>
      <c r="M1685" s="41" t="s">
        <v>410</v>
      </c>
      <c r="N1685" s="1" t="s">
        <v>38</v>
      </c>
      <c r="O1685" s="26" t="s">
        <v>42</v>
      </c>
      <c r="P1685" s="27">
        <v>3.2258064516129035</v>
      </c>
      <c r="Q1685" s="33">
        <v>0.33333333333333331</v>
      </c>
      <c r="R1685" s="55" t="s">
        <v>37</v>
      </c>
      <c r="S1685" s="26" t="s">
        <v>38</v>
      </c>
      <c r="T1685" s="26" t="s">
        <v>39</v>
      </c>
      <c r="U1685" s="27">
        <v>0.95238095238095233</v>
      </c>
      <c r="V1685" s="33">
        <v>0.33333333333333331</v>
      </c>
      <c r="W1685" s="26" t="s">
        <v>408</v>
      </c>
      <c r="X1685" s="26" t="s">
        <v>409</v>
      </c>
      <c r="Y1685" s="26" t="s">
        <v>39</v>
      </c>
      <c r="Z1685" s="27">
        <v>0.94339622641509424</v>
      </c>
      <c r="AA1685" s="33">
        <v>0.33333333333333331</v>
      </c>
      <c r="AB1685" s="26" t="s">
        <v>411</v>
      </c>
      <c r="AC1685" s="26" t="s">
        <v>38</v>
      </c>
      <c r="AD1685" s="26" t="s">
        <v>42</v>
      </c>
      <c r="AE1685" s="27">
        <v>2.5</v>
      </c>
      <c r="AF1685" s="36">
        <v>0.33333333333333331</v>
      </c>
      <c r="AG1685" s="31">
        <v>0</v>
      </c>
      <c r="AH1685" t="s">
        <v>44</v>
      </c>
    </row>
    <row r="1686" spans="1:34">
      <c r="A1686" s="15" t="s">
        <v>1763</v>
      </c>
      <c r="B1686" s="8" t="s">
        <v>1690</v>
      </c>
      <c r="C1686" s="41" t="s">
        <v>37</v>
      </c>
      <c r="D1686" s="1" t="s">
        <v>38</v>
      </c>
      <c r="E1686" s="26" t="s">
        <v>39</v>
      </c>
      <c r="F1686" s="27">
        <v>0.95238095238095233</v>
      </c>
      <c r="G1686" s="33">
        <v>0.33333333333333331</v>
      </c>
      <c r="H1686" s="41" t="s">
        <v>408</v>
      </c>
      <c r="I1686" s="1" t="s">
        <v>409</v>
      </c>
      <c r="J1686" s="26" t="s">
        <v>39</v>
      </c>
      <c r="K1686" s="27">
        <v>0.94339622641509424</v>
      </c>
      <c r="L1686" s="33">
        <v>0.33333333333333331</v>
      </c>
      <c r="M1686" s="41" t="s">
        <v>410</v>
      </c>
      <c r="N1686" s="1" t="s">
        <v>38</v>
      </c>
      <c r="O1686" s="26" t="s">
        <v>42</v>
      </c>
      <c r="P1686" s="27">
        <v>3.2258064516129035</v>
      </c>
      <c r="Q1686" s="33">
        <v>0.33333333333333331</v>
      </c>
      <c r="R1686" s="55" t="s">
        <v>37</v>
      </c>
      <c r="S1686" s="26" t="s">
        <v>38</v>
      </c>
      <c r="T1686" s="26" t="s">
        <v>39</v>
      </c>
      <c r="U1686" s="27">
        <v>0.95238095238095233</v>
      </c>
      <c r="V1686" s="33">
        <v>0.33333333333333331</v>
      </c>
      <c r="W1686" s="26" t="s">
        <v>408</v>
      </c>
      <c r="X1686" s="26" t="s">
        <v>409</v>
      </c>
      <c r="Y1686" s="26" t="s">
        <v>39</v>
      </c>
      <c r="Z1686" s="27">
        <v>0.94339622641509424</v>
      </c>
      <c r="AA1686" s="33">
        <v>0.33333333333333331</v>
      </c>
      <c r="AB1686" s="26" t="s">
        <v>411</v>
      </c>
      <c r="AC1686" s="26" t="s">
        <v>38</v>
      </c>
      <c r="AD1686" s="26" t="s">
        <v>42</v>
      </c>
      <c r="AE1686" s="27">
        <v>2.5</v>
      </c>
      <c r="AF1686" s="36">
        <v>0.33333333333333331</v>
      </c>
      <c r="AG1686" s="31">
        <v>0</v>
      </c>
      <c r="AH1686" t="s">
        <v>44</v>
      </c>
    </row>
    <row r="1687" spans="1:34">
      <c r="A1687" s="15" t="s">
        <v>1764</v>
      </c>
      <c r="B1687" s="8" t="s">
        <v>1690</v>
      </c>
      <c r="C1687" s="41" t="s">
        <v>37</v>
      </c>
      <c r="D1687" s="1" t="s">
        <v>38</v>
      </c>
      <c r="E1687" s="26" t="s">
        <v>39</v>
      </c>
      <c r="F1687" s="27">
        <v>0.95238095238095233</v>
      </c>
      <c r="G1687" s="33">
        <v>0.33333333333333331</v>
      </c>
      <c r="H1687" s="41" t="s">
        <v>408</v>
      </c>
      <c r="I1687" s="1" t="s">
        <v>409</v>
      </c>
      <c r="J1687" s="26" t="s">
        <v>39</v>
      </c>
      <c r="K1687" s="27">
        <v>0.94339622641509424</v>
      </c>
      <c r="L1687" s="33">
        <v>0.33333333333333331</v>
      </c>
      <c r="M1687" s="41" t="s">
        <v>410</v>
      </c>
      <c r="N1687" s="1" t="s">
        <v>38</v>
      </c>
      <c r="O1687" s="26" t="s">
        <v>42</v>
      </c>
      <c r="P1687" s="27">
        <v>3.2258064516129035</v>
      </c>
      <c r="Q1687" s="33">
        <v>0.33333333333333331</v>
      </c>
      <c r="R1687" s="55" t="s">
        <v>37</v>
      </c>
      <c r="S1687" s="26" t="s">
        <v>38</v>
      </c>
      <c r="T1687" s="26" t="s">
        <v>39</v>
      </c>
      <c r="U1687" s="27">
        <v>0.95238095238095233</v>
      </c>
      <c r="V1687" s="33">
        <v>0.33333333333333331</v>
      </c>
      <c r="W1687" s="26" t="s">
        <v>408</v>
      </c>
      <c r="X1687" s="26" t="s">
        <v>409</v>
      </c>
      <c r="Y1687" s="26" t="s">
        <v>39</v>
      </c>
      <c r="Z1687" s="27">
        <v>0.94339622641509424</v>
      </c>
      <c r="AA1687" s="33">
        <v>0.33333333333333331</v>
      </c>
      <c r="AB1687" s="26" t="s">
        <v>411</v>
      </c>
      <c r="AC1687" s="26" t="s">
        <v>38</v>
      </c>
      <c r="AD1687" s="26" t="s">
        <v>42</v>
      </c>
      <c r="AE1687" s="27">
        <v>2.5</v>
      </c>
      <c r="AF1687" s="36">
        <v>0.33333333333333331</v>
      </c>
      <c r="AG1687" s="31">
        <v>0</v>
      </c>
      <c r="AH1687" t="s">
        <v>44</v>
      </c>
    </row>
    <row r="1688" spans="1:34">
      <c r="A1688" s="15" t="s">
        <v>1765</v>
      </c>
      <c r="B1688" s="8" t="s">
        <v>1690</v>
      </c>
      <c r="C1688" s="41" t="s">
        <v>37</v>
      </c>
      <c r="D1688" s="1" t="s">
        <v>38</v>
      </c>
      <c r="E1688" s="26" t="s">
        <v>39</v>
      </c>
      <c r="F1688" s="27">
        <v>0.95238095238095233</v>
      </c>
      <c r="G1688" s="33">
        <v>0.33333333333333331</v>
      </c>
      <c r="H1688" s="41" t="s">
        <v>408</v>
      </c>
      <c r="I1688" s="1" t="s">
        <v>409</v>
      </c>
      <c r="J1688" s="26" t="s">
        <v>39</v>
      </c>
      <c r="K1688" s="27">
        <v>0.94339622641509424</v>
      </c>
      <c r="L1688" s="33">
        <v>0.33333333333333331</v>
      </c>
      <c r="M1688" s="41" t="s">
        <v>410</v>
      </c>
      <c r="N1688" s="1" t="s">
        <v>38</v>
      </c>
      <c r="O1688" s="26" t="s">
        <v>42</v>
      </c>
      <c r="P1688" s="27">
        <v>3.2258064516129035</v>
      </c>
      <c r="Q1688" s="33">
        <v>0.33333333333333331</v>
      </c>
      <c r="R1688" s="55" t="s">
        <v>37</v>
      </c>
      <c r="S1688" s="26" t="s">
        <v>38</v>
      </c>
      <c r="T1688" s="26" t="s">
        <v>39</v>
      </c>
      <c r="U1688" s="27">
        <v>0.95238095238095233</v>
      </c>
      <c r="V1688" s="33">
        <v>0.33333333333333331</v>
      </c>
      <c r="W1688" s="26" t="s">
        <v>408</v>
      </c>
      <c r="X1688" s="26" t="s">
        <v>409</v>
      </c>
      <c r="Y1688" s="26" t="s">
        <v>39</v>
      </c>
      <c r="Z1688" s="27">
        <v>0.94339622641509424</v>
      </c>
      <c r="AA1688" s="33">
        <v>0.33333333333333331</v>
      </c>
      <c r="AB1688" s="26" t="s">
        <v>411</v>
      </c>
      <c r="AC1688" s="26" t="s">
        <v>38</v>
      </c>
      <c r="AD1688" s="26" t="s">
        <v>42</v>
      </c>
      <c r="AE1688" s="27">
        <v>2.5</v>
      </c>
      <c r="AF1688" s="36">
        <v>0.33333333333333331</v>
      </c>
      <c r="AG1688" s="31">
        <v>0</v>
      </c>
      <c r="AH1688" t="s">
        <v>44</v>
      </c>
    </row>
    <row r="1689" spans="1:34">
      <c r="A1689" s="15" t="s">
        <v>1766</v>
      </c>
      <c r="B1689" s="8" t="s">
        <v>1690</v>
      </c>
      <c r="C1689" s="41" t="s">
        <v>37</v>
      </c>
      <c r="D1689" s="1" t="s">
        <v>38</v>
      </c>
      <c r="E1689" s="26" t="s">
        <v>39</v>
      </c>
      <c r="F1689" s="27">
        <v>0.95238095238095233</v>
      </c>
      <c r="G1689" s="33">
        <v>0.33333333333333331</v>
      </c>
      <c r="H1689" s="41" t="s">
        <v>408</v>
      </c>
      <c r="I1689" s="1" t="s">
        <v>409</v>
      </c>
      <c r="J1689" s="26" t="s">
        <v>39</v>
      </c>
      <c r="K1689" s="27">
        <v>0.94339622641509424</v>
      </c>
      <c r="L1689" s="33">
        <v>0.33333333333333331</v>
      </c>
      <c r="M1689" s="41" t="s">
        <v>410</v>
      </c>
      <c r="N1689" s="1" t="s">
        <v>38</v>
      </c>
      <c r="O1689" s="26" t="s">
        <v>42</v>
      </c>
      <c r="P1689" s="27">
        <v>3.2258064516129035</v>
      </c>
      <c r="Q1689" s="33">
        <v>0.33333333333333331</v>
      </c>
      <c r="R1689" s="55" t="s">
        <v>37</v>
      </c>
      <c r="S1689" s="26" t="s">
        <v>38</v>
      </c>
      <c r="T1689" s="26" t="s">
        <v>39</v>
      </c>
      <c r="U1689" s="27">
        <v>0.95238095238095233</v>
      </c>
      <c r="V1689" s="33">
        <v>0.33333333333333331</v>
      </c>
      <c r="W1689" s="26" t="s">
        <v>408</v>
      </c>
      <c r="X1689" s="26" t="s">
        <v>409</v>
      </c>
      <c r="Y1689" s="26" t="s">
        <v>39</v>
      </c>
      <c r="Z1689" s="27">
        <v>0.94339622641509424</v>
      </c>
      <c r="AA1689" s="33">
        <v>0.33333333333333331</v>
      </c>
      <c r="AB1689" s="26" t="s">
        <v>411</v>
      </c>
      <c r="AC1689" s="26" t="s">
        <v>38</v>
      </c>
      <c r="AD1689" s="26" t="s">
        <v>42</v>
      </c>
      <c r="AE1689" s="27">
        <v>2.5</v>
      </c>
      <c r="AF1689" s="36">
        <v>0.33333333333333331</v>
      </c>
      <c r="AG1689" s="31">
        <v>0</v>
      </c>
      <c r="AH1689" t="s">
        <v>44</v>
      </c>
    </row>
    <row r="1690" spans="1:34">
      <c r="A1690" s="15" t="s">
        <v>1767</v>
      </c>
      <c r="B1690" s="8" t="s">
        <v>1690</v>
      </c>
      <c r="C1690" s="41" t="s">
        <v>37</v>
      </c>
      <c r="D1690" s="1" t="s">
        <v>38</v>
      </c>
      <c r="E1690" s="26" t="s">
        <v>39</v>
      </c>
      <c r="F1690" s="27">
        <v>0.95238095238095233</v>
      </c>
      <c r="G1690" s="33">
        <v>0.33333333333333331</v>
      </c>
      <c r="H1690" s="41" t="s">
        <v>408</v>
      </c>
      <c r="I1690" s="1" t="s">
        <v>409</v>
      </c>
      <c r="J1690" s="26" t="s">
        <v>39</v>
      </c>
      <c r="K1690" s="27">
        <v>0.94339622641509424</v>
      </c>
      <c r="L1690" s="33">
        <v>0.33333333333333331</v>
      </c>
      <c r="M1690" s="41" t="s">
        <v>410</v>
      </c>
      <c r="N1690" s="1" t="s">
        <v>38</v>
      </c>
      <c r="O1690" s="26" t="s">
        <v>42</v>
      </c>
      <c r="P1690" s="27">
        <v>3.2258064516129035</v>
      </c>
      <c r="Q1690" s="33">
        <v>0.33333333333333331</v>
      </c>
      <c r="R1690" s="55" t="s">
        <v>37</v>
      </c>
      <c r="S1690" s="26" t="s">
        <v>38</v>
      </c>
      <c r="T1690" s="26" t="s">
        <v>39</v>
      </c>
      <c r="U1690" s="27">
        <v>0.95238095238095233</v>
      </c>
      <c r="V1690" s="33">
        <v>0.33333333333333331</v>
      </c>
      <c r="W1690" s="26" t="s">
        <v>408</v>
      </c>
      <c r="X1690" s="26" t="s">
        <v>409</v>
      </c>
      <c r="Y1690" s="26" t="s">
        <v>39</v>
      </c>
      <c r="Z1690" s="27">
        <v>0.94339622641509424</v>
      </c>
      <c r="AA1690" s="33">
        <v>0.33333333333333331</v>
      </c>
      <c r="AB1690" s="26" t="s">
        <v>411</v>
      </c>
      <c r="AC1690" s="26" t="s">
        <v>38</v>
      </c>
      <c r="AD1690" s="26" t="s">
        <v>42</v>
      </c>
      <c r="AE1690" s="27">
        <v>2.5</v>
      </c>
      <c r="AF1690" s="36">
        <v>0.33333333333333331</v>
      </c>
      <c r="AG1690" s="31">
        <v>0</v>
      </c>
      <c r="AH1690" t="s">
        <v>44</v>
      </c>
    </row>
    <row r="1691" spans="1:34">
      <c r="A1691" s="15" t="s">
        <v>1768</v>
      </c>
      <c r="B1691" s="8" t="s">
        <v>1690</v>
      </c>
      <c r="C1691" s="41" t="s">
        <v>37</v>
      </c>
      <c r="D1691" s="1" t="s">
        <v>38</v>
      </c>
      <c r="E1691" s="26" t="s">
        <v>39</v>
      </c>
      <c r="F1691" s="27">
        <v>0.95238095238095233</v>
      </c>
      <c r="G1691" s="33">
        <v>0.33333333333333331</v>
      </c>
      <c r="H1691" s="41" t="s">
        <v>408</v>
      </c>
      <c r="I1691" s="1" t="s">
        <v>409</v>
      </c>
      <c r="J1691" s="26" t="s">
        <v>39</v>
      </c>
      <c r="K1691" s="27">
        <v>0.94339622641509424</v>
      </c>
      <c r="L1691" s="33">
        <v>0.33333333333333331</v>
      </c>
      <c r="M1691" s="41" t="s">
        <v>410</v>
      </c>
      <c r="N1691" s="1" t="s">
        <v>38</v>
      </c>
      <c r="O1691" s="26" t="s">
        <v>42</v>
      </c>
      <c r="P1691" s="27">
        <v>3.2258064516129035</v>
      </c>
      <c r="Q1691" s="33">
        <v>0.33333333333333331</v>
      </c>
      <c r="R1691" s="55" t="s">
        <v>37</v>
      </c>
      <c r="S1691" s="26" t="s">
        <v>38</v>
      </c>
      <c r="T1691" s="26" t="s">
        <v>39</v>
      </c>
      <c r="U1691" s="27">
        <v>0.95238095238095233</v>
      </c>
      <c r="V1691" s="33">
        <v>0.33333333333333331</v>
      </c>
      <c r="W1691" s="26" t="s">
        <v>408</v>
      </c>
      <c r="X1691" s="26" t="s">
        <v>409</v>
      </c>
      <c r="Y1691" s="26" t="s">
        <v>39</v>
      </c>
      <c r="Z1691" s="27">
        <v>0.94339622641509424</v>
      </c>
      <c r="AA1691" s="33">
        <v>0.33333333333333331</v>
      </c>
      <c r="AB1691" s="26" t="s">
        <v>411</v>
      </c>
      <c r="AC1691" s="26" t="s">
        <v>38</v>
      </c>
      <c r="AD1691" s="26" t="s">
        <v>42</v>
      </c>
      <c r="AE1691" s="27">
        <v>2.5</v>
      </c>
      <c r="AF1691" s="36">
        <v>0.33333333333333331</v>
      </c>
      <c r="AG1691" s="31">
        <v>0</v>
      </c>
      <c r="AH1691" t="s">
        <v>44</v>
      </c>
    </row>
    <row r="1692" spans="1:34">
      <c r="A1692" s="15" t="s">
        <v>1769</v>
      </c>
      <c r="B1692" s="8" t="s">
        <v>1690</v>
      </c>
      <c r="C1692" s="41" t="s">
        <v>37</v>
      </c>
      <c r="D1692" s="1" t="s">
        <v>38</v>
      </c>
      <c r="E1692" s="26" t="s">
        <v>39</v>
      </c>
      <c r="F1692" s="27">
        <v>0.95238095238095233</v>
      </c>
      <c r="G1692" s="33">
        <v>0.33333333333333331</v>
      </c>
      <c r="H1692" s="41" t="s">
        <v>408</v>
      </c>
      <c r="I1692" s="1" t="s">
        <v>409</v>
      </c>
      <c r="J1692" s="26" t="s">
        <v>39</v>
      </c>
      <c r="K1692" s="27">
        <v>0.94339622641509424</v>
      </c>
      <c r="L1692" s="33">
        <v>0.33333333333333331</v>
      </c>
      <c r="M1692" s="41" t="s">
        <v>410</v>
      </c>
      <c r="N1692" s="1" t="s">
        <v>38</v>
      </c>
      <c r="O1692" s="26" t="s">
        <v>42</v>
      </c>
      <c r="P1692" s="27">
        <v>3.2258064516129035</v>
      </c>
      <c r="Q1692" s="33">
        <v>0.33333333333333331</v>
      </c>
      <c r="R1692" s="55" t="s">
        <v>37</v>
      </c>
      <c r="S1692" s="26" t="s">
        <v>38</v>
      </c>
      <c r="T1692" s="26" t="s">
        <v>39</v>
      </c>
      <c r="U1692" s="27">
        <v>0.95238095238095233</v>
      </c>
      <c r="V1692" s="33">
        <v>0.33333333333333331</v>
      </c>
      <c r="W1692" s="26" t="s">
        <v>408</v>
      </c>
      <c r="X1692" s="26" t="s">
        <v>409</v>
      </c>
      <c r="Y1692" s="26" t="s">
        <v>39</v>
      </c>
      <c r="Z1692" s="27">
        <v>0.94339622641509424</v>
      </c>
      <c r="AA1692" s="33">
        <v>0.33333333333333331</v>
      </c>
      <c r="AB1692" s="26" t="s">
        <v>411</v>
      </c>
      <c r="AC1692" s="26" t="s">
        <v>38</v>
      </c>
      <c r="AD1692" s="26" t="s">
        <v>42</v>
      </c>
      <c r="AE1692" s="27">
        <v>2.5</v>
      </c>
      <c r="AF1692" s="36">
        <v>0.33333333333333331</v>
      </c>
      <c r="AG1692" s="31">
        <v>0</v>
      </c>
      <c r="AH1692" t="s">
        <v>44</v>
      </c>
    </row>
    <row r="1693" spans="1:34">
      <c r="A1693" s="15" t="s">
        <v>1770</v>
      </c>
      <c r="B1693" s="8" t="s">
        <v>1690</v>
      </c>
      <c r="C1693" s="41" t="s">
        <v>37</v>
      </c>
      <c r="D1693" s="1" t="s">
        <v>38</v>
      </c>
      <c r="E1693" s="26" t="s">
        <v>39</v>
      </c>
      <c r="F1693" s="27">
        <v>0.95238095238095233</v>
      </c>
      <c r="G1693" s="33">
        <v>0.33333333333333331</v>
      </c>
      <c r="H1693" s="41" t="s">
        <v>408</v>
      </c>
      <c r="I1693" s="1" t="s">
        <v>409</v>
      </c>
      <c r="J1693" s="26" t="s">
        <v>39</v>
      </c>
      <c r="K1693" s="27">
        <v>0.94339622641509424</v>
      </c>
      <c r="L1693" s="33">
        <v>0.33333333333333331</v>
      </c>
      <c r="M1693" s="41" t="s">
        <v>410</v>
      </c>
      <c r="N1693" s="1" t="s">
        <v>38</v>
      </c>
      <c r="O1693" s="26" t="s">
        <v>42</v>
      </c>
      <c r="P1693" s="27">
        <v>3.2258064516129035</v>
      </c>
      <c r="Q1693" s="33">
        <v>0.33333333333333331</v>
      </c>
      <c r="R1693" s="55" t="s">
        <v>37</v>
      </c>
      <c r="S1693" s="26" t="s">
        <v>38</v>
      </c>
      <c r="T1693" s="26" t="s">
        <v>39</v>
      </c>
      <c r="U1693" s="27">
        <v>0.95238095238095233</v>
      </c>
      <c r="V1693" s="33">
        <v>0.33333333333333331</v>
      </c>
      <c r="W1693" s="26" t="s">
        <v>408</v>
      </c>
      <c r="X1693" s="26" t="s">
        <v>409</v>
      </c>
      <c r="Y1693" s="26" t="s">
        <v>39</v>
      </c>
      <c r="Z1693" s="27">
        <v>0.94339622641509424</v>
      </c>
      <c r="AA1693" s="33">
        <v>0.33333333333333331</v>
      </c>
      <c r="AB1693" s="26" t="s">
        <v>411</v>
      </c>
      <c r="AC1693" s="26" t="s">
        <v>38</v>
      </c>
      <c r="AD1693" s="26" t="s">
        <v>42</v>
      </c>
      <c r="AE1693" s="27">
        <v>2.5</v>
      </c>
      <c r="AF1693" s="36">
        <v>0.33333333333333331</v>
      </c>
      <c r="AG1693" s="31">
        <v>0</v>
      </c>
      <c r="AH1693" t="s">
        <v>44</v>
      </c>
    </row>
    <row r="1694" spans="1:34">
      <c r="A1694" s="15" t="s">
        <v>1771</v>
      </c>
      <c r="B1694" s="8" t="s">
        <v>1690</v>
      </c>
      <c r="C1694" s="41" t="s">
        <v>37</v>
      </c>
      <c r="D1694" s="1" t="s">
        <v>38</v>
      </c>
      <c r="E1694" s="26" t="s">
        <v>39</v>
      </c>
      <c r="F1694" s="27">
        <v>0.95238095238095233</v>
      </c>
      <c r="G1694" s="33">
        <v>0.33333333333333331</v>
      </c>
      <c r="H1694" s="41" t="s">
        <v>408</v>
      </c>
      <c r="I1694" s="1" t="s">
        <v>409</v>
      </c>
      <c r="J1694" s="26" t="s">
        <v>39</v>
      </c>
      <c r="K1694" s="27">
        <v>0.94339622641509424</v>
      </c>
      <c r="L1694" s="33">
        <v>0.33333333333333331</v>
      </c>
      <c r="M1694" s="41" t="s">
        <v>410</v>
      </c>
      <c r="N1694" s="1" t="s">
        <v>38</v>
      </c>
      <c r="O1694" s="26" t="s">
        <v>42</v>
      </c>
      <c r="P1694" s="27">
        <v>3.2258064516129035</v>
      </c>
      <c r="Q1694" s="33">
        <v>0.33333333333333331</v>
      </c>
      <c r="R1694" s="55" t="s">
        <v>37</v>
      </c>
      <c r="S1694" s="26" t="s">
        <v>38</v>
      </c>
      <c r="T1694" s="26" t="s">
        <v>39</v>
      </c>
      <c r="U1694" s="27">
        <v>0.95238095238095233</v>
      </c>
      <c r="V1694" s="33">
        <v>0.33333333333333331</v>
      </c>
      <c r="W1694" s="26" t="s">
        <v>408</v>
      </c>
      <c r="X1694" s="26" t="s">
        <v>409</v>
      </c>
      <c r="Y1694" s="26" t="s">
        <v>39</v>
      </c>
      <c r="Z1694" s="27">
        <v>0.94339622641509424</v>
      </c>
      <c r="AA1694" s="33">
        <v>0.33333333333333331</v>
      </c>
      <c r="AB1694" s="26" t="s">
        <v>411</v>
      </c>
      <c r="AC1694" s="26" t="s">
        <v>38</v>
      </c>
      <c r="AD1694" s="26" t="s">
        <v>42</v>
      </c>
      <c r="AE1694" s="27">
        <v>2.5</v>
      </c>
      <c r="AF1694" s="36">
        <v>0.33333333333333331</v>
      </c>
      <c r="AG1694" s="31">
        <v>0</v>
      </c>
      <c r="AH1694" t="s">
        <v>44</v>
      </c>
    </row>
    <row r="1695" spans="1:34">
      <c r="A1695" s="15" t="s">
        <v>1772</v>
      </c>
      <c r="B1695" s="8" t="s">
        <v>1690</v>
      </c>
      <c r="C1695" s="41" t="s">
        <v>37</v>
      </c>
      <c r="D1695" s="1" t="s">
        <v>38</v>
      </c>
      <c r="E1695" s="26" t="s">
        <v>39</v>
      </c>
      <c r="F1695" s="27">
        <v>0.95238095238095233</v>
      </c>
      <c r="G1695" s="33">
        <v>0.33333333333333331</v>
      </c>
      <c r="H1695" s="41" t="s">
        <v>408</v>
      </c>
      <c r="I1695" s="1" t="s">
        <v>409</v>
      </c>
      <c r="J1695" s="26" t="s">
        <v>39</v>
      </c>
      <c r="K1695" s="27">
        <v>0.94339622641509424</v>
      </c>
      <c r="L1695" s="33">
        <v>0.33333333333333331</v>
      </c>
      <c r="M1695" s="41" t="s">
        <v>410</v>
      </c>
      <c r="N1695" s="1" t="s">
        <v>38</v>
      </c>
      <c r="O1695" s="26" t="s">
        <v>42</v>
      </c>
      <c r="P1695" s="27">
        <v>3.2258064516129035</v>
      </c>
      <c r="Q1695" s="33">
        <v>0.33333333333333331</v>
      </c>
      <c r="R1695" s="55" t="s">
        <v>37</v>
      </c>
      <c r="S1695" s="26" t="s">
        <v>38</v>
      </c>
      <c r="T1695" s="26" t="s">
        <v>39</v>
      </c>
      <c r="U1695" s="27">
        <v>0.95238095238095233</v>
      </c>
      <c r="V1695" s="33">
        <v>0.33333333333333331</v>
      </c>
      <c r="W1695" s="26" t="s">
        <v>408</v>
      </c>
      <c r="X1695" s="26" t="s">
        <v>409</v>
      </c>
      <c r="Y1695" s="26" t="s">
        <v>39</v>
      </c>
      <c r="Z1695" s="27">
        <v>0.94339622641509424</v>
      </c>
      <c r="AA1695" s="33">
        <v>0.33333333333333331</v>
      </c>
      <c r="AB1695" s="26" t="s">
        <v>411</v>
      </c>
      <c r="AC1695" s="26" t="s">
        <v>38</v>
      </c>
      <c r="AD1695" s="26" t="s">
        <v>42</v>
      </c>
      <c r="AE1695" s="27">
        <v>2.5</v>
      </c>
      <c r="AF1695" s="36">
        <v>0.33333333333333331</v>
      </c>
      <c r="AG1695" s="31">
        <v>0</v>
      </c>
      <c r="AH1695" t="s">
        <v>44</v>
      </c>
    </row>
    <row r="1696" spans="1:34">
      <c r="A1696" s="16" t="s">
        <v>1773</v>
      </c>
      <c r="B1696" s="8" t="s">
        <v>1690</v>
      </c>
      <c r="C1696" s="41" t="s">
        <v>37</v>
      </c>
      <c r="D1696" s="1" t="s">
        <v>38</v>
      </c>
      <c r="E1696" s="26" t="s">
        <v>39</v>
      </c>
      <c r="F1696" s="27">
        <v>0.95238095238095233</v>
      </c>
      <c r="G1696" s="33">
        <v>0.33333333333333331</v>
      </c>
      <c r="H1696" s="41" t="s">
        <v>408</v>
      </c>
      <c r="I1696" s="1" t="s">
        <v>409</v>
      </c>
      <c r="J1696" s="26" t="s">
        <v>39</v>
      </c>
      <c r="K1696" s="27">
        <v>0.94339622641509424</v>
      </c>
      <c r="L1696" s="33">
        <v>0.33333333333333331</v>
      </c>
      <c r="M1696" s="41" t="s">
        <v>410</v>
      </c>
      <c r="N1696" s="1" t="s">
        <v>38</v>
      </c>
      <c r="O1696" s="26" t="s">
        <v>42</v>
      </c>
      <c r="P1696" s="27">
        <v>3.2258064516129035</v>
      </c>
      <c r="Q1696" s="33">
        <v>0.33333333333333331</v>
      </c>
      <c r="R1696" s="55" t="s">
        <v>37</v>
      </c>
      <c r="S1696" s="26" t="s">
        <v>38</v>
      </c>
      <c r="T1696" s="26" t="s">
        <v>39</v>
      </c>
      <c r="U1696" s="27">
        <v>0.95238095238095233</v>
      </c>
      <c r="V1696" s="33">
        <v>0.33333333333333331</v>
      </c>
      <c r="W1696" s="26" t="s">
        <v>408</v>
      </c>
      <c r="X1696" s="26" t="s">
        <v>409</v>
      </c>
      <c r="Y1696" s="26" t="s">
        <v>39</v>
      </c>
      <c r="Z1696" s="27">
        <v>0.94339622641509424</v>
      </c>
      <c r="AA1696" s="33">
        <v>0.33333333333333331</v>
      </c>
      <c r="AB1696" s="26" t="s">
        <v>411</v>
      </c>
      <c r="AC1696" s="26" t="s">
        <v>38</v>
      </c>
      <c r="AD1696" s="26" t="s">
        <v>42</v>
      </c>
      <c r="AE1696" s="27">
        <v>2.5</v>
      </c>
      <c r="AF1696" s="36">
        <v>0.33333333333333331</v>
      </c>
      <c r="AG1696" s="31">
        <v>0</v>
      </c>
      <c r="AH1696" t="s">
        <v>44</v>
      </c>
    </row>
    <row r="1697" spans="1:34" s="6" customFormat="1">
      <c r="A1697" s="15" t="s">
        <v>1774</v>
      </c>
      <c r="B1697" s="9" t="s">
        <v>1775</v>
      </c>
      <c r="C1697" s="45" t="s">
        <v>160</v>
      </c>
      <c r="D1697" s="46" t="s">
        <v>38</v>
      </c>
      <c r="E1697" s="47" t="s">
        <v>39</v>
      </c>
      <c r="F1697" s="48">
        <v>0.81300813008130079</v>
      </c>
      <c r="G1697" s="49">
        <v>1</v>
      </c>
      <c r="H1697" s="47"/>
      <c r="I1697" s="47"/>
      <c r="J1697" s="47"/>
      <c r="K1697" s="48"/>
      <c r="L1697" s="48"/>
      <c r="M1697" s="72"/>
      <c r="N1697" s="47"/>
      <c r="O1697" s="47"/>
      <c r="P1697" s="48"/>
      <c r="Q1697" s="50"/>
      <c r="R1697" s="54" t="s">
        <v>161</v>
      </c>
      <c r="S1697" s="47" t="s">
        <v>38</v>
      </c>
      <c r="T1697" s="47" t="s">
        <v>39</v>
      </c>
      <c r="U1697" s="48">
        <v>0.83333333333333337</v>
      </c>
      <c r="V1697" s="49">
        <v>1</v>
      </c>
      <c r="W1697" s="28"/>
      <c r="X1697" s="28"/>
      <c r="Y1697" s="28"/>
      <c r="Z1697" s="29"/>
      <c r="AA1697" s="28"/>
      <c r="AB1697" s="74"/>
      <c r="AC1697" s="28"/>
      <c r="AD1697" s="28"/>
      <c r="AE1697" s="28"/>
      <c r="AF1697" s="39"/>
      <c r="AG1697" s="29">
        <v>0</v>
      </c>
      <c r="AH1697" s="6" t="s">
        <v>44</v>
      </c>
    </row>
    <row r="1698" spans="1:34">
      <c r="A1698" s="15" t="s">
        <v>1776</v>
      </c>
      <c r="B1698" s="8" t="s">
        <v>1775</v>
      </c>
      <c r="C1698" s="41" t="s">
        <v>160</v>
      </c>
      <c r="D1698" s="1" t="s">
        <v>38</v>
      </c>
      <c r="E1698" s="26" t="s">
        <v>39</v>
      </c>
      <c r="F1698" s="27">
        <v>0.81300813008130079</v>
      </c>
      <c r="G1698" s="33">
        <v>1</v>
      </c>
      <c r="R1698" s="55" t="s">
        <v>161</v>
      </c>
      <c r="S1698" s="26" t="s">
        <v>38</v>
      </c>
      <c r="T1698" s="26" t="s">
        <v>39</v>
      </c>
      <c r="U1698" s="27">
        <v>0.83333333333333337</v>
      </c>
      <c r="V1698" s="33">
        <v>1</v>
      </c>
      <c r="AG1698" s="31">
        <v>0</v>
      </c>
      <c r="AH1698" t="s">
        <v>44</v>
      </c>
    </row>
    <row r="1699" spans="1:34">
      <c r="A1699" s="15" t="s">
        <v>1777</v>
      </c>
      <c r="B1699" s="8" t="s">
        <v>1775</v>
      </c>
      <c r="C1699" s="41" t="s">
        <v>160</v>
      </c>
      <c r="D1699" s="1" t="s">
        <v>38</v>
      </c>
      <c r="E1699" s="26" t="s">
        <v>39</v>
      </c>
      <c r="F1699" s="27">
        <v>0.81300813008130079</v>
      </c>
      <c r="G1699" s="33">
        <v>1</v>
      </c>
      <c r="R1699" s="55" t="s">
        <v>161</v>
      </c>
      <c r="S1699" s="26" t="s">
        <v>38</v>
      </c>
      <c r="T1699" s="26" t="s">
        <v>39</v>
      </c>
      <c r="U1699" s="27">
        <v>0.83333333333333337</v>
      </c>
      <c r="V1699" s="33">
        <v>1</v>
      </c>
      <c r="AG1699" s="31">
        <v>0</v>
      </c>
      <c r="AH1699" t="s">
        <v>44</v>
      </c>
    </row>
    <row r="1700" spans="1:34">
      <c r="A1700" s="15" t="s">
        <v>1778</v>
      </c>
      <c r="B1700" s="8" t="s">
        <v>1775</v>
      </c>
      <c r="C1700" s="41" t="s">
        <v>160</v>
      </c>
      <c r="D1700" s="1" t="s">
        <v>38</v>
      </c>
      <c r="E1700" s="26" t="s">
        <v>39</v>
      </c>
      <c r="F1700" s="27">
        <v>0.81300813008130079</v>
      </c>
      <c r="G1700" s="33">
        <v>1</v>
      </c>
      <c r="R1700" s="55" t="s">
        <v>161</v>
      </c>
      <c r="S1700" s="26" t="s">
        <v>38</v>
      </c>
      <c r="T1700" s="26" t="s">
        <v>39</v>
      </c>
      <c r="U1700" s="27">
        <v>0.83333333333333337</v>
      </c>
      <c r="V1700" s="33">
        <v>1</v>
      </c>
      <c r="AG1700" s="31">
        <v>0</v>
      </c>
      <c r="AH1700" t="s">
        <v>44</v>
      </c>
    </row>
    <row r="1701" spans="1:34">
      <c r="A1701" s="15" t="s">
        <v>1779</v>
      </c>
      <c r="B1701" s="8" t="s">
        <v>1775</v>
      </c>
      <c r="C1701" s="41" t="s">
        <v>160</v>
      </c>
      <c r="D1701" s="1" t="s">
        <v>38</v>
      </c>
      <c r="E1701" s="26" t="s">
        <v>39</v>
      </c>
      <c r="F1701" s="27">
        <v>0.81300813008130079</v>
      </c>
      <c r="G1701" s="33">
        <v>1</v>
      </c>
      <c r="R1701" s="55" t="s">
        <v>161</v>
      </c>
      <c r="S1701" s="26" t="s">
        <v>38</v>
      </c>
      <c r="T1701" s="26" t="s">
        <v>39</v>
      </c>
      <c r="U1701" s="27">
        <v>0.83333333333333337</v>
      </c>
      <c r="V1701" s="33">
        <v>1</v>
      </c>
      <c r="AG1701" s="31">
        <v>0</v>
      </c>
      <c r="AH1701" t="s">
        <v>44</v>
      </c>
    </row>
    <row r="1702" spans="1:34">
      <c r="A1702" s="15" t="s">
        <v>1780</v>
      </c>
      <c r="B1702" s="8" t="s">
        <v>1775</v>
      </c>
      <c r="C1702" s="41" t="s">
        <v>160</v>
      </c>
      <c r="D1702" s="1" t="s">
        <v>38</v>
      </c>
      <c r="E1702" s="26" t="s">
        <v>39</v>
      </c>
      <c r="F1702" s="27">
        <v>0.81300813008130079</v>
      </c>
      <c r="G1702" s="33">
        <v>1</v>
      </c>
      <c r="R1702" s="55" t="s">
        <v>161</v>
      </c>
      <c r="S1702" s="26" t="s">
        <v>38</v>
      </c>
      <c r="T1702" s="26" t="s">
        <v>39</v>
      </c>
      <c r="U1702" s="27">
        <v>0.83333333333333337</v>
      </c>
      <c r="V1702" s="33">
        <v>1</v>
      </c>
      <c r="AG1702" s="31">
        <v>0</v>
      </c>
      <c r="AH1702" t="s">
        <v>44</v>
      </c>
    </row>
    <row r="1703" spans="1:34">
      <c r="A1703" s="15" t="s">
        <v>1781</v>
      </c>
      <c r="B1703" s="8" t="s">
        <v>1775</v>
      </c>
      <c r="C1703" s="41" t="s">
        <v>160</v>
      </c>
      <c r="D1703" s="1" t="s">
        <v>38</v>
      </c>
      <c r="E1703" s="26" t="s">
        <v>39</v>
      </c>
      <c r="F1703" s="27">
        <v>0.81300813008130079</v>
      </c>
      <c r="G1703" s="33">
        <v>1</v>
      </c>
      <c r="R1703" s="55" t="s">
        <v>161</v>
      </c>
      <c r="S1703" s="26" t="s">
        <v>38</v>
      </c>
      <c r="T1703" s="26" t="s">
        <v>39</v>
      </c>
      <c r="U1703" s="27">
        <v>0.83333333333333337</v>
      </c>
      <c r="V1703" s="33">
        <v>1</v>
      </c>
      <c r="AG1703" s="31">
        <v>0</v>
      </c>
      <c r="AH1703" t="s">
        <v>44</v>
      </c>
    </row>
    <row r="1704" spans="1:34">
      <c r="A1704" s="15" t="s">
        <v>1782</v>
      </c>
      <c r="B1704" s="8" t="s">
        <v>1775</v>
      </c>
      <c r="C1704" s="41" t="s">
        <v>160</v>
      </c>
      <c r="D1704" s="1" t="s">
        <v>38</v>
      </c>
      <c r="E1704" s="26" t="s">
        <v>39</v>
      </c>
      <c r="F1704" s="27">
        <v>0.81300813008130079</v>
      </c>
      <c r="G1704" s="33">
        <v>1</v>
      </c>
      <c r="R1704" s="55" t="s">
        <v>161</v>
      </c>
      <c r="S1704" s="26" t="s">
        <v>38</v>
      </c>
      <c r="T1704" s="26" t="s">
        <v>39</v>
      </c>
      <c r="U1704" s="27">
        <v>0.83333333333333337</v>
      </c>
      <c r="V1704" s="33">
        <v>1</v>
      </c>
      <c r="AG1704" s="31">
        <v>0</v>
      </c>
      <c r="AH1704" t="s">
        <v>44</v>
      </c>
    </row>
    <row r="1705" spans="1:34">
      <c r="A1705" s="15" t="s">
        <v>1783</v>
      </c>
      <c r="B1705" s="8" t="s">
        <v>1775</v>
      </c>
      <c r="C1705" s="41" t="s">
        <v>160</v>
      </c>
      <c r="D1705" s="1" t="s">
        <v>38</v>
      </c>
      <c r="E1705" s="26" t="s">
        <v>39</v>
      </c>
      <c r="F1705" s="27">
        <v>0.81300813008130079</v>
      </c>
      <c r="G1705" s="33">
        <v>1</v>
      </c>
      <c r="R1705" s="55" t="s">
        <v>161</v>
      </c>
      <c r="S1705" s="26" t="s">
        <v>38</v>
      </c>
      <c r="T1705" s="26" t="s">
        <v>39</v>
      </c>
      <c r="U1705" s="27">
        <v>0.83333333333333337</v>
      </c>
      <c r="V1705" s="33">
        <v>1</v>
      </c>
      <c r="AG1705" s="31">
        <v>0</v>
      </c>
      <c r="AH1705" t="s">
        <v>44</v>
      </c>
    </row>
    <row r="1706" spans="1:34">
      <c r="A1706" s="15" t="s">
        <v>1784</v>
      </c>
      <c r="B1706" s="8" t="s">
        <v>1775</v>
      </c>
      <c r="C1706" s="41" t="s">
        <v>160</v>
      </c>
      <c r="D1706" s="1" t="s">
        <v>38</v>
      </c>
      <c r="E1706" s="26" t="s">
        <v>39</v>
      </c>
      <c r="F1706" s="27">
        <v>0.81300813008130079</v>
      </c>
      <c r="G1706" s="33">
        <v>1</v>
      </c>
      <c r="R1706" s="55" t="s">
        <v>161</v>
      </c>
      <c r="S1706" s="26" t="s">
        <v>38</v>
      </c>
      <c r="T1706" s="26" t="s">
        <v>39</v>
      </c>
      <c r="U1706" s="27">
        <v>0.83333333333333337</v>
      </c>
      <c r="V1706" s="33">
        <v>1</v>
      </c>
      <c r="AG1706" s="31">
        <v>0</v>
      </c>
      <c r="AH1706" t="s">
        <v>44</v>
      </c>
    </row>
    <row r="1707" spans="1:34">
      <c r="A1707" s="15" t="s">
        <v>1785</v>
      </c>
      <c r="B1707" s="8" t="s">
        <v>1775</v>
      </c>
      <c r="C1707" s="41" t="s">
        <v>160</v>
      </c>
      <c r="D1707" s="1" t="s">
        <v>38</v>
      </c>
      <c r="E1707" s="26" t="s">
        <v>39</v>
      </c>
      <c r="F1707" s="27">
        <v>0.81300813008130079</v>
      </c>
      <c r="G1707" s="33">
        <v>1</v>
      </c>
      <c r="R1707" s="55" t="s">
        <v>161</v>
      </c>
      <c r="S1707" s="26" t="s">
        <v>38</v>
      </c>
      <c r="T1707" s="26" t="s">
        <v>39</v>
      </c>
      <c r="U1707" s="27">
        <v>0.83333333333333337</v>
      </c>
      <c r="V1707" s="33">
        <v>1</v>
      </c>
      <c r="AG1707" s="31">
        <v>0</v>
      </c>
      <c r="AH1707" t="s">
        <v>44</v>
      </c>
    </row>
    <row r="1708" spans="1:34">
      <c r="A1708" s="15" t="s">
        <v>1786</v>
      </c>
      <c r="B1708" s="8" t="s">
        <v>1775</v>
      </c>
      <c r="C1708" s="41" t="s">
        <v>160</v>
      </c>
      <c r="D1708" s="1" t="s">
        <v>38</v>
      </c>
      <c r="E1708" s="26" t="s">
        <v>39</v>
      </c>
      <c r="F1708" s="27">
        <v>0.81300813008130079</v>
      </c>
      <c r="G1708" s="33">
        <v>1</v>
      </c>
      <c r="R1708" s="55" t="s">
        <v>161</v>
      </c>
      <c r="S1708" s="26" t="s">
        <v>38</v>
      </c>
      <c r="T1708" s="26" t="s">
        <v>39</v>
      </c>
      <c r="U1708" s="27">
        <v>0.83333333333333337</v>
      </c>
      <c r="V1708" s="33">
        <v>1</v>
      </c>
      <c r="AG1708" s="31">
        <v>0</v>
      </c>
      <c r="AH1708" t="s">
        <v>44</v>
      </c>
    </row>
    <row r="1709" spans="1:34">
      <c r="A1709" s="15" t="s">
        <v>1787</v>
      </c>
      <c r="B1709" s="8" t="s">
        <v>1775</v>
      </c>
      <c r="C1709" s="41" t="s">
        <v>160</v>
      </c>
      <c r="D1709" s="1" t="s">
        <v>38</v>
      </c>
      <c r="E1709" s="26" t="s">
        <v>39</v>
      </c>
      <c r="F1709" s="27">
        <v>0.81300813008130079</v>
      </c>
      <c r="G1709" s="33">
        <v>1</v>
      </c>
      <c r="R1709" s="55" t="s">
        <v>161</v>
      </c>
      <c r="S1709" s="26" t="s">
        <v>38</v>
      </c>
      <c r="T1709" s="26" t="s">
        <v>39</v>
      </c>
      <c r="U1709" s="27">
        <v>0.83333333333333337</v>
      </c>
      <c r="V1709" s="33">
        <v>1</v>
      </c>
      <c r="AG1709" s="31">
        <v>0</v>
      </c>
      <c r="AH1709" t="s">
        <v>44</v>
      </c>
    </row>
    <row r="1710" spans="1:34">
      <c r="A1710" s="15" t="s">
        <v>1788</v>
      </c>
      <c r="B1710" s="8" t="s">
        <v>1775</v>
      </c>
      <c r="C1710" s="41" t="s">
        <v>160</v>
      </c>
      <c r="D1710" s="1" t="s">
        <v>38</v>
      </c>
      <c r="E1710" s="26" t="s">
        <v>39</v>
      </c>
      <c r="F1710" s="27">
        <v>0.81300813008130079</v>
      </c>
      <c r="G1710" s="33">
        <v>1</v>
      </c>
      <c r="R1710" s="55" t="s">
        <v>161</v>
      </c>
      <c r="S1710" s="26" t="s">
        <v>38</v>
      </c>
      <c r="T1710" s="26" t="s">
        <v>39</v>
      </c>
      <c r="U1710" s="27">
        <v>0.83333333333333337</v>
      </c>
      <c r="V1710" s="33">
        <v>1</v>
      </c>
      <c r="AG1710" s="31">
        <v>0</v>
      </c>
      <c r="AH1710" t="s">
        <v>44</v>
      </c>
    </row>
    <row r="1711" spans="1:34">
      <c r="A1711" s="15" t="s">
        <v>1789</v>
      </c>
      <c r="B1711" s="8" t="s">
        <v>1775</v>
      </c>
      <c r="C1711" s="41" t="s">
        <v>160</v>
      </c>
      <c r="D1711" s="1" t="s">
        <v>38</v>
      </c>
      <c r="E1711" s="26" t="s">
        <v>39</v>
      </c>
      <c r="F1711" s="27">
        <v>0.81300813008130079</v>
      </c>
      <c r="G1711" s="33">
        <v>1</v>
      </c>
      <c r="R1711" s="55" t="s">
        <v>161</v>
      </c>
      <c r="S1711" s="26" t="s">
        <v>38</v>
      </c>
      <c r="T1711" s="26" t="s">
        <v>39</v>
      </c>
      <c r="U1711" s="27">
        <v>0.83333333333333337</v>
      </c>
      <c r="V1711" s="33">
        <v>1</v>
      </c>
      <c r="AG1711" s="31">
        <v>0</v>
      </c>
      <c r="AH1711" t="s">
        <v>44</v>
      </c>
    </row>
    <row r="1712" spans="1:34">
      <c r="A1712" s="15" t="s">
        <v>1790</v>
      </c>
      <c r="B1712" s="8" t="s">
        <v>1775</v>
      </c>
      <c r="C1712" s="41" t="s">
        <v>160</v>
      </c>
      <c r="D1712" s="1" t="s">
        <v>38</v>
      </c>
      <c r="E1712" s="26" t="s">
        <v>39</v>
      </c>
      <c r="F1712" s="27">
        <v>0.81300813008130079</v>
      </c>
      <c r="G1712" s="33">
        <v>1</v>
      </c>
      <c r="R1712" s="55" t="s">
        <v>161</v>
      </c>
      <c r="S1712" s="26" t="s">
        <v>38</v>
      </c>
      <c r="T1712" s="26" t="s">
        <v>39</v>
      </c>
      <c r="U1712" s="27">
        <v>0.83333333333333337</v>
      </c>
      <c r="V1712" s="33">
        <v>1</v>
      </c>
      <c r="AG1712" s="31">
        <v>0</v>
      </c>
      <c r="AH1712" t="s">
        <v>44</v>
      </c>
    </row>
    <row r="1713" spans="1:34">
      <c r="A1713" s="15" t="s">
        <v>1791</v>
      </c>
      <c r="B1713" s="8" t="s">
        <v>1775</v>
      </c>
      <c r="C1713" s="41" t="s">
        <v>160</v>
      </c>
      <c r="D1713" s="1" t="s">
        <v>38</v>
      </c>
      <c r="E1713" s="26" t="s">
        <v>39</v>
      </c>
      <c r="F1713" s="27">
        <v>0.81300813008130079</v>
      </c>
      <c r="G1713" s="33">
        <v>1</v>
      </c>
      <c r="R1713" s="55" t="s">
        <v>161</v>
      </c>
      <c r="S1713" s="26" t="s">
        <v>38</v>
      </c>
      <c r="T1713" s="26" t="s">
        <v>39</v>
      </c>
      <c r="U1713" s="27">
        <v>0.83333333333333337</v>
      </c>
      <c r="V1713" s="33">
        <v>1</v>
      </c>
      <c r="AG1713" s="31">
        <v>0</v>
      </c>
      <c r="AH1713" t="s">
        <v>44</v>
      </c>
    </row>
    <row r="1714" spans="1:34">
      <c r="A1714" s="15" t="s">
        <v>1792</v>
      </c>
      <c r="B1714" s="8" t="s">
        <v>1775</v>
      </c>
      <c r="C1714" s="41" t="s">
        <v>160</v>
      </c>
      <c r="D1714" s="1" t="s">
        <v>38</v>
      </c>
      <c r="E1714" s="26" t="s">
        <v>39</v>
      </c>
      <c r="F1714" s="27">
        <v>0.81300813008130079</v>
      </c>
      <c r="G1714" s="33">
        <v>1</v>
      </c>
      <c r="R1714" s="55" t="s">
        <v>161</v>
      </c>
      <c r="S1714" s="26" t="s">
        <v>38</v>
      </c>
      <c r="T1714" s="26" t="s">
        <v>39</v>
      </c>
      <c r="U1714" s="27">
        <v>0.83333333333333337</v>
      </c>
      <c r="V1714" s="33">
        <v>1</v>
      </c>
      <c r="AG1714" s="31">
        <v>0</v>
      </c>
      <c r="AH1714" t="s">
        <v>44</v>
      </c>
    </row>
    <row r="1715" spans="1:34">
      <c r="A1715" s="15" t="s">
        <v>1793</v>
      </c>
      <c r="B1715" s="8" t="s">
        <v>1775</v>
      </c>
      <c r="C1715" s="41" t="s">
        <v>160</v>
      </c>
      <c r="D1715" s="1" t="s">
        <v>38</v>
      </c>
      <c r="E1715" s="26" t="s">
        <v>39</v>
      </c>
      <c r="F1715" s="27">
        <v>0.81300813008130079</v>
      </c>
      <c r="G1715" s="33">
        <v>1</v>
      </c>
      <c r="R1715" s="55" t="s">
        <v>161</v>
      </c>
      <c r="S1715" s="26" t="s">
        <v>38</v>
      </c>
      <c r="T1715" s="26" t="s">
        <v>39</v>
      </c>
      <c r="U1715" s="27">
        <v>0.83333333333333337</v>
      </c>
      <c r="V1715" s="33">
        <v>1</v>
      </c>
      <c r="AG1715" s="31">
        <v>0</v>
      </c>
      <c r="AH1715" t="s">
        <v>44</v>
      </c>
    </row>
    <row r="1716" spans="1:34">
      <c r="A1716" s="15" t="s">
        <v>1794</v>
      </c>
      <c r="B1716" s="8" t="s">
        <v>1775</v>
      </c>
      <c r="C1716" s="41" t="s">
        <v>160</v>
      </c>
      <c r="D1716" s="1" t="s">
        <v>38</v>
      </c>
      <c r="E1716" s="26" t="s">
        <v>39</v>
      </c>
      <c r="F1716" s="27">
        <v>0.81300813008130079</v>
      </c>
      <c r="G1716" s="33">
        <v>1</v>
      </c>
      <c r="R1716" s="55" t="s">
        <v>161</v>
      </c>
      <c r="S1716" s="26" t="s">
        <v>38</v>
      </c>
      <c r="T1716" s="26" t="s">
        <v>39</v>
      </c>
      <c r="U1716" s="27">
        <v>0.83333333333333337</v>
      </c>
      <c r="V1716" s="33">
        <v>1</v>
      </c>
      <c r="AG1716" s="31">
        <v>0</v>
      </c>
      <c r="AH1716" t="s">
        <v>44</v>
      </c>
    </row>
    <row r="1717" spans="1:34">
      <c r="A1717" s="15" t="s">
        <v>1795</v>
      </c>
      <c r="B1717" s="8" t="s">
        <v>1775</v>
      </c>
      <c r="C1717" s="41" t="s">
        <v>160</v>
      </c>
      <c r="D1717" s="1" t="s">
        <v>38</v>
      </c>
      <c r="E1717" s="26" t="s">
        <v>39</v>
      </c>
      <c r="F1717" s="27">
        <v>0.81300813008130079</v>
      </c>
      <c r="G1717" s="33">
        <v>1</v>
      </c>
      <c r="R1717" s="55" t="s">
        <v>161</v>
      </c>
      <c r="S1717" s="26" t="s">
        <v>38</v>
      </c>
      <c r="T1717" s="26" t="s">
        <v>39</v>
      </c>
      <c r="U1717" s="27">
        <v>0.83333333333333337</v>
      </c>
      <c r="V1717" s="33">
        <v>1</v>
      </c>
      <c r="AG1717" s="31">
        <v>0</v>
      </c>
      <c r="AH1717" t="s">
        <v>44</v>
      </c>
    </row>
    <row r="1718" spans="1:34">
      <c r="A1718" s="15" t="s">
        <v>1796</v>
      </c>
      <c r="B1718" s="8" t="s">
        <v>1775</v>
      </c>
      <c r="C1718" s="41" t="s">
        <v>160</v>
      </c>
      <c r="D1718" s="1" t="s">
        <v>38</v>
      </c>
      <c r="E1718" s="26" t="s">
        <v>39</v>
      </c>
      <c r="F1718" s="27">
        <v>0.81300813008130079</v>
      </c>
      <c r="G1718" s="33">
        <v>1</v>
      </c>
      <c r="R1718" s="55" t="s">
        <v>161</v>
      </c>
      <c r="S1718" s="26" t="s">
        <v>38</v>
      </c>
      <c r="T1718" s="26" t="s">
        <v>39</v>
      </c>
      <c r="U1718" s="27">
        <v>0.83333333333333337</v>
      </c>
      <c r="V1718" s="33">
        <v>1</v>
      </c>
      <c r="AG1718" s="31">
        <v>1</v>
      </c>
      <c r="AH1718" t="s">
        <v>73</v>
      </c>
    </row>
    <row r="1719" spans="1:34">
      <c r="A1719" s="15" t="s">
        <v>1797</v>
      </c>
      <c r="B1719" s="8" t="s">
        <v>1775</v>
      </c>
      <c r="C1719" s="41" t="s">
        <v>160</v>
      </c>
      <c r="D1719" s="1" t="s">
        <v>38</v>
      </c>
      <c r="E1719" s="26" t="s">
        <v>39</v>
      </c>
      <c r="F1719" s="27">
        <v>0.81300813008130079</v>
      </c>
      <c r="G1719" s="33">
        <v>1</v>
      </c>
      <c r="R1719" s="55" t="s">
        <v>161</v>
      </c>
      <c r="S1719" s="26" t="s">
        <v>38</v>
      </c>
      <c r="T1719" s="26" t="s">
        <v>39</v>
      </c>
      <c r="U1719" s="27">
        <v>0.83333333333333337</v>
      </c>
      <c r="V1719" s="33">
        <v>1</v>
      </c>
      <c r="AG1719" s="31">
        <v>1</v>
      </c>
      <c r="AH1719" t="s">
        <v>73</v>
      </c>
    </row>
    <row r="1720" spans="1:34">
      <c r="A1720" s="15" t="s">
        <v>1798</v>
      </c>
      <c r="B1720" s="8" t="s">
        <v>1775</v>
      </c>
      <c r="C1720" s="41" t="s">
        <v>160</v>
      </c>
      <c r="D1720" s="1" t="s">
        <v>38</v>
      </c>
      <c r="E1720" s="26" t="s">
        <v>39</v>
      </c>
      <c r="F1720" s="27">
        <v>0.81300813008130079</v>
      </c>
      <c r="G1720" s="33">
        <v>1</v>
      </c>
      <c r="R1720" s="55" t="s">
        <v>161</v>
      </c>
      <c r="S1720" s="26" t="s">
        <v>38</v>
      </c>
      <c r="T1720" s="26" t="s">
        <v>39</v>
      </c>
      <c r="U1720" s="27">
        <v>0.83333333333333337</v>
      </c>
      <c r="V1720" s="33">
        <v>1</v>
      </c>
      <c r="AG1720" s="31">
        <v>1</v>
      </c>
      <c r="AH1720" t="s">
        <v>73</v>
      </c>
    </row>
    <row r="1721" spans="1:34">
      <c r="A1721" s="15" t="s">
        <v>1799</v>
      </c>
      <c r="B1721" s="8" t="s">
        <v>1775</v>
      </c>
      <c r="C1721" s="41" t="s">
        <v>160</v>
      </c>
      <c r="D1721" s="1" t="s">
        <v>38</v>
      </c>
      <c r="E1721" s="26" t="s">
        <v>39</v>
      </c>
      <c r="F1721" s="27">
        <v>0.81300813008130079</v>
      </c>
      <c r="G1721" s="33">
        <v>1</v>
      </c>
      <c r="R1721" s="55" t="s">
        <v>161</v>
      </c>
      <c r="S1721" s="26" t="s">
        <v>38</v>
      </c>
      <c r="T1721" s="26" t="s">
        <v>39</v>
      </c>
      <c r="U1721" s="27">
        <v>0.83333333333333337</v>
      </c>
      <c r="V1721" s="33">
        <v>1</v>
      </c>
      <c r="AG1721" s="31">
        <v>1</v>
      </c>
      <c r="AH1721" t="s">
        <v>73</v>
      </c>
    </row>
    <row r="1722" spans="1:34">
      <c r="A1722" s="15" t="s">
        <v>1800</v>
      </c>
      <c r="B1722" s="8" t="s">
        <v>1775</v>
      </c>
      <c r="C1722" s="41" t="s">
        <v>160</v>
      </c>
      <c r="D1722" s="1" t="s">
        <v>38</v>
      </c>
      <c r="E1722" s="26" t="s">
        <v>39</v>
      </c>
      <c r="F1722" s="27">
        <v>0.81300813008130079</v>
      </c>
      <c r="G1722" s="33">
        <v>1</v>
      </c>
      <c r="R1722" s="55" t="s">
        <v>161</v>
      </c>
      <c r="S1722" s="26" t="s">
        <v>38</v>
      </c>
      <c r="T1722" s="26" t="s">
        <v>39</v>
      </c>
      <c r="U1722" s="27">
        <v>0.83333333333333337</v>
      </c>
      <c r="V1722" s="33">
        <v>1</v>
      </c>
      <c r="AG1722" s="31">
        <v>1</v>
      </c>
      <c r="AH1722" t="s">
        <v>73</v>
      </c>
    </row>
    <row r="1723" spans="1:34">
      <c r="A1723" s="15" t="s">
        <v>1801</v>
      </c>
      <c r="B1723" s="8" t="s">
        <v>1775</v>
      </c>
      <c r="C1723" s="41" t="s">
        <v>160</v>
      </c>
      <c r="D1723" s="1" t="s">
        <v>38</v>
      </c>
      <c r="E1723" s="26" t="s">
        <v>39</v>
      </c>
      <c r="F1723" s="27">
        <v>0.81300813008130079</v>
      </c>
      <c r="G1723" s="33">
        <v>1</v>
      </c>
      <c r="R1723" s="55" t="s">
        <v>161</v>
      </c>
      <c r="S1723" s="26" t="s">
        <v>38</v>
      </c>
      <c r="T1723" s="26" t="s">
        <v>39</v>
      </c>
      <c r="U1723" s="27">
        <v>0.83333333333333337</v>
      </c>
      <c r="V1723" s="33">
        <v>1</v>
      </c>
      <c r="AG1723" s="31">
        <v>1</v>
      </c>
      <c r="AH1723" t="s">
        <v>73</v>
      </c>
    </row>
    <row r="1724" spans="1:34">
      <c r="A1724" s="15" t="s">
        <v>1802</v>
      </c>
      <c r="B1724" s="8" t="s">
        <v>1775</v>
      </c>
      <c r="C1724" s="41" t="s">
        <v>160</v>
      </c>
      <c r="D1724" s="1" t="s">
        <v>38</v>
      </c>
      <c r="E1724" s="26" t="s">
        <v>39</v>
      </c>
      <c r="F1724" s="27">
        <v>0.81300813008130079</v>
      </c>
      <c r="G1724" s="33">
        <v>1</v>
      </c>
      <c r="R1724" s="55" t="s">
        <v>161</v>
      </c>
      <c r="S1724" s="26" t="s">
        <v>38</v>
      </c>
      <c r="T1724" s="26" t="s">
        <v>39</v>
      </c>
      <c r="U1724" s="27">
        <v>0.83333333333333337</v>
      </c>
      <c r="V1724" s="33">
        <v>1</v>
      </c>
      <c r="AG1724" s="31">
        <v>1</v>
      </c>
      <c r="AH1724" t="s">
        <v>73</v>
      </c>
    </row>
    <row r="1725" spans="1:34">
      <c r="A1725" s="15" t="s">
        <v>1803</v>
      </c>
      <c r="B1725" s="8" t="s">
        <v>1775</v>
      </c>
      <c r="C1725" s="41" t="s">
        <v>160</v>
      </c>
      <c r="D1725" s="1" t="s">
        <v>38</v>
      </c>
      <c r="E1725" s="26" t="s">
        <v>39</v>
      </c>
      <c r="F1725" s="27">
        <v>0.81300813008130079</v>
      </c>
      <c r="G1725" s="33">
        <v>1</v>
      </c>
      <c r="R1725" s="55" t="s">
        <v>161</v>
      </c>
      <c r="S1725" s="26" t="s">
        <v>38</v>
      </c>
      <c r="T1725" s="26" t="s">
        <v>39</v>
      </c>
      <c r="U1725" s="27">
        <v>0.83333333333333337</v>
      </c>
      <c r="V1725" s="33">
        <v>1</v>
      </c>
      <c r="AG1725" s="31">
        <v>0</v>
      </c>
      <c r="AH1725" t="s">
        <v>44</v>
      </c>
    </row>
    <row r="1726" spans="1:34">
      <c r="A1726" s="15" t="s">
        <v>1804</v>
      </c>
      <c r="B1726" s="8" t="s">
        <v>1775</v>
      </c>
      <c r="C1726" s="41" t="s">
        <v>160</v>
      </c>
      <c r="D1726" s="1" t="s">
        <v>38</v>
      </c>
      <c r="E1726" s="26" t="s">
        <v>39</v>
      </c>
      <c r="F1726" s="27">
        <v>0.81300813008130079</v>
      </c>
      <c r="G1726" s="33">
        <v>1</v>
      </c>
      <c r="R1726" s="55" t="s">
        <v>161</v>
      </c>
      <c r="S1726" s="26" t="s">
        <v>38</v>
      </c>
      <c r="T1726" s="26" t="s">
        <v>39</v>
      </c>
      <c r="U1726" s="27">
        <v>0.83333333333333337</v>
      </c>
      <c r="V1726" s="33">
        <v>1</v>
      </c>
      <c r="AG1726" s="31">
        <v>0</v>
      </c>
      <c r="AH1726" t="s">
        <v>44</v>
      </c>
    </row>
    <row r="1727" spans="1:34">
      <c r="A1727" s="15" t="s">
        <v>1805</v>
      </c>
      <c r="B1727" s="8" t="s">
        <v>1775</v>
      </c>
      <c r="C1727" s="41" t="s">
        <v>160</v>
      </c>
      <c r="D1727" s="1" t="s">
        <v>38</v>
      </c>
      <c r="E1727" s="26" t="s">
        <v>39</v>
      </c>
      <c r="F1727" s="27">
        <v>0.81300813008130079</v>
      </c>
      <c r="G1727" s="33">
        <v>1</v>
      </c>
      <c r="R1727" s="55" t="s">
        <v>161</v>
      </c>
      <c r="S1727" s="26" t="s">
        <v>38</v>
      </c>
      <c r="T1727" s="26" t="s">
        <v>39</v>
      </c>
      <c r="U1727" s="27">
        <v>0.83333333333333337</v>
      </c>
      <c r="V1727" s="33">
        <v>1</v>
      </c>
      <c r="AG1727" s="31">
        <v>0</v>
      </c>
      <c r="AH1727" t="s">
        <v>44</v>
      </c>
    </row>
    <row r="1728" spans="1:34">
      <c r="A1728" s="15" t="s">
        <v>1806</v>
      </c>
      <c r="B1728" s="8" t="s">
        <v>1775</v>
      </c>
      <c r="C1728" s="41" t="s">
        <v>160</v>
      </c>
      <c r="D1728" s="1" t="s">
        <v>38</v>
      </c>
      <c r="E1728" s="26" t="s">
        <v>39</v>
      </c>
      <c r="F1728" s="27">
        <v>0.81300813008130079</v>
      </c>
      <c r="G1728" s="33">
        <v>1</v>
      </c>
      <c r="R1728" s="55" t="s">
        <v>161</v>
      </c>
      <c r="S1728" s="26" t="s">
        <v>38</v>
      </c>
      <c r="T1728" s="26" t="s">
        <v>39</v>
      </c>
      <c r="U1728" s="27">
        <v>0.83333333333333337</v>
      </c>
      <c r="V1728" s="33">
        <v>1</v>
      </c>
      <c r="AG1728" s="31">
        <v>0</v>
      </c>
      <c r="AH1728" t="s">
        <v>44</v>
      </c>
    </row>
    <row r="1729" spans="1:34">
      <c r="A1729" s="15" t="s">
        <v>1807</v>
      </c>
      <c r="B1729" s="8" t="s">
        <v>1775</v>
      </c>
      <c r="C1729" s="41" t="s">
        <v>160</v>
      </c>
      <c r="D1729" s="1" t="s">
        <v>38</v>
      </c>
      <c r="E1729" s="26" t="s">
        <v>39</v>
      </c>
      <c r="F1729" s="27">
        <v>0.81300813008130079</v>
      </c>
      <c r="G1729" s="33">
        <v>1</v>
      </c>
      <c r="R1729" s="55" t="s">
        <v>161</v>
      </c>
      <c r="S1729" s="26" t="s">
        <v>38</v>
      </c>
      <c r="T1729" s="26" t="s">
        <v>39</v>
      </c>
      <c r="U1729" s="27">
        <v>0.83333333333333337</v>
      </c>
      <c r="V1729" s="33">
        <v>1</v>
      </c>
      <c r="AG1729" s="31">
        <v>0</v>
      </c>
      <c r="AH1729" t="s">
        <v>44</v>
      </c>
    </row>
    <row r="1730" spans="1:34">
      <c r="A1730" s="15" t="s">
        <v>1808</v>
      </c>
      <c r="B1730" s="8" t="s">
        <v>1775</v>
      </c>
      <c r="C1730" s="41" t="s">
        <v>160</v>
      </c>
      <c r="D1730" s="1" t="s">
        <v>38</v>
      </c>
      <c r="E1730" s="26" t="s">
        <v>39</v>
      </c>
      <c r="F1730" s="27">
        <v>0.81300813008130079</v>
      </c>
      <c r="G1730" s="33">
        <v>1</v>
      </c>
      <c r="R1730" s="55" t="s">
        <v>161</v>
      </c>
      <c r="S1730" s="26" t="s">
        <v>38</v>
      </c>
      <c r="T1730" s="26" t="s">
        <v>39</v>
      </c>
      <c r="U1730" s="27">
        <v>0.83333333333333337</v>
      </c>
      <c r="V1730" s="33">
        <v>1</v>
      </c>
      <c r="AG1730" s="31">
        <v>0</v>
      </c>
      <c r="AH1730" t="s">
        <v>44</v>
      </c>
    </row>
    <row r="1731" spans="1:34">
      <c r="A1731" s="15" t="s">
        <v>1809</v>
      </c>
      <c r="B1731" s="8" t="s">
        <v>1775</v>
      </c>
      <c r="C1731" s="41" t="s">
        <v>160</v>
      </c>
      <c r="D1731" s="1" t="s">
        <v>38</v>
      </c>
      <c r="E1731" s="26" t="s">
        <v>39</v>
      </c>
      <c r="F1731" s="27">
        <v>0.81300813008130079</v>
      </c>
      <c r="G1731" s="33">
        <v>1</v>
      </c>
      <c r="R1731" s="55" t="s">
        <v>161</v>
      </c>
      <c r="S1731" s="26" t="s">
        <v>38</v>
      </c>
      <c r="T1731" s="26" t="s">
        <v>39</v>
      </c>
      <c r="U1731" s="27">
        <v>0.83333333333333337</v>
      </c>
      <c r="V1731" s="33">
        <v>1</v>
      </c>
      <c r="AG1731" s="31">
        <v>0</v>
      </c>
      <c r="AH1731" t="s">
        <v>44</v>
      </c>
    </row>
    <row r="1732" spans="1:34">
      <c r="A1732" s="15" t="s">
        <v>1810</v>
      </c>
      <c r="B1732" s="8" t="s">
        <v>1775</v>
      </c>
      <c r="C1732" s="41" t="s">
        <v>160</v>
      </c>
      <c r="D1732" s="1" t="s">
        <v>38</v>
      </c>
      <c r="E1732" s="26" t="s">
        <v>39</v>
      </c>
      <c r="F1732" s="27">
        <v>0.81300813008130079</v>
      </c>
      <c r="G1732" s="33">
        <v>1</v>
      </c>
      <c r="R1732" s="55" t="s">
        <v>161</v>
      </c>
      <c r="S1732" s="26" t="s">
        <v>38</v>
      </c>
      <c r="T1732" s="26" t="s">
        <v>39</v>
      </c>
      <c r="U1732" s="27">
        <v>0.83333333333333337</v>
      </c>
      <c r="V1732" s="33">
        <v>1</v>
      </c>
      <c r="AG1732" s="31">
        <v>0</v>
      </c>
      <c r="AH1732" t="s">
        <v>44</v>
      </c>
    </row>
    <row r="1733" spans="1:34">
      <c r="A1733" s="15" t="s">
        <v>1811</v>
      </c>
      <c r="B1733" s="8" t="s">
        <v>1775</v>
      </c>
      <c r="C1733" s="41" t="s">
        <v>160</v>
      </c>
      <c r="D1733" s="1" t="s">
        <v>38</v>
      </c>
      <c r="E1733" s="26" t="s">
        <v>39</v>
      </c>
      <c r="F1733" s="27">
        <v>0.81300813008130079</v>
      </c>
      <c r="G1733" s="33">
        <v>1</v>
      </c>
      <c r="R1733" s="55" t="s">
        <v>161</v>
      </c>
      <c r="S1733" s="26" t="s">
        <v>38</v>
      </c>
      <c r="T1733" s="26" t="s">
        <v>39</v>
      </c>
      <c r="U1733" s="27">
        <v>0.83333333333333337</v>
      </c>
      <c r="V1733" s="33">
        <v>1</v>
      </c>
      <c r="AG1733" s="31">
        <v>0</v>
      </c>
      <c r="AH1733" t="s">
        <v>44</v>
      </c>
    </row>
    <row r="1734" spans="1:34">
      <c r="A1734" s="15" t="s">
        <v>1812</v>
      </c>
      <c r="B1734" s="8" t="s">
        <v>1775</v>
      </c>
      <c r="C1734" s="41" t="s">
        <v>160</v>
      </c>
      <c r="D1734" s="1" t="s">
        <v>38</v>
      </c>
      <c r="E1734" s="26" t="s">
        <v>39</v>
      </c>
      <c r="F1734" s="27">
        <v>0.81300813008130079</v>
      </c>
      <c r="G1734" s="33">
        <v>1</v>
      </c>
      <c r="R1734" s="55" t="s">
        <v>161</v>
      </c>
      <c r="S1734" s="26" t="s">
        <v>38</v>
      </c>
      <c r="T1734" s="26" t="s">
        <v>39</v>
      </c>
      <c r="U1734" s="27">
        <v>0.83333333333333337</v>
      </c>
      <c r="V1734" s="33">
        <v>1</v>
      </c>
      <c r="AG1734" s="31">
        <v>0</v>
      </c>
      <c r="AH1734" t="s">
        <v>44</v>
      </c>
    </row>
    <row r="1735" spans="1:34">
      <c r="A1735" s="15" t="s">
        <v>1813</v>
      </c>
      <c r="B1735" s="8" t="s">
        <v>1775</v>
      </c>
      <c r="C1735" s="41" t="s">
        <v>160</v>
      </c>
      <c r="D1735" s="1" t="s">
        <v>38</v>
      </c>
      <c r="E1735" s="26" t="s">
        <v>39</v>
      </c>
      <c r="F1735" s="27">
        <v>0.81300813008130079</v>
      </c>
      <c r="G1735" s="33">
        <v>1</v>
      </c>
      <c r="R1735" s="55" t="s">
        <v>161</v>
      </c>
      <c r="S1735" s="26" t="s">
        <v>38</v>
      </c>
      <c r="T1735" s="26" t="s">
        <v>39</v>
      </c>
      <c r="U1735" s="27">
        <v>0.83333333333333337</v>
      </c>
      <c r="V1735" s="33">
        <v>1</v>
      </c>
      <c r="AG1735" s="31">
        <v>0</v>
      </c>
      <c r="AH1735" t="s">
        <v>44</v>
      </c>
    </row>
    <row r="1736" spans="1:34">
      <c r="A1736" s="15" t="s">
        <v>1814</v>
      </c>
      <c r="B1736" s="8" t="s">
        <v>1775</v>
      </c>
      <c r="C1736" s="41" t="s">
        <v>160</v>
      </c>
      <c r="D1736" s="1" t="s">
        <v>38</v>
      </c>
      <c r="E1736" s="26" t="s">
        <v>39</v>
      </c>
      <c r="F1736" s="27">
        <v>0.81300813008130079</v>
      </c>
      <c r="G1736" s="33">
        <v>1</v>
      </c>
      <c r="R1736" s="55" t="s">
        <v>161</v>
      </c>
      <c r="S1736" s="26" t="s">
        <v>38</v>
      </c>
      <c r="T1736" s="26" t="s">
        <v>39</v>
      </c>
      <c r="U1736" s="27">
        <v>0.83333333333333337</v>
      </c>
      <c r="V1736" s="33">
        <v>1</v>
      </c>
      <c r="AG1736" s="31">
        <v>0</v>
      </c>
      <c r="AH1736" t="s">
        <v>44</v>
      </c>
    </row>
    <row r="1737" spans="1:34">
      <c r="A1737" s="15" t="s">
        <v>1815</v>
      </c>
      <c r="B1737" s="8" t="s">
        <v>1775</v>
      </c>
      <c r="C1737" s="41" t="s">
        <v>160</v>
      </c>
      <c r="D1737" s="1" t="s">
        <v>38</v>
      </c>
      <c r="E1737" s="26" t="s">
        <v>39</v>
      </c>
      <c r="F1737" s="27">
        <v>0.81300813008130079</v>
      </c>
      <c r="G1737" s="33">
        <v>1</v>
      </c>
      <c r="R1737" s="55" t="s">
        <v>161</v>
      </c>
      <c r="S1737" s="26" t="s">
        <v>38</v>
      </c>
      <c r="T1737" s="26" t="s">
        <v>39</v>
      </c>
      <c r="U1737" s="27">
        <v>0.83333333333333337</v>
      </c>
      <c r="V1737" s="33">
        <v>1</v>
      </c>
      <c r="AG1737" s="31">
        <v>0</v>
      </c>
      <c r="AH1737" t="s">
        <v>44</v>
      </c>
    </row>
    <row r="1738" spans="1:34">
      <c r="A1738" s="15" t="s">
        <v>1816</v>
      </c>
      <c r="B1738" s="8" t="s">
        <v>1775</v>
      </c>
      <c r="C1738" s="41" t="s">
        <v>160</v>
      </c>
      <c r="D1738" s="1" t="s">
        <v>38</v>
      </c>
      <c r="E1738" s="26" t="s">
        <v>39</v>
      </c>
      <c r="F1738" s="27">
        <v>0.81300813008130079</v>
      </c>
      <c r="G1738" s="33">
        <v>1</v>
      </c>
      <c r="R1738" s="55" t="s">
        <v>161</v>
      </c>
      <c r="S1738" s="26" t="s">
        <v>38</v>
      </c>
      <c r="T1738" s="26" t="s">
        <v>39</v>
      </c>
      <c r="U1738" s="27">
        <v>0.83333333333333337</v>
      </c>
      <c r="V1738" s="33">
        <v>1</v>
      </c>
      <c r="AG1738" s="31">
        <v>0</v>
      </c>
      <c r="AH1738" t="s">
        <v>44</v>
      </c>
    </row>
    <row r="1739" spans="1:34">
      <c r="A1739" s="15" t="s">
        <v>1817</v>
      </c>
      <c r="B1739" s="8" t="s">
        <v>1775</v>
      </c>
      <c r="C1739" s="41" t="s">
        <v>160</v>
      </c>
      <c r="D1739" s="1" t="s">
        <v>38</v>
      </c>
      <c r="E1739" s="26" t="s">
        <v>39</v>
      </c>
      <c r="F1739" s="27">
        <v>0.81300813008130079</v>
      </c>
      <c r="G1739" s="33">
        <v>1</v>
      </c>
      <c r="R1739" s="55" t="s">
        <v>161</v>
      </c>
      <c r="S1739" s="26" t="s">
        <v>38</v>
      </c>
      <c r="T1739" s="26" t="s">
        <v>39</v>
      </c>
      <c r="U1739" s="27">
        <v>0.83333333333333337</v>
      </c>
      <c r="V1739" s="33">
        <v>1</v>
      </c>
      <c r="AG1739" s="31">
        <v>0</v>
      </c>
      <c r="AH1739" t="s">
        <v>44</v>
      </c>
    </row>
    <row r="1740" spans="1:34">
      <c r="A1740" s="15" t="s">
        <v>1818</v>
      </c>
      <c r="B1740" s="8" t="s">
        <v>1775</v>
      </c>
      <c r="C1740" s="41" t="s">
        <v>160</v>
      </c>
      <c r="D1740" s="1" t="s">
        <v>38</v>
      </c>
      <c r="E1740" s="26" t="s">
        <v>39</v>
      </c>
      <c r="F1740" s="27">
        <v>0.81300813008130079</v>
      </c>
      <c r="G1740" s="33">
        <v>1</v>
      </c>
      <c r="R1740" s="55" t="s">
        <v>161</v>
      </c>
      <c r="S1740" s="26" t="s">
        <v>38</v>
      </c>
      <c r="T1740" s="26" t="s">
        <v>39</v>
      </c>
      <c r="U1740" s="27">
        <v>0.83333333333333337</v>
      </c>
      <c r="V1740" s="33">
        <v>1</v>
      </c>
      <c r="AG1740" s="31">
        <v>0</v>
      </c>
      <c r="AH1740" t="s">
        <v>44</v>
      </c>
    </row>
    <row r="1741" spans="1:34">
      <c r="A1741" s="15" t="s">
        <v>1819</v>
      </c>
      <c r="B1741" s="8" t="s">
        <v>1775</v>
      </c>
      <c r="C1741" s="41" t="s">
        <v>160</v>
      </c>
      <c r="D1741" s="1" t="s">
        <v>38</v>
      </c>
      <c r="E1741" s="26" t="s">
        <v>39</v>
      </c>
      <c r="F1741" s="27">
        <v>0.81300813008130079</v>
      </c>
      <c r="G1741" s="33">
        <v>1</v>
      </c>
      <c r="R1741" s="55" t="s">
        <v>161</v>
      </c>
      <c r="S1741" s="26" t="s">
        <v>38</v>
      </c>
      <c r="T1741" s="26" t="s">
        <v>39</v>
      </c>
      <c r="U1741" s="27">
        <v>0.83333333333333337</v>
      </c>
      <c r="V1741" s="33">
        <v>1</v>
      </c>
      <c r="AG1741" s="31">
        <v>0</v>
      </c>
      <c r="AH1741" t="s">
        <v>44</v>
      </c>
    </row>
    <row r="1742" spans="1:34">
      <c r="A1742" s="15" t="s">
        <v>1820</v>
      </c>
      <c r="B1742" s="8" t="s">
        <v>1775</v>
      </c>
      <c r="C1742" s="41" t="s">
        <v>160</v>
      </c>
      <c r="D1742" s="1" t="s">
        <v>38</v>
      </c>
      <c r="E1742" s="26" t="s">
        <v>39</v>
      </c>
      <c r="F1742" s="27">
        <v>0.81300813008130079</v>
      </c>
      <c r="G1742" s="33">
        <v>1</v>
      </c>
      <c r="R1742" s="55" t="s">
        <v>161</v>
      </c>
      <c r="S1742" s="26" t="s">
        <v>38</v>
      </c>
      <c r="T1742" s="26" t="s">
        <v>39</v>
      </c>
      <c r="U1742" s="27">
        <v>0.83333333333333337</v>
      </c>
      <c r="V1742" s="33">
        <v>1</v>
      </c>
      <c r="AG1742" s="31">
        <v>0</v>
      </c>
      <c r="AH1742" t="s">
        <v>44</v>
      </c>
    </row>
    <row r="1743" spans="1:34">
      <c r="A1743" s="15" t="s">
        <v>1821</v>
      </c>
      <c r="B1743" s="8" t="s">
        <v>1775</v>
      </c>
      <c r="C1743" s="41" t="s">
        <v>160</v>
      </c>
      <c r="D1743" s="1" t="s">
        <v>38</v>
      </c>
      <c r="E1743" s="26" t="s">
        <v>39</v>
      </c>
      <c r="F1743" s="27">
        <v>0.81300813008130079</v>
      </c>
      <c r="G1743" s="33">
        <v>1</v>
      </c>
      <c r="R1743" s="55" t="s">
        <v>161</v>
      </c>
      <c r="S1743" s="26" t="s">
        <v>38</v>
      </c>
      <c r="T1743" s="26" t="s">
        <v>39</v>
      </c>
      <c r="U1743" s="27">
        <v>0.83333333333333337</v>
      </c>
      <c r="V1743" s="33">
        <v>1</v>
      </c>
      <c r="AG1743" s="31">
        <v>0</v>
      </c>
      <c r="AH1743" t="s">
        <v>44</v>
      </c>
    </row>
    <row r="1744" spans="1:34">
      <c r="A1744" s="15" t="s">
        <v>1822</v>
      </c>
      <c r="B1744" s="8" t="s">
        <v>1775</v>
      </c>
      <c r="C1744" s="41" t="s">
        <v>160</v>
      </c>
      <c r="D1744" s="1" t="s">
        <v>38</v>
      </c>
      <c r="E1744" s="26" t="s">
        <v>39</v>
      </c>
      <c r="F1744" s="27">
        <v>0.81300813008130079</v>
      </c>
      <c r="G1744" s="33">
        <v>1</v>
      </c>
      <c r="R1744" s="55" t="s">
        <v>161</v>
      </c>
      <c r="S1744" s="26" t="s">
        <v>38</v>
      </c>
      <c r="T1744" s="26" t="s">
        <v>39</v>
      </c>
      <c r="U1744" s="27">
        <v>0.83333333333333337</v>
      </c>
      <c r="V1744" s="33">
        <v>1</v>
      </c>
      <c r="AG1744" s="31">
        <v>0</v>
      </c>
      <c r="AH1744" t="s">
        <v>44</v>
      </c>
    </row>
    <row r="1745" spans="1:34">
      <c r="A1745" s="16" t="s">
        <v>1823</v>
      </c>
      <c r="B1745" s="8" t="s">
        <v>1775</v>
      </c>
      <c r="C1745" s="41" t="s">
        <v>160</v>
      </c>
      <c r="D1745" s="1" t="s">
        <v>38</v>
      </c>
      <c r="E1745" s="26" t="s">
        <v>39</v>
      </c>
      <c r="F1745" s="27">
        <v>0.81300813008130079</v>
      </c>
      <c r="G1745" s="33">
        <v>1</v>
      </c>
      <c r="R1745" s="55" t="s">
        <v>161</v>
      </c>
      <c r="S1745" s="26" t="s">
        <v>38</v>
      </c>
      <c r="T1745" s="26" t="s">
        <v>39</v>
      </c>
      <c r="U1745" s="27">
        <v>0.83333333333333337</v>
      </c>
      <c r="V1745" s="33">
        <v>1</v>
      </c>
      <c r="AG1745" s="31">
        <v>0</v>
      </c>
      <c r="AH1745" s="65" t="s">
        <v>44</v>
      </c>
    </row>
    <row r="1746" spans="1:34" s="6" customFormat="1">
      <c r="A1746" s="15" t="s">
        <v>1824</v>
      </c>
      <c r="B1746" s="9" t="s">
        <v>1825</v>
      </c>
      <c r="C1746" s="45" t="s">
        <v>160</v>
      </c>
      <c r="D1746" s="46" t="s">
        <v>38</v>
      </c>
      <c r="E1746" s="47" t="s">
        <v>39</v>
      </c>
      <c r="F1746" s="48">
        <v>0.81300813008130079</v>
      </c>
      <c r="G1746" s="49">
        <v>1</v>
      </c>
      <c r="H1746" s="47"/>
      <c r="I1746" s="47"/>
      <c r="J1746" s="47"/>
      <c r="K1746" s="48"/>
      <c r="L1746" s="48"/>
      <c r="M1746" s="72"/>
      <c r="N1746" s="47"/>
      <c r="O1746" s="47"/>
      <c r="P1746" s="48"/>
      <c r="Q1746" s="50"/>
      <c r="R1746" s="54" t="s">
        <v>161</v>
      </c>
      <c r="S1746" s="47" t="s">
        <v>38</v>
      </c>
      <c r="T1746" s="47" t="s">
        <v>39</v>
      </c>
      <c r="U1746" s="48">
        <v>0.83333333333333337</v>
      </c>
      <c r="V1746" s="49">
        <v>1</v>
      </c>
      <c r="W1746" s="28"/>
      <c r="X1746" s="28"/>
      <c r="Y1746" s="28"/>
      <c r="Z1746" s="29"/>
      <c r="AA1746" s="28"/>
      <c r="AB1746" s="74"/>
      <c r="AC1746" s="28"/>
      <c r="AD1746" s="28"/>
      <c r="AE1746" s="28"/>
      <c r="AF1746" s="39"/>
      <c r="AG1746" s="29">
        <v>0</v>
      </c>
      <c r="AH1746" s="6" t="s">
        <v>44</v>
      </c>
    </row>
    <row r="1747" spans="1:34">
      <c r="A1747" s="15" t="s">
        <v>1826</v>
      </c>
      <c r="B1747" s="8" t="s">
        <v>1825</v>
      </c>
      <c r="C1747" s="41" t="s">
        <v>160</v>
      </c>
      <c r="D1747" s="1" t="s">
        <v>38</v>
      </c>
      <c r="E1747" s="26" t="s">
        <v>39</v>
      </c>
      <c r="F1747" s="27">
        <v>0.81300813008130079</v>
      </c>
      <c r="G1747" s="33">
        <v>1</v>
      </c>
      <c r="R1747" s="55" t="s">
        <v>161</v>
      </c>
      <c r="S1747" s="26" t="s">
        <v>38</v>
      </c>
      <c r="T1747" s="26" t="s">
        <v>39</v>
      </c>
      <c r="U1747" s="27">
        <v>0.83333333333333337</v>
      </c>
      <c r="V1747" s="33">
        <v>1</v>
      </c>
      <c r="AG1747" s="31">
        <v>0</v>
      </c>
      <c r="AH1747" t="s">
        <v>44</v>
      </c>
    </row>
    <row r="1748" spans="1:34">
      <c r="A1748" s="15" t="s">
        <v>1827</v>
      </c>
      <c r="B1748" s="8" t="s">
        <v>1825</v>
      </c>
      <c r="C1748" s="41" t="s">
        <v>160</v>
      </c>
      <c r="D1748" s="1" t="s">
        <v>38</v>
      </c>
      <c r="E1748" s="26" t="s">
        <v>39</v>
      </c>
      <c r="F1748" s="27">
        <v>0.81300813008130079</v>
      </c>
      <c r="G1748" s="33">
        <v>1</v>
      </c>
      <c r="R1748" s="55" t="s">
        <v>161</v>
      </c>
      <c r="S1748" s="26" t="s">
        <v>38</v>
      </c>
      <c r="T1748" s="26" t="s">
        <v>39</v>
      </c>
      <c r="U1748" s="27">
        <v>0.83333333333333337</v>
      </c>
      <c r="V1748" s="33">
        <v>1</v>
      </c>
      <c r="AG1748" s="31">
        <v>0</v>
      </c>
      <c r="AH1748" t="s">
        <v>44</v>
      </c>
    </row>
    <row r="1749" spans="1:34">
      <c r="A1749" s="15" t="s">
        <v>1828</v>
      </c>
      <c r="B1749" s="8" t="s">
        <v>1825</v>
      </c>
      <c r="C1749" s="41" t="s">
        <v>160</v>
      </c>
      <c r="D1749" s="1" t="s">
        <v>38</v>
      </c>
      <c r="E1749" s="26" t="s">
        <v>39</v>
      </c>
      <c r="F1749" s="27">
        <v>0.81300813008130079</v>
      </c>
      <c r="G1749" s="33">
        <v>1</v>
      </c>
      <c r="R1749" s="55" t="s">
        <v>161</v>
      </c>
      <c r="S1749" s="26" t="s">
        <v>38</v>
      </c>
      <c r="T1749" s="26" t="s">
        <v>39</v>
      </c>
      <c r="U1749" s="27">
        <v>0.83333333333333337</v>
      </c>
      <c r="V1749" s="33">
        <v>1</v>
      </c>
      <c r="AG1749" s="31">
        <v>0</v>
      </c>
      <c r="AH1749" t="s">
        <v>44</v>
      </c>
    </row>
    <row r="1750" spans="1:34">
      <c r="A1750" s="15" t="s">
        <v>1829</v>
      </c>
      <c r="B1750" s="8" t="s">
        <v>1825</v>
      </c>
      <c r="C1750" s="41" t="s">
        <v>160</v>
      </c>
      <c r="D1750" s="1" t="s">
        <v>38</v>
      </c>
      <c r="E1750" s="26" t="s">
        <v>39</v>
      </c>
      <c r="F1750" s="27">
        <v>0.81300813008130079</v>
      </c>
      <c r="G1750" s="33">
        <v>1</v>
      </c>
      <c r="R1750" s="55" t="s">
        <v>161</v>
      </c>
      <c r="S1750" s="26" t="s">
        <v>38</v>
      </c>
      <c r="T1750" s="26" t="s">
        <v>39</v>
      </c>
      <c r="U1750" s="27">
        <v>0.83333333333333337</v>
      </c>
      <c r="V1750" s="33">
        <v>1</v>
      </c>
      <c r="AG1750" s="31">
        <v>0</v>
      </c>
      <c r="AH1750" t="s">
        <v>44</v>
      </c>
    </row>
    <row r="1751" spans="1:34">
      <c r="A1751" s="15" t="s">
        <v>1830</v>
      </c>
      <c r="B1751" s="8" t="s">
        <v>1825</v>
      </c>
      <c r="C1751" s="41" t="s">
        <v>160</v>
      </c>
      <c r="D1751" s="1" t="s">
        <v>38</v>
      </c>
      <c r="E1751" s="26" t="s">
        <v>39</v>
      </c>
      <c r="F1751" s="27">
        <v>0.81300813008130079</v>
      </c>
      <c r="G1751" s="33">
        <v>1</v>
      </c>
      <c r="R1751" s="55" t="s">
        <v>161</v>
      </c>
      <c r="S1751" s="26" t="s">
        <v>38</v>
      </c>
      <c r="T1751" s="26" t="s">
        <v>39</v>
      </c>
      <c r="U1751" s="27">
        <v>0.83333333333333337</v>
      </c>
      <c r="V1751" s="33">
        <v>1</v>
      </c>
      <c r="AG1751" s="31">
        <v>0</v>
      </c>
      <c r="AH1751" t="s">
        <v>44</v>
      </c>
    </row>
    <row r="1752" spans="1:34">
      <c r="A1752" s="15" t="s">
        <v>1831</v>
      </c>
      <c r="B1752" s="8" t="s">
        <v>1825</v>
      </c>
      <c r="C1752" s="41" t="s">
        <v>160</v>
      </c>
      <c r="D1752" s="1" t="s">
        <v>38</v>
      </c>
      <c r="E1752" s="26" t="s">
        <v>39</v>
      </c>
      <c r="F1752" s="27">
        <v>0.81300813008130079</v>
      </c>
      <c r="G1752" s="33">
        <v>1</v>
      </c>
      <c r="R1752" s="55" t="s">
        <v>161</v>
      </c>
      <c r="S1752" s="26" t="s">
        <v>38</v>
      </c>
      <c r="T1752" s="26" t="s">
        <v>39</v>
      </c>
      <c r="U1752" s="27">
        <v>0.83333333333333337</v>
      </c>
      <c r="V1752" s="33">
        <v>1</v>
      </c>
      <c r="AG1752" s="31">
        <v>0</v>
      </c>
      <c r="AH1752" t="s">
        <v>44</v>
      </c>
    </row>
    <row r="1753" spans="1:34">
      <c r="A1753" s="15" t="s">
        <v>1832</v>
      </c>
      <c r="B1753" s="8" t="s">
        <v>1825</v>
      </c>
      <c r="C1753" s="41" t="s">
        <v>160</v>
      </c>
      <c r="D1753" s="1" t="s">
        <v>38</v>
      </c>
      <c r="E1753" s="26" t="s">
        <v>39</v>
      </c>
      <c r="F1753" s="27">
        <v>0.81300813008130079</v>
      </c>
      <c r="G1753" s="33">
        <v>1</v>
      </c>
      <c r="R1753" s="55" t="s">
        <v>161</v>
      </c>
      <c r="S1753" s="26" t="s">
        <v>38</v>
      </c>
      <c r="T1753" s="26" t="s">
        <v>39</v>
      </c>
      <c r="U1753" s="27">
        <v>0.83333333333333337</v>
      </c>
      <c r="V1753" s="33">
        <v>1</v>
      </c>
      <c r="AG1753" s="31">
        <v>0</v>
      </c>
      <c r="AH1753" t="s">
        <v>44</v>
      </c>
    </row>
    <row r="1754" spans="1:34">
      <c r="A1754" s="15" t="s">
        <v>1833</v>
      </c>
      <c r="B1754" s="8" t="s">
        <v>1825</v>
      </c>
      <c r="C1754" s="41" t="s">
        <v>160</v>
      </c>
      <c r="D1754" s="1" t="s">
        <v>38</v>
      </c>
      <c r="E1754" s="26" t="s">
        <v>39</v>
      </c>
      <c r="F1754" s="27">
        <v>0.81300813008130079</v>
      </c>
      <c r="G1754" s="33">
        <v>1</v>
      </c>
      <c r="R1754" s="55" t="s">
        <v>161</v>
      </c>
      <c r="S1754" s="26" t="s">
        <v>38</v>
      </c>
      <c r="T1754" s="26" t="s">
        <v>39</v>
      </c>
      <c r="U1754" s="27">
        <v>0.83333333333333337</v>
      </c>
      <c r="V1754" s="33">
        <v>1</v>
      </c>
      <c r="AG1754" s="31">
        <v>0</v>
      </c>
      <c r="AH1754" t="s">
        <v>44</v>
      </c>
    </row>
    <row r="1755" spans="1:34">
      <c r="A1755" s="15" t="s">
        <v>1834</v>
      </c>
      <c r="B1755" s="8" t="s">
        <v>1825</v>
      </c>
      <c r="C1755" s="41" t="s">
        <v>160</v>
      </c>
      <c r="D1755" s="1" t="s">
        <v>38</v>
      </c>
      <c r="E1755" s="26" t="s">
        <v>39</v>
      </c>
      <c r="F1755" s="27">
        <v>0.81300813008130079</v>
      </c>
      <c r="G1755" s="33">
        <v>1</v>
      </c>
      <c r="R1755" s="55" t="s">
        <v>161</v>
      </c>
      <c r="S1755" s="26" t="s">
        <v>38</v>
      </c>
      <c r="T1755" s="26" t="s">
        <v>39</v>
      </c>
      <c r="U1755" s="27">
        <v>0.83333333333333337</v>
      </c>
      <c r="V1755" s="33">
        <v>1</v>
      </c>
      <c r="AG1755" s="31">
        <v>0</v>
      </c>
      <c r="AH1755" t="s">
        <v>44</v>
      </c>
    </row>
    <row r="1756" spans="1:34">
      <c r="A1756" s="15" t="s">
        <v>1835</v>
      </c>
      <c r="B1756" s="8" t="s">
        <v>1825</v>
      </c>
      <c r="C1756" s="41" t="s">
        <v>160</v>
      </c>
      <c r="D1756" s="1" t="s">
        <v>38</v>
      </c>
      <c r="E1756" s="26" t="s">
        <v>39</v>
      </c>
      <c r="F1756" s="27">
        <v>0.81300813008130079</v>
      </c>
      <c r="G1756" s="33">
        <v>1</v>
      </c>
      <c r="R1756" s="55" t="s">
        <v>161</v>
      </c>
      <c r="S1756" s="26" t="s">
        <v>38</v>
      </c>
      <c r="T1756" s="26" t="s">
        <v>39</v>
      </c>
      <c r="U1756" s="27">
        <v>0.83333333333333337</v>
      </c>
      <c r="V1756" s="33">
        <v>1</v>
      </c>
      <c r="AG1756" s="31">
        <v>0</v>
      </c>
      <c r="AH1756" t="s">
        <v>44</v>
      </c>
    </row>
    <row r="1757" spans="1:34">
      <c r="A1757" s="15" t="s">
        <v>1836</v>
      </c>
      <c r="B1757" s="8" t="s">
        <v>1825</v>
      </c>
      <c r="C1757" s="41" t="s">
        <v>160</v>
      </c>
      <c r="D1757" s="1" t="s">
        <v>38</v>
      </c>
      <c r="E1757" s="26" t="s">
        <v>39</v>
      </c>
      <c r="F1757" s="27">
        <v>0.81300813008130079</v>
      </c>
      <c r="G1757" s="33">
        <v>1</v>
      </c>
      <c r="R1757" s="55" t="s">
        <v>161</v>
      </c>
      <c r="S1757" s="26" t="s">
        <v>38</v>
      </c>
      <c r="T1757" s="26" t="s">
        <v>39</v>
      </c>
      <c r="U1757" s="27">
        <v>0.83333333333333337</v>
      </c>
      <c r="V1757" s="33">
        <v>1</v>
      </c>
      <c r="AG1757" s="31">
        <v>0</v>
      </c>
      <c r="AH1757" t="s">
        <v>44</v>
      </c>
    </row>
    <row r="1758" spans="1:34">
      <c r="A1758" s="15" t="s">
        <v>1837</v>
      </c>
      <c r="B1758" s="8" t="s">
        <v>1825</v>
      </c>
      <c r="C1758" s="41" t="s">
        <v>160</v>
      </c>
      <c r="D1758" s="1" t="s">
        <v>38</v>
      </c>
      <c r="E1758" s="26" t="s">
        <v>39</v>
      </c>
      <c r="F1758" s="27">
        <v>0.81300813008130079</v>
      </c>
      <c r="G1758" s="33">
        <v>1</v>
      </c>
      <c r="R1758" s="55" t="s">
        <v>161</v>
      </c>
      <c r="S1758" s="26" t="s">
        <v>38</v>
      </c>
      <c r="T1758" s="26" t="s">
        <v>39</v>
      </c>
      <c r="U1758" s="27">
        <v>0.83333333333333337</v>
      </c>
      <c r="V1758" s="33">
        <v>1</v>
      </c>
      <c r="AG1758" s="31">
        <v>0</v>
      </c>
      <c r="AH1758" t="s">
        <v>44</v>
      </c>
    </row>
    <row r="1759" spans="1:34">
      <c r="A1759" s="15" t="s">
        <v>1838</v>
      </c>
      <c r="B1759" s="8" t="s">
        <v>1825</v>
      </c>
      <c r="C1759" s="41" t="s">
        <v>160</v>
      </c>
      <c r="D1759" s="1" t="s">
        <v>38</v>
      </c>
      <c r="E1759" s="26" t="s">
        <v>39</v>
      </c>
      <c r="F1759" s="27">
        <v>0.81300813008130079</v>
      </c>
      <c r="G1759" s="33">
        <v>1</v>
      </c>
      <c r="R1759" s="55" t="s">
        <v>161</v>
      </c>
      <c r="S1759" s="26" t="s">
        <v>38</v>
      </c>
      <c r="T1759" s="26" t="s">
        <v>39</v>
      </c>
      <c r="U1759" s="27">
        <v>0.83333333333333337</v>
      </c>
      <c r="V1759" s="33">
        <v>1</v>
      </c>
      <c r="AG1759" s="31">
        <v>0</v>
      </c>
      <c r="AH1759" t="s">
        <v>44</v>
      </c>
    </row>
    <row r="1760" spans="1:34">
      <c r="A1760" s="15" t="s">
        <v>1839</v>
      </c>
      <c r="B1760" s="8" t="s">
        <v>1825</v>
      </c>
      <c r="C1760" s="41" t="s">
        <v>160</v>
      </c>
      <c r="D1760" s="1" t="s">
        <v>38</v>
      </c>
      <c r="E1760" s="26" t="s">
        <v>39</v>
      </c>
      <c r="F1760" s="27">
        <v>0.81300813008130079</v>
      </c>
      <c r="G1760" s="33">
        <v>1</v>
      </c>
      <c r="R1760" s="55" t="s">
        <v>161</v>
      </c>
      <c r="S1760" s="26" t="s">
        <v>38</v>
      </c>
      <c r="T1760" s="26" t="s">
        <v>39</v>
      </c>
      <c r="U1760" s="27">
        <v>0.83333333333333337</v>
      </c>
      <c r="V1760" s="33">
        <v>1</v>
      </c>
      <c r="AG1760" s="31">
        <v>0</v>
      </c>
      <c r="AH1760" t="s">
        <v>44</v>
      </c>
    </row>
    <row r="1761" spans="1:34">
      <c r="A1761" s="15" t="s">
        <v>1840</v>
      </c>
      <c r="B1761" s="8" t="s">
        <v>1825</v>
      </c>
      <c r="C1761" s="41" t="s">
        <v>160</v>
      </c>
      <c r="D1761" s="1" t="s">
        <v>38</v>
      </c>
      <c r="E1761" s="26" t="s">
        <v>39</v>
      </c>
      <c r="F1761" s="27">
        <v>0.81300813008130079</v>
      </c>
      <c r="G1761" s="33">
        <v>1</v>
      </c>
      <c r="R1761" s="55" t="s">
        <v>161</v>
      </c>
      <c r="S1761" s="26" t="s">
        <v>38</v>
      </c>
      <c r="T1761" s="26" t="s">
        <v>39</v>
      </c>
      <c r="U1761" s="27">
        <v>0.83333333333333337</v>
      </c>
      <c r="V1761" s="33">
        <v>1</v>
      </c>
      <c r="AG1761" s="31">
        <v>0</v>
      </c>
      <c r="AH1761" t="s">
        <v>44</v>
      </c>
    </row>
    <row r="1762" spans="1:34">
      <c r="A1762" s="15" t="s">
        <v>1841</v>
      </c>
      <c r="B1762" s="8" t="s">
        <v>1825</v>
      </c>
      <c r="C1762" s="41" t="s">
        <v>160</v>
      </c>
      <c r="D1762" s="1" t="s">
        <v>38</v>
      </c>
      <c r="E1762" s="26" t="s">
        <v>39</v>
      </c>
      <c r="F1762" s="27">
        <v>0.81300813008130079</v>
      </c>
      <c r="G1762" s="33">
        <v>1</v>
      </c>
      <c r="R1762" s="55" t="s">
        <v>161</v>
      </c>
      <c r="S1762" s="26" t="s">
        <v>38</v>
      </c>
      <c r="T1762" s="26" t="s">
        <v>39</v>
      </c>
      <c r="U1762" s="27">
        <v>0.83333333333333337</v>
      </c>
      <c r="V1762" s="33">
        <v>1</v>
      </c>
      <c r="AG1762" s="31">
        <v>0</v>
      </c>
      <c r="AH1762" t="s">
        <v>44</v>
      </c>
    </row>
    <row r="1763" spans="1:34">
      <c r="A1763" s="15" t="s">
        <v>1842</v>
      </c>
      <c r="B1763" s="8" t="s">
        <v>1825</v>
      </c>
      <c r="C1763" s="41" t="s">
        <v>160</v>
      </c>
      <c r="D1763" s="1" t="s">
        <v>38</v>
      </c>
      <c r="E1763" s="26" t="s">
        <v>39</v>
      </c>
      <c r="F1763" s="27">
        <v>0.81300813008130079</v>
      </c>
      <c r="G1763" s="33">
        <v>1</v>
      </c>
      <c r="R1763" s="55" t="s">
        <v>161</v>
      </c>
      <c r="S1763" s="26" t="s">
        <v>38</v>
      </c>
      <c r="T1763" s="26" t="s">
        <v>39</v>
      </c>
      <c r="U1763" s="27">
        <v>0.83333333333333337</v>
      </c>
      <c r="V1763" s="33">
        <v>1</v>
      </c>
      <c r="AG1763" s="31">
        <v>0</v>
      </c>
      <c r="AH1763" t="s">
        <v>44</v>
      </c>
    </row>
    <row r="1764" spans="1:34">
      <c r="A1764" s="15" t="s">
        <v>1843</v>
      </c>
      <c r="B1764" s="8" t="s">
        <v>1825</v>
      </c>
      <c r="C1764" s="41" t="s">
        <v>160</v>
      </c>
      <c r="D1764" s="1" t="s">
        <v>38</v>
      </c>
      <c r="E1764" s="26" t="s">
        <v>39</v>
      </c>
      <c r="F1764" s="27">
        <v>0.81300813008130079</v>
      </c>
      <c r="G1764" s="33">
        <v>1</v>
      </c>
      <c r="R1764" s="55" t="s">
        <v>161</v>
      </c>
      <c r="S1764" s="26" t="s">
        <v>38</v>
      </c>
      <c r="T1764" s="26" t="s">
        <v>39</v>
      </c>
      <c r="U1764" s="27">
        <v>0.83333333333333337</v>
      </c>
      <c r="V1764" s="33">
        <v>1</v>
      </c>
      <c r="AG1764" s="31">
        <v>0</v>
      </c>
      <c r="AH1764" t="s">
        <v>44</v>
      </c>
    </row>
    <row r="1765" spans="1:34">
      <c r="A1765" s="15" t="s">
        <v>1844</v>
      </c>
      <c r="B1765" s="8" t="s">
        <v>1825</v>
      </c>
      <c r="C1765" s="41" t="s">
        <v>160</v>
      </c>
      <c r="D1765" s="1" t="s">
        <v>38</v>
      </c>
      <c r="E1765" s="26" t="s">
        <v>39</v>
      </c>
      <c r="F1765" s="27">
        <v>0.81300813008130079</v>
      </c>
      <c r="G1765" s="33">
        <v>1</v>
      </c>
      <c r="R1765" s="55" t="s">
        <v>161</v>
      </c>
      <c r="S1765" s="26" t="s">
        <v>38</v>
      </c>
      <c r="T1765" s="26" t="s">
        <v>39</v>
      </c>
      <c r="U1765" s="27">
        <v>0.83333333333333337</v>
      </c>
      <c r="V1765" s="33">
        <v>1</v>
      </c>
      <c r="AG1765" s="31">
        <v>0</v>
      </c>
      <c r="AH1765" t="s">
        <v>44</v>
      </c>
    </row>
    <row r="1766" spans="1:34">
      <c r="A1766" s="15" t="s">
        <v>1845</v>
      </c>
      <c r="B1766" s="8" t="s">
        <v>1825</v>
      </c>
      <c r="C1766" s="41" t="s">
        <v>160</v>
      </c>
      <c r="D1766" s="1" t="s">
        <v>38</v>
      </c>
      <c r="E1766" s="26" t="s">
        <v>39</v>
      </c>
      <c r="F1766" s="27">
        <v>0.81300813008130079</v>
      </c>
      <c r="G1766" s="33">
        <v>1</v>
      </c>
      <c r="R1766" s="55" t="s">
        <v>161</v>
      </c>
      <c r="S1766" s="26" t="s">
        <v>38</v>
      </c>
      <c r="T1766" s="26" t="s">
        <v>39</v>
      </c>
      <c r="U1766" s="27">
        <v>0.83333333333333337</v>
      </c>
      <c r="V1766" s="33">
        <v>1</v>
      </c>
      <c r="AG1766" s="31">
        <v>0</v>
      </c>
      <c r="AH1766" t="s">
        <v>44</v>
      </c>
    </row>
    <row r="1767" spans="1:34">
      <c r="A1767" s="15" t="s">
        <v>1846</v>
      </c>
      <c r="B1767" s="8" t="s">
        <v>1825</v>
      </c>
      <c r="C1767" s="41" t="s">
        <v>160</v>
      </c>
      <c r="D1767" s="1" t="s">
        <v>38</v>
      </c>
      <c r="E1767" s="26" t="s">
        <v>39</v>
      </c>
      <c r="F1767" s="27">
        <v>0.81300813008130079</v>
      </c>
      <c r="G1767" s="33">
        <v>1</v>
      </c>
      <c r="R1767" s="55" t="s">
        <v>161</v>
      </c>
      <c r="S1767" s="26" t="s">
        <v>38</v>
      </c>
      <c r="T1767" s="26" t="s">
        <v>39</v>
      </c>
      <c r="U1767" s="27">
        <v>0.83333333333333337</v>
      </c>
      <c r="V1767" s="33">
        <v>1</v>
      </c>
      <c r="AG1767" s="31">
        <v>1</v>
      </c>
      <c r="AH1767" t="s">
        <v>73</v>
      </c>
    </row>
    <row r="1768" spans="1:34">
      <c r="A1768" s="15" t="s">
        <v>1847</v>
      </c>
      <c r="B1768" s="8" t="s">
        <v>1825</v>
      </c>
      <c r="C1768" s="41" t="s">
        <v>160</v>
      </c>
      <c r="D1768" s="1" t="s">
        <v>38</v>
      </c>
      <c r="E1768" s="26" t="s">
        <v>39</v>
      </c>
      <c r="F1768" s="27">
        <v>0.81300813008130079</v>
      </c>
      <c r="G1768" s="33">
        <v>1</v>
      </c>
      <c r="R1768" s="55" t="s">
        <v>161</v>
      </c>
      <c r="S1768" s="26" t="s">
        <v>38</v>
      </c>
      <c r="T1768" s="26" t="s">
        <v>39</v>
      </c>
      <c r="U1768" s="27">
        <v>0.83333333333333337</v>
      </c>
      <c r="V1768" s="33">
        <v>1</v>
      </c>
      <c r="AG1768" s="31">
        <v>1</v>
      </c>
      <c r="AH1768" t="s">
        <v>73</v>
      </c>
    </row>
    <row r="1769" spans="1:34">
      <c r="A1769" s="15" t="s">
        <v>1848</v>
      </c>
      <c r="B1769" s="8" t="s">
        <v>1825</v>
      </c>
      <c r="C1769" s="41" t="s">
        <v>160</v>
      </c>
      <c r="D1769" s="1" t="s">
        <v>38</v>
      </c>
      <c r="E1769" s="26" t="s">
        <v>39</v>
      </c>
      <c r="F1769" s="27">
        <v>0.81300813008130079</v>
      </c>
      <c r="G1769" s="33">
        <v>1</v>
      </c>
      <c r="R1769" s="55" t="s">
        <v>161</v>
      </c>
      <c r="S1769" s="26" t="s">
        <v>38</v>
      </c>
      <c r="T1769" s="26" t="s">
        <v>39</v>
      </c>
      <c r="U1769" s="27">
        <v>0.83333333333333337</v>
      </c>
      <c r="V1769" s="33">
        <v>1</v>
      </c>
      <c r="AG1769" s="31">
        <v>1</v>
      </c>
      <c r="AH1769" t="s">
        <v>73</v>
      </c>
    </row>
    <row r="1770" spans="1:34">
      <c r="A1770" s="15" t="s">
        <v>1849</v>
      </c>
      <c r="B1770" s="8" t="s">
        <v>1825</v>
      </c>
      <c r="C1770" s="41" t="s">
        <v>160</v>
      </c>
      <c r="D1770" s="1" t="s">
        <v>38</v>
      </c>
      <c r="E1770" s="26" t="s">
        <v>39</v>
      </c>
      <c r="F1770" s="27">
        <v>0.81300813008130079</v>
      </c>
      <c r="G1770" s="33">
        <v>1</v>
      </c>
      <c r="R1770" s="55" t="s">
        <v>161</v>
      </c>
      <c r="S1770" s="26" t="s">
        <v>38</v>
      </c>
      <c r="T1770" s="26" t="s">
        <v>39</v>
      </c>
      <c r="U1770" s="27">
        <v>0.83333333333333337</v>
      </c>
      <c r="V1770" s="33">
        <v>1</v>
      </c>
      <c r="AG1770" s="31">
        <v>1</v>
      </c>
      <c r="AH1770" t="s">
        <v>73</v>
      </c>
    </row>
    <row r="1771" spans="1:34">
      <c r="A1771" s="15" t="s">
        <v>1850</v>
      </c>
      <c r="B1771" s="8" t="s">
        <v>1825</v>
      </c>
      <c r="C1771" s="41" t="s">
        <v>160</v>
      </c>
      <c r="D1771" s="1" t="s">
        <v>38</v>
      </c>
      <c r="E1771" s="26" t="s">
        <v>39</v>
      </c>
      <c r="F1771" s="27">
        <v>0.81300813008130079</v>
      </c>
      <c r="G1771" s="33">
        <v>1</v>
      </c>
      <c r="R1771" s="55" t="s">
        <v>161</v>
      </c>
      <c r="S1771" s="26" t="s">
        <v>38</v>
      </c>
      <c r="T1771" s="26" t="s">
        <v>39</v>
      </c>
      <c r="U1771" s="27">
        <v>0.83333333333333337</v>
      </c>
      <c r="V1771" s="33">
        <v>1</v>
      </c>
      <c r="AG1771" s="31">
        <v>1</v>
      </c>
      <c r="AH1771" t="s">
        <v>73</v>
      </c>
    </row>
    <row r="1772" spans="1:34">
      <c r="A1772" s="15" t="s">
        <v>1851</v>
      </c>
      <c r="B1772" s="8" t="s">
        <v>1825</v>
      </c>
      <c r="C1772" s="41" t="s">
        <v>160</v>
      </c>
      <c r="D1772" s="1" t="s">
        <v>38</v>
      </c>
      <c r="E1772" s="26" t="s">
        <v>39</v>
      </c>
      <c r="F1772" s="27">
        <v>0.81300813008130079</v>
      </c>
      <c r="G1772" s="33">
        <v>1</v>
      </c>
      <c r="R1772" s="55" t="s">
        <v>161</v>
      </c>
      <c r="S1772" s="26" t="s">
        <v>38</v>
      </c>
      <c r="T1772" s="26" t="s">
        <v>39</v>
      </c>
      <c r="U1772" s="27">
        <v>0.83333333333333337</v>
      </c>
      <c r="V1772" s="33">
        <v>1</v>
      </c>
      <c r="AG1772" s="31">
        <v>1</v>
      </c>
      <c r="AH1772" t="s">
        <v>73</v>
      </c>
    </row>
    <row r="1773" spans="1:34">
      <c r="A1773" s="15" t="s">
        <v>1852</v>
      </c>
      <c r="B1773" s="8" t="s">
        <v>1825</v>
      </c>
      <c r="C1773" s="41" t="s">
        <v>160</v>
      </c>
      <c r="D1773" s="1" t="s">
        <v>38</v>
      </c>
      <c r="E1773" s="26" t="s">
        <v>39</v>
      </c>
      <c r="F1773" s="27">
        <v>0.81300813008130079</v>
      </c>
      <c r="G1773" s="33">
        <v>1</v>
      </c>
      <c r="R1773" s="55" t="s">
        <v>161</v>
      </c>
      <c r="S1773" s="26" t="s">
        <v>38</v>
      </c>
      <c r="T1773" s="26" t="s">
        <v>39</v>
      </c>
      <c r="U1773" s="27">
        <v>0.83333333333333337</v>
      </c>
      <c r="V1773" s="33">
        <v>1</v>
      </c>
      <c r="AG1773" s="31">
        <v>1</v>
      </c>
      <c r="AH1773" t="s">
        <v>73</v>
      </c>
    </row>
    <row r="1774" spans="1:34">
      <c r="A1774" s="15" t="s">
        <v>1853</v>
      </c>
      <c r="B1774" s="8" t="s">
        <v>1825</v>
      </c>
      <c r="C1774" s="41" t="s">
        <v>160</v>
      </c>
      <c r="D1774" s="1" t="s">
        <v>38</v>
      </c>
      <c r="E1774" s="26" t="s">
        <v>39</v>
      </c>
      <c r="F1774" s="27">
        <v>0.81300813008130079</v>
      </c>
      <c r="G1774" s="33">
        <v>1</v>
      </c>
      <c r="R1774" s="55" t="s">
        <v>161</v>
      </c>
      <c r="S1774" s="26" t="s">
        <v>38</v>
      </c>
      <c r="T1774" s="26" t="s">
        <v>39</v>
      </c>
      <c r="U1774" s="27">
        <v>0.83333333333333337</v>
      </c>
      <c r="V1774" s="33">
        <v>1</v>
      </c>
      <c r="AG1774" s="31">
        <v>0</v>
      </c>
      <c r="AH1774" t="s">
        <v>44</v>
      </c>
    </row>
    <row r="1775" spans="1:34">
      <c r="A1775" s="15" t="s">
        <v>1854</v>
      </c>
      <c r="B1775" s="8" t="s">
        <v>1825</v>
      </c>
      <c r="C1775" s="41" t="s">
        <v>160</v>
      </c>
      <c r="D1775" s="1" t="s">
        <v>38</v>
      </c>
      <c r="E1775" s="26" t="s">
        <v>39</v>
      </c>
      <c r="F1775" s="27">
        <v>0.81300813008130079</v>
      </c>
      <c r="G1775" s="33">
        <v>1</v>
      </c>
      <c r="R1775" s="55" t="s">
        <v>161</v>
      </c>
      <c r="S1775" s="26" t="s">
        <v>38</v>
      </c>
      <c r="T1775" s="26" t="s">
        <v>39</v>
      </c>
      <c r="U1775" s="27">
        <v>0.83333333333333337</v>
      </c>
      <c r="V1775" s="33">
        <v>1</v>
      </c>
      <c r="AG1775" s="31">
        <v>0</v>
      </c>
      <c r="AH1775" t="s">
        <v>44</v>
      </c>
    </row>
    <row r="1776" spans="1:34">
      <c r="A1776" s="15" t="s">
        <v>1855</v>
      </c>
      <c r="B1776" s="8" t="s">
        <v>1825</v>
      </c>
      <c r="C1776" s="41" t="s">
        <v>160</v>
      </c>
      <c r="D1776" s="1" t="s">
        <v>38</v>
      </c>
      <c r="E1776" s="26" t="s">
        <v>39</v>
      </c>
      <c r="F1776" s="27">
        <v>0.81300813008130079</v>
      </c>
      <c r="G1776" s="33">
        <v>1</v>
      </c>
      <c r="R1776" s="55" t="s">
        <v>161</v>
      </c>
      <c r="S1776" s="26" t="s">
        <v>38</v>
      </c>
      <c r="T1776" s="26" t="s">
        <v>39</v>
      </c>
      <c r="U1776" s="27">
        <v>0.83333333333333337</v>
      </c>
      <c r="V1776" s="33">
        <v>1</v>
      </c>
      <c r="AG1776" s="31">
        <v>0</v>
      </c>
      <c r="AH1776" t="s">
        <v>44</v>
      </c>
    </row>
    <row r="1777" spans="1:34">
      <c r="A1777" s="15" t="s">
        <v>1856</v>
      </c>
      <c r="B1777" s="8" t="s">
        <v>1825</v>
      </c>
      <c r="C1777" s="41" t="s">
        <v>160</v>
      </c>
      <c r="D1777" s="1" t="s">
        <v>38</v>
      </c>
      <c r="E1777" s="26" t="s">
        <v>39</v>
      </c>
      <c r="F1777" s="27">
        <v>0.81300813008130079</v>
      </c>
      <c r="G1777" s="33">
        <v>1</v>
      </c>
      <c r="R1777" s="55" t="s">
        <v>161</v>
      </c>
      <c r="S1777" s="26" t="s">
        <v>38</v>
      </c>
      <c r="T1777" s="26" t="s">
        <v>39</v>
      </c>
      <c r="U1777" s="27">
        <v>0.83333333333333337</v>
      </c>
      <c r="V1777" s="33">
        <v>1</v>
      </c>
      <c r="AG1777" s="31">
        <v>0</v>
      </c>
      <c r="AH1777" t="s">
        <v>44</v>
      </c>
    </row>
    <row r="1778" spans="1:34">
      <c r="A1778" s="15" t="s">
        <v>1857</v>
      </c>
      <c r="B1778" s="8" t="s">
        <v>1825</v>
      </c>
      <c r="C1778" s="41" t="s">
        <v>160</v>
      </c>
      <c r="D1778" s="1" t="s">
        <v>38</v>
      </c>
      <c r="E1778" s="26" t="s">
        <v>39</v>
      </c>
      <c r="F1778" s="27">
        <v>0.81300813008130079</v>
      </c>
      <c r="G1778" s="33">
        <v>1</v>
      </c>
      <c r="R1778" s="55" t="s">
        <v>161</v>
      </c>
      <c r="S1778" s="26" t="s">
        <v>38</v>
      </c>
      <c r="T1778" s="26" t="s">
        <v>39</v>
      </c>
      <c r="U1778" s="27">
        <v>0.83333333333333337</v>
      </c>
      <c r="V1778" s="33">
        <v>1</v>
      </c>
      <c r="AG1778" s="31">
        <v>0</v>
      </c>
      <c r="AH1778" t="s">
        <v>44</v>
      </c>
    </row>
    <row r="1779" spans="1:34">
      <c r="A1779" s="15" t="s">
        <v>1858</v>
      </c>
      <c r="B1779" s="8" t="s">
        <v>1825</v>
      </c>
      <c r="C1779" s="41" t="s">
        <v>160</v>
      </c>
      <c r="D1779" s="1" t="s">
        <v>38</v>
      </c>
      <c r="E1779" s="26" t="s">
        <v>39</v>
      </c>
      <c r="F1779" s="27">
        <v>0.81300813008130079</v>
      </c>
      <c r="G1779" s="33">
        <v>1</v>
      </c>
      <c r="R1779" s="55" t="s">
        <v>161</v>
      </c>
      <c r="S1779" s="26" t="s">
        <v>38</v>
      </c>
      <c r="T1779" s="26" t="s">
        <v>39</v>
      </c>
      <c r="U1779" s="27">
        <v>0.83333333333333337</v>
      </c>
      <c r="V1779" s="33">
        <v>1</v>
      </c>
      <c r="AG1779" s="31">
        <v>0</v>
      </c>
      <c r="AH1779" t="s">
        <v>44</v>
      </c>
    </row>
    <row r="1780" spans="1:34">
      <c r="A1780" s="15" t="s">
        <v>1859</v>
      </c>
      <c r="B1780" s="8" t="s">
        <v>1825</v>
      </c>
      <c r="C1780" s="41" t="s">
        <v>160</v>
      </c>
      <c r="D1780" s="1" t="s">
        <v>38</v>
      </c>
      <c r="E1780" s="26" t="s">
        <v>39</v>
      </c>
      <c r="F1780" s="27">
        <v>0.81300813008130079</v>
      </c>
      <c r="G1780" s="33">
        <v>1</v>
      </c>
      <c r="R1780" s="55" t="s">
        <v>161</v>
      </c>
      <c r="S1780" s="26" t="s">
        <v>38</v>
      </c>
      <c r="T1780" s="26" t="s">
        <v>39</v>
      </c>
      <c r="U1780" s="27">
        <v>0.83333333333333337</v>
      </c>
      <c r="V1780" s="33">
        <v>1</v>
      </c>
      <c r="AG1780" s="31">
        <v>0</v>
      </c>
      <c r="AH1780" t="s">
        <v>44</v>
      </c>
    </row>
    <row r="1781" spans="1:34">
      <c r="A1781" s="15" t="s">
        <v>1860</v>
      </c>
      <c r="B1781" s="8" t="s">
        <v>1825</v>
      </c>
      <c r="C1781" s="41" t="s">
        <v>160</v>
      </c>
      <c r="D1781" s="1" t="s">
        <v>38</v>
      </c>
      <c r="E1781" s="26" t="s">
        <v>39</v>
      </c>
      <c r="F1781" s="27">
        <v>0.81300813008130079</v>
      </c>
      <c r="G1781" s="33">
        <v>1</v>
      </c>
      <c r="R1781" s="55" t="s">
        <v>161</v>
      </c>
      <c r="S1781" s="26" t="s">
        <v>38</v>
      </c>
      <c r="T1781" s="26" t="s">
        <v>39</v>
      </c>
      <c r="U1781" s="27">
        <v>0.83333333333333337</v>
      </c>
      <c r="V1781" s="33">
        <v>1</v>
      </c>
      <c r="AG1781" s="31">
        <v>0</v>
      </c>
      <c r="AH1781" t="s">
        <v>44</v>
      </c>
    </row>
    <row r="1782" spans="1:34">
      <c r="A1782" s="15" t="s">
        <v>1861</v>
      </c>
      <c r="B1782" s="8" t="s">
        <v>1825</v>
      </c>
      <c r="C1782" s="41" t="s">
        <v>160</v>
      </c>
      <c r="D1782" s="1" t="s">
        <v>38</v>
      </c>
      <c r="E1782" s="26" t="s">
        <v>39</v>
      </c>
      <c r="F1782" s="27">
        <v>0.81300813008130079</v>
      </c>
      <c r="G1782" s="33">
        <v>1</v>
      </c>
      <c r="R1782" s="55" t="s">
        <v>161</v>
      </c>
      <c r="S1782" s="26" t="s">
        <v>38</v>
      </c>
      <c r="T1782" s="26" t="s">
        <v>39</v>
      </c>
      <c r="U1782" s="27">
        <v>0.83333333333333337</v>
      </c>
      <c r="V1782" s="33">
        <v>1</v>
      </c>
      <c r="AG1782" s="31">
        <v>0</v>
      </c>
      <c r="AH1782" t="s">
        <v>44</v>
      </c>
    </row>
    <row r="1783" spans="1:34">
      <c r="A1783" s="15" t="s">
        <v>1862</v>
      </c>
      <c r="B1783" s="8" t="s">
        <v>1825</v>
      </c>
      <c r="C1783" s="41" t="s">
        <v>160</v>
      </c>
      <c r="D1783" s="1" t="s">
        <v>38</v>
      </c>
      <c r="E1783" s="26" t="s">
        <v>39</v>
      </c>
      <c r="F1783" s="27">
        <v>0.81300813008130079</v>
      </c>
      <c r="G1783" s="33">
        <v>1</v>
      </c>
      <c r="R1783" s="55" t="s">
        <v>161</v>
      </c>
      <c r="S1783" s="26" t="s">
        <v>38</v>
      </c>
      <c r="T1783" s="26" t="s">
        <v>39</v>
      </c>
      <c r="U1783" s="27">
        <v>0.83333333333333337</v>
      </c>
      <c r="V1783" s="33">
        <v>1</v>
      </c>
      <c r="AG1783" s="31">
        <v>0</v>
      </c>
      <c r="AH1783" t="s">
        <v>44</v>
      </c>
    </row>
    <row r="1784" spans="1:34">
      <c r="A1784" s="15" t="s">
        <v>1863</v>
      </c>
      <c r="B1784" s="8" t="s">
        <v>1825</v>
      </c>
      <c r="C1784" s="41" t="s">
        <v>160</v>
      </c>
      <c r="D1784" s="1" t="s">
        <v>38</v>
      </c>
      <c r="E1784" s="26" t="s">
        <v>39</v>
      </c>
      <c r="F1784" s="27">
        <v>0.81300813008130079</v>
      </c>
      <c r="G1784" s="33">
        <v>1</v>
      </c>
      <c r="R1784" s="55" t="s">
        <v>161</v>
      </c>
      <c r="S1784" s="26" t="s">
        <v>38</v>
      </c>
      <c r="T1784" s="26" t="s">
        <v>39</v>
      </c>
      <c r="U1784" s="27">
        <v>0.83333333333333337</v>
      </c>
      <c r="V1784" s="33">
        <v>1</v>
      </c>
      <c r="AG1784" s="31">
        <v>0</v>
      </c>
      <c r="AH1784" t="s">
        <v>44</v>
      </c>
    </row>
    <row r="1785" spans="1:34">
      <c r="A1785" s="15" t="s">
        <v>1864</v>
      </c>
      <c r="B1785" s="8" t="s">
        <v>1825</v>
      </c>
      <c r="C1785" s="41" t="s">
        <v>160</v>
      </c>
      <c r="D1785" s="1" t="s">
        <v>38</v>
      </c>
      <c r="E1785" s="26" t="s">
        <v>39</v>
      </c>
      <c r="F1785" s="27">
        <v>0.81300813008130079</v>
      </c>
      <c r="G1785" s="33">
        <v>1</v>
      </c>
      <c r="R1785" s="55" t="s">
        <v>161</v>
      </c>
      <c r="S1785" s="26" t="s">
        <v>38</v>
      </c>
      <c r="T1785" s="26" t="s">
        <v>39</v>
      </c>
      <c r="U1785" s="27">
        <v>0.83333333333333337</v>
      </c>
      <c r="V1785" s="33">
        <v>1</v>
      </c>
      <c r="AG1785" s="31">
        <v>0</v>
      </c>
      <c r="AH1785" t="s">
        <v>44</v>
      </c>
    </row>
    <row r="1786" spans="1:34">
      <c r="A1786" s="15" t="s">
        <v>1865</v>
      </c>
      <c r="B1786" s="8" t="s">
        <v>1825</v>
      </c>
      <c r="C1786" s="41" t="s">
        <v>160</v>
      </c>
      <c r="D1786" s="1" t="s">
        <v>38</v>
      </c>
      <c r="E1786" s="26" t="s">
        <v>39</v>
      </c>
      <c r="F1786" s="27">
        <v>0.81300813008130079</v>
      </c>
      <c r="G1786" s="33">
        <v>1</v>
      </c>
      <c r="R1786" s="55" t="s">
        <v>161</v>
      </c>
      <c r="S1786" s="26" t="s">
        <v>38</v>
      </c>
      <c r="T1786" s="26" t="s">
        <v>39</v>
      </c>
      <c r="U1786" s="27">
        <v>0.83333333333333337</v>
      </c>
      <c r="V1786" s="33">
        <v>1</v>
      </c>
      <c r="AG1786" s="31">
        <v>0</v>
      </c>
      <c r="AH1786" t="s">
        <v>44</v>
      </c>
    </row>
    <row r="1787" spans="1:34">
      <c r="A1787" s="15" t="s">
        <v>1866</v>
      </c>
      <c r="B1787" s="8" t="s">
        <v>1825</v>
      </c>
      <c r="C1787" s="41" t="s">
        <v>160</v>
      </c>
      <c r="D1787" s="1" t="s">
        <v>38</v>
      </c>
      <c r="E1787" s="26" t="s">
        <v>39</v>
      </c>
      <c r="F1787" s="27">
        <v>0.81300813008130079</v>
      </c>
      <c r="G1787" s="33">
        <v>1</v>
      </c>
      <c r="R1787" s="55" t="s">
        <v>161</v>
      </c>
      <c r="S1787" s="26" t="s">
        <v>38</v>
      </c>
      <c r="T1787" s="26" t="s">
        <v>39</v>
      </c>
      <c r="U1787" s="27">
        <v>0.83333333333333337</v>
      </c>
      <c r="V1787" s="33">
        <v>1</v>
      </c>
      <c r="AG1787" s="31">
        <v>0</v>
      </c>
      <c r="AH1787" t="s">
        <v>44</v>
      </c>
    </row>
    <row r="1788" spans="1:34">
      <c r="A1788" s="15" t="s">
        <v>1867</v>
      </c>
      <c r="B1788" s="8" t="s">
        <v>1825</v>
      </c>
      <c r="C1788" s="41" t="s">
        <v>160</v>
      </c>
      <c r="D1788" s="1" t="s">
        <v>38</v>
      </c>
      <c r="E1788" s="26" t="s">
        <v>39</v>
      </c>
      <c r="F1788" s="27">
        <v>0.81300813008130079</v>
      </c>
      <c r="G1788" s="33">
        <v>1</v>
      </c>
      <c r="R1788" s="55" t="s">
        <v>161</v>
      </c>
      <c r="S1788" s="26" t="s">
        <v>38</v>
      </c>
      <c r="T1788" s="26" t="s">
        <v>39</v>
      </c>
      <c r="U1788" s="27">
        <v>0.83333333333333337</v>
      </c>
      <c r="V1788" s="33">
        <v>1</v>
      </c>
      <c r="AG1788" s="31">
        <v>0</v>
      </c>
      <c r="AH1788" t="s">
        <v>44</v>
      </c>
    </row>
    <row r="1789" spans="1:34">
      <c r="A1789" s="15" t="s">
        <v>1868</v>
      </c>
      <c r="B1789" s="8" t="s">
        <v>1825</v>
      </c>
      <c r="C1789" s="41" t="s">
        <v>160</v>
      </c>
      <c r="D1789" s="1" t="s">
        <v>38</v>
      </c>
      <c r="E1789" s="26" t="s">
        <v>39</v>
      </c>
      <c r="F1789" s="27">
        <v>0.81300813008130079</v>
      </c>
      <c r="G1789" s="33">
        <v>1</v>
      </c>
      <c r="R1789" s="55" t="s">
        <v>161</v>
      </c>
      <c r="S1789" s="26" t="s">
        <v>38</v>
      </c>
      <c r="T1789" s="26" t="s">
        <v>39</v>
      </c>
      <c r="U1789" s="27">
        <v>0.83333333333333337</v>
      </c>
      <c r="V1789" s="33">
        <v>1</v>
      </c>
      <c r="AG1789" s="31">
        <v>0</v>
      </c>
      <c r="AH1789" t="s">
        <v>44</v>
      </c>
    </row>
    <row r="1790" spans="1:34">
      <c r="A1790" s="15" t="s">
        <v>1869</v>
      </c>
      <c r="B1790" s="8" t="s">
        <v>1825</v>
      </c>
      <c r="C1790" s="41" t="s">
        <v>160</v>
      </c>
      <c r="D1790" s="1" t="s">
        <v>38</v>
      </c>
      <c r="E1790" s="26" t="s">
        <v>39</v>
      </c>
      <c r="F1790" s="27">
        <v>0.81300813008130079</v>
      </c>
      <c r="G1790" s="33">
        <v>1</v>
      </c>
      <c r="R1790" s="55" t="s">
        <v>161</v>
      </c>
      <c r="S1790" s="26" t="s">
        <v>38</v>
      </c>
      <c r="T1790" s="26" t="s">
        <v>39</v>
      </c>
      <c r="U1790" s="27">
        <v>0.83333333333333337</v>
      </c>
      <c r="V1790" s="33">
        <v>1</v>
      </c>
      <c r="AG1790" s="31">
        <v>0</v>
      </c>
      <c r="AH1790" t="s">
        <v>44</v>
      </c>
    </row>
    <row r="1791" spans="1:34">
      <c r="A1791" s="15" t="s">
        <v>1870</v>
      </c>
      <c r="B1791" s="8" t="s">
        <v>1825</v>
      </c>
      <c r="C1791" s="41" t="s">
        <v>160</v>
      </c>
      <c r="D1791" s="1" t="s">
        <v>38</v>
      </c>
      <c r="E1791" s="26" t="s">
        <v>39</v>
      </c>
      <c r="F1791" s="27">
        <v>0.81300813008130079</v>
      </c>
      <c r="G1791" s="33">
        <v>1</v>
      </c>
      <c r="R1791" s="55" t="s">
        <v>161</v>
      </c>
      <c r="S1791" s="26" t="s">
        <v>38</v>
      </c>
      <c r="T1791" s="26" t="s">
        <v>39</v>
      </c>
      <c r="U1791" s="27">
        <v>0.83333333333333337</v>
      </c>
      <c r="V1791" s="33">
        <v>1</v>
      </c>
      <c r="AG1791" s="31">
        <v>0</v>
      </c>
      <c r="AH1791" t="s">
        <v>44</v>
      </c>
    </row>
    <row r="1792" spans="1:34">
      <c r="A1792" s="15" t="s">
        <v>1871</v>
      </c>
      <c r="B1792" s="8" t="s">
        <v>1825</v>
      </c>
      <c r="C1792" s="41" t="s">
        <v>160</v>
      </c>
      <c r="D1792" s="1" t="s">
        <v>38</v>
      </c>
      <c r="E1792" s="26" t="s">
        <v>39</v>
      </c>
      <c r="F1792" s="27">
        <v>0.81300813008130079</v>
      </c>
      <c r="G1792" s="33">
        <v>1</v>
      </c>
      <c r="R1792" s="55" t="s">
        <v>161</v>
      </c>
      <c r="S1792" s="26" t="s">
        <v>38</v>
      </c>
      <c r="T1792" s="26" t="s">
        <v>39</v>
      </c>
      <c r="U1792" s="27">
        <v>0.83333333333333337</v>
      </c>
      <c r="V1792" s="33">
        <v>1</v>
      </c>
      <c r="AG1792" s="31">
        <v>0</v>
      </c>
      <c r="AH1792" t="s">
        <v>44</v>
      </c>
    </row>
    <row r="1793" spans="1:34">
      <c r="A1793" s="15" t="s">
        <v>1872</v>
      </c>
      <c r="B1793" s="8" t="s">
        <v>1825</v>
      </c>
      <c r="C1793" s="41" t="s">
        <v>160</v>
      </c>
      <c r="D1793" s="1" t="s">
        <v>38</v>
      </c>
      <c r="E1793" s="26" t="s">
        <v>39</v>
      </c>
      <c r="F1793" s="27">
        <v>0.81300813008130079</v>
      </c>
      <c r="G1793" s="33">
        <v>1</v>
      </c>
      <c r="R1793" s="55" t="s">
        <v>161</v>
      </c>
      <c r="S1793" s="26" t="s">
        <v>38</v>
      </c>
      <c r="T1793" s="26" t="s">
        <v>39</v>
      </c>
      <c r="U1793" s="27">
        <v>0.83333333333333337</v>
      </c>
      <c r="V1793" s="33">
        <v>1</v>
      </c>
      <c r="AG1793" s="31">
        <v>0</v>
      </c>
      <c r="AH1793" t="s">
        <v>44</v>
      </c>
    </row>
    <row r="1794" spans="1:34">
      <c r="A1794" s="15" t="s">
        <v>1873</v>
      </c>
      <c r="B1794" s="8" t="s">
        <v>1825</v>
      </c>
      <c r="C1794" s="41" t="s">
        <v>160</v>
      </c>
      <c r="D1794" s="1" t="s">
        <v>38</v>
      </c>
      <c r="E1794" s="26" t="s">
        <v>39</v>
      </c>
      <c r="F1794" s="27">
        <v>0.81300813008130079</v>
      </c>
      <c r="G1794" s="33">
        <v>1</v>
      </c>
      <c r="R1794" s="55" t="s">
        <v>161</v>
      </c>
      <c r="S1794" s="26" t="s">
        <v>38</v>
      </c>
      <c r="T1794" s="26" t="s">
        <v>39</v>
      </c>
      <c r="U1794" s="27">
        <v>0.83333333333333337</v>
      </c>
      <c r="V1794" s="33">
        <v>1</v>
      </c>
      <c r="AG1794" s="31">
        <v>0</v>
      </c>
      <c r="AH1794" t="s">
        <v>44</v>
      </c>
    </row>
    <row r="1795" spans="1:34" s="10" customFormat="1" ht="16">
      <c r="A1795" s="17" t="s">
        <v>1874</v>
      </c>
      <c r="B1795" s="11"/>
      <c r="C1795" s="25"/>
      <c r="E1795" s="25"/>
      <c r="F1795" s="25"/>
      <c r="G1795" s="32"/>
      <c r="H1795" s="25"/>
      <c r="I1795" s="25"/>
      <c r="J1795" s="25"/>
      <c r="K1795" s="51"/>
      <c r="L1795" s="25"/>
      <c r="M1795" s="68"/>
      <c r="N1795" s="25"/>
      <c r="O1795" s="25"/>
      <c r="P1795" s="51"/>
      <c r="Q1795" s="35"/>
      <c r="R1795" s="25"/>
      <c r="S1795" s="25"/>
      <c r="T1795" s="25"/>
      <c r="U1795" s="51"/>
      <c r="V1795" s="32"/>
      <c r="W1795" s="25"/>
      <c r="X1795" s="25"/>
      <c r="Y1795" s="25"/>
      <c r="Z1795" s="51"/>
      <c r="AA1795" s="25"/>
      <c r="AB1795" s="68"/>
      <c r="AC1795" s="25"/>
      <c r="AD1795" s="25"/>
      <c r="AE1795" s="25"/>
      <c r="AF1795" s="35"/>
      <c r="AG1795" s="25"/>
    </row>
    <row r="1796" spans="1:34" s="40" customFormat="1" ht="78">
      <c r="A1796" s="7" t="s">
        <v>1</v>
      </c>
      <c r="B1796" s="2" t="s">
        <v>2</v>
      </c>
      <c r="C1796" s="3" t="s">
        <v>3</v>
      </c>
      <c r="D1796" s="3" t="s">
        <v>4</v>
      </c>
      <c r="E1796" s="3" t="s">
        <v>5</v>
      </c>
      <c r="F1796" s="3" t="s">
        <v>6</v>
      </c>
      <c r="G1796" s="4" t="s">
        <v>7</v>
      </c>
      <c r="H1796" s="3" t="s">
        <v>8</v>
      </c>
      <c r="I1796" s="3" t="s">
        <v>9</v>
      </c>
      <c r="J1796" s="3" t="s">
        <v>10</v>
      </c>
      <c r="K1796" s="52" t="s">
        <v>11</v>
      </c>
      <c r="L1796" s="3" t="s">
        <v>12</v>
      </c>
      <c r="M1796" s="3" t="s">
        <v>13</v>
      </c>
      <c r="N1796" s="3" t="s">
        <v>14</v>
      </c>
      <c r="O1796" s="3" t="s">
        <v>15</v>
      </c>
      <c r="P1796" s="52" t="s">
        <v>16</v>
      </c>
      <c r="Q1796" s="3" t="s">
        <v>17</v>
      </c>
      <c r="R1796" s="76" t="s">
        <v>18</v>
      </c>
      <c r="S1796" s="3" t="s">
        <v>19</v>
      </c>
      <c r="T1796" s="3" t="s">
        <v>20</v>
      </c>
      <c r="U1796" s="52" t="s">
        <v>21</v>
      </c>
      <c r="V1796" s="4" t="s">
        <v>22</v>
      </c>
      <c r="W1796" s="3" t="s">
        <v>23</v>
      </c>
      <c r="X1796" s="3" t="s">
        <v>24</v>
      </c>
      <c r="Y1796" s="3" t="s">
        <v>25</v>
      </c>
      <c r="Z1796" s="52" t="s">
        <v>26</v>
      </c>
      <c r="AA1796" s="3" t="s">
        <v>27</v>
      </c>
      <c r="AB1796" s="69" t="s">
        <v>28</v>
      </c>
      <c r="AC1796" s="3" t="s">
        <v>29</v>
      </c>
      <c r="AD1796" s="3" t="s">
        <v>30</v>
      </c>
      <c r="AE1796" s="3" t="s">
        <v>31</v>
      </c>
      <c r="AF1796" s="5" t="s">
        <v>32</v>
      </c>
      <c r="AG1796" s="3" t="s">
        <v>1875</v>
      </c>
      <c r="AH1796" s="56" t="s">
        <v>1876</v>
      </c>
    </row>
    <row r="1797" spans="1:34">
      <c r="A1797" s="13" t="s">
        <v>1877</v>
      </c>
      <c r="B1797" s="12" t="s">
        <v>36</v>
      </c>
      <c r="C1797" s="43" t="s">
        <v>1878</v>
      </c>
      <c r="D1797" t="s">
        <v>38</v>
      </c>
      <c r="E1797" s="30" t="s">
        <v>1879</v>
      </c>
      <c r="F1797" s="31">
        <v>0.81300813008130079</v>
      </c>
      <c r="G1797" s="82">
        <v>1</v>
      </c>
      <c r="L1797" s="82"/>
      <c r="Q1797" s="84"/>
      <c r="R1797" s="26" t="s">
        <v>161</v>
      </c>
      <c r="S1797" s="26" t="s">
        <v>38</v>
      </c>
      <c r="T1797" s="26" t="s">
        <v>39</v>
      </c>
      <c r="U1797" s="27">
        <v>0.83333333333333337</v>
      </c>
      <c r="V1797" s="33">
        <v>1</v>
      </c>
      <c r="AA1797" s="82"/>
      <c r="AF1797" s="84"/>
      <c r="AG1797" s="31">
        <v>0</v>
      </c>
      <c r="AH1797" t="s">
        <v>44</v>
      </c>
    </row>
    <row r="1798" spans="1:34">
      <c r="A1798" s="13" t="s">
        <v>1880</v>
      </c>
      <c r="B1798" s="12" t="s">
        <v>36</v>
      </c>
      <c r="C1798" s="43" t="s">
        <v>1878</v>
      </c>
      <c r="D1798" t="s">
        <v>38</v>
      </c>
      <c r="E1798" s="30" t="s">
        <v>1879</v>
      </c>
      <c r="F1798" s="31">
        <v>0.81300813008130079</v>
      </c>
      <c r="G1798" s="82">
        <v>1</v>
      </c>
      <c r="L1798" s="82"/>
      <c r="Q1798" s="84"/>
      <c r="R1798" s="26" t="s">
        <v>161</v>
      </c>
      <c r="S1798" s="26" t="s">
        <v>38</v>
      </c>
      <c r="T1798" s="26" t="s">
        <v>39</v>
      </c>
      <c r="U1798" s="27">
        <v>0.83333333333333337</v>
      </c>
      <c r="V1798" s="33">
        <v>1</v>
      </c>
      <c r="AA1798" s="82"/>
      <c r="AF1798" s="84"/>
      <c r="AG1798" s="31">
        <v>0</v>
      </c>
      <c r="AH1798" t="s">
        <v>44</v>
      </c>
    </row>
    <row r="1799" spans="1:34">
      <c r="A1799" s="13" t="s">
        <v>1881</v>
      </c>
      <c r="B1799" s="12" t="s">
        <v>36</v>
      </c>
      <c r="C1799" s="43" t="s">
        <v>1878</v>
      </c>
      <c r="D1799" t="s">
        <v>38</v>
      </c>
      <c r="E1799" s="30" t="s">
        <v>1879</v>
      </c>
      <c r="F1799" s="31">
        <v>0.81300813008130079</v>
      </c>
      <c r="G1799" s="82">
        <v>1</v>
      </c>
      <c r="L1799" s="82"/>
      <c r="Q1799" s="84"/>
      <c r="R1799" s="26" t="s">
        <v>161</v>
      </c>
      <c r="S1799" s="26" t="s">
        <v>38</v>
      </c>
      <c r="T1799" s="26" t="s">
        <v>39</v>
      </c>
      <c r="U1799" s="27">
        <v>0.83333333333333337</v>
      </c>
      <c r="V1799" s="33">
        <v>1</v>
      </c>
      <c r="AA1799" s="82"/>
      <c r="AF1799" s="84"/>
      <c r="AG1799" s="31">
        <v>0</v>
      </c>
      <c r="AH1799" t="s">
        <v>44</v>
      </c>
    </row>
    <row r="1800" spans="1:34">
      <c r="A1800" s="13" t="s">
        <v>1882</v>
      </c>
      <c r="B1800" s="12" t="s">
        <v>36</v>
      </c>
      <c r="C1800" s="43" t="s">
        <v>1878</v>
      </c>
      <c r="D1800" t="s">
        <v>38</v>
      </c>
      <c r="E1800" s="30" t="s">
        <v>1879</v>
      </c>
      <c r="F1800" s="31">
        <v>0.81300813008130079</v>
      </c>
      <c r="G1800" s="82">
        <v>1</v>
      </c>
      <c r="L1800" s="82"/>
      <c r="Q1800" s="84"/>
      <c r="R1800" s="26" t="s">
        <v>161</v>
      </c>
      <c r="S1800" s="26" t="s">
        <v>38</v>
      </c>
      <c r="T1800" s="26" t="s">
        <v>39</v>
      </c>
      <c r="U1800" s="27">
        <v>0.83333333333333337</v>
      </c>
      <c r="V1800" s="33">
        <v>1</v>
      </c>
      <c r="AA1800" s="82"/>
      <c r="AF1800" s="84"/>
      <c r="AG1800" s="31">
        <v>0</v>
      </c>
      <c r="AH1800" t="s">
        <v>44</v>
      </c>
    </row>
    <row r="1801" spans="1:34">
      <c r="A1801" s="13" t="s">
        <v>1883</v>
      </c>
      <c r="B1801" s="12" t="s">
        <v>36</v>
      </c>
      <c r="C1801" s="43" t="s">
        <v>1878</v>
      </c>
      <c r="D1801" t="s">
        <v>38</v>
      </c>
      <c r="E1801" s="30" t="s">
        <v>1879</v>
      </c>
      <c r="F1801" s="31">
        <v>0.81300813008130079</v>
      </c>
      <c r="G1801" s="82">
        <v>1</v>
      </c>
      <c r="L1801" s="82"/>
      <c r="Q1801" s="84"/>
      <c r="R1801" s="26" t="s">
        <v>161</v>
      </c>
      <c r="S1801" s="26" t="s">
        <v>38</v>
      </c>
      <c r="T1801" s="26" t="s">
        <v>39</v>
      </c>
      <c r="U1801" s="27">
        <v>0.83333333333333337</v>
      </c>
      <c r="V1801" s="33">
        <v>1</v>
      </c>
      <c r="AA1801" s="82"/>
      <c r="AF1801" s="84"/>
      <c r="AG1801" s="31">
        <v>0</v>
      </c>
      <c r="AH1801" t="s">
        <v>44</v>
      </c>
    </row>
    <row r="1802" spans="1:34">
      <c r="A1802" s="13" t="s">
        <v>1884</v>
      </c>
      <c r="B1802" s="12" t="s">
        <v>36</v>
      </c>
      <c r="C1802" s="43" t="s">
        <v>1885</v>
      </c>
      <c r="D1802" t="s">
        <v>38</v>
      </c>
      <c r="E1802" s="30" t="s">
        <v>1879</v>
      </c>
      <c r="F1802" s="31">
        <v>0.89285714285714279</v>
      </c>
      <c r="G1802" s="82">
        <v>1</v>
      </c>
      <c r="L1802" s="82"/>
      <c r="Q1802" s="84"/>
      <c r="R1802" s="26" t="s">
        <v>161</v>
      </c>
      <c r="S1802" s="26" t="s">
        <v>38</v>
      </c>
      <c r="T1802" s="26" t="s">
        <v>39</v>
      </c>
      <c r="U1802" s="27">
        <v>0.83333333333333337</v>
      </c>
      <c r="V1802" s="33">
        <v>0.75</v>
      </c>
      <c r="W1802" s="26" t="s">
        <v>43</v>
      </c>
      <c r="X1802" s="26" t="s">
        <v>38</v>
      </c>
      <c r="Y1802" s="26" t="s">
        <v>39</v>
      </c>
      <c r="Z1802" s="27">
        <v>0.84745762711864414</v>
      </c>
      <c r="AA1802" s="33">
        <v>0.25</v>
      </c>
      <c r="AF1802" s="84"/>
      <c r="AG1802" s="31">
        <v>0</v>
      </c>
      <c r="AH1802" t="s">
        <v>44</v>
      </c>
    </row>
    <row r="1803" spans="1:34">
      <c r="A1803" s="13" t="s">
        <v>1886</v>
      </c>
      <c r="B1803" s="12" t="s">
        <v>36</v>
      </c>
      <c r="C1803" s="43" t="s">
        <v>1885</v>
      </c>
      <c r="D1803" t="s">
        <v>38</v>
      </c>
      <c r="E1803" s="30" t="s">
        <v>1879</v>
      </c>
      <c r="F1803" s="31">
        <v>0.89285714285714279</v>
      </c>
      <c r="G1803" s="82">
        <v>1</v>
      </c>
      <c r="L1803" s="82"/>
      <c r="Q1803" s="84"/>
      <c r="R1803" s="26" t="s">
        <v>161</v>
      </c>
      <c r="S1803" s="26" t="s">
        <v>38</v>
      </c>
      <c r="T1803" s="26" t="s">
        <v>39</v>
      </c>
      <c r="U1803" s="27">
        <v>0.83333333333333337</v>
      </c>
      <c r="V1803" s="33">
        <v>0.75</v>
      </c>
      <c r="W1803" s="26" t="s">
        <v>43</v>
      </c>
      <c r="X1803" s="26" t="s">
        <v>38</v>
      </c>
      <c r="Y1803" s="26" t="s">
        <v>39</v>
      </c>
      <c r="Z1803" s="27">
        <v>0.84745762711864414</v>
      </c>
      <c r="AA1803" s="33">
        <v>0.25</v>
      </c>
      <c r="AF1803" s="84"/>
      <c r="AG1803" s="31">
        <v>0</v>
      </c>
      <c r="AH1803" t="s">
        <v>44</v>
      </c>
    </row>
    <row r="1804" spans="1:34">
      <c r="A1804" s="13" t="s">
        <v>1887</v>
      </c>
      <c r="B1804" s="12" t="s">
        <v>36</v>
      </c>
      <c r="C1804" s="43" t="s">
        <v>1885</v>
      </c>
      <c r="D1804" t="s">
        <v>38</v>
      </c>
      <c r="E1804" s="30" t="s">
        <v>1879</v>
      </c>
      <c r="F1804" s="31">
        <v>0.89285714285714279</v>
      </c>
      <c r="G1804" s="82">
        <v>1</v>
      </c>
      <c r="L1804" s="82"/>
      <c r="Q1804" s="84"/>
      <c r="R1804" s="26" t="s">
        <v>43</v>
      </c>
      <c r="S1804" s="26" t="s">
        <v>38</v>
      </c>
      <c r="T1804" s="26" t="s">
        <v>39</v>
      </c>
      <c r="U1804" s="27">
        <v>0.84745762711864414</v>
      </c>
      <c r="V1804" s="33">
        <v>0.5</v>
      </c>
      <c r="W1804" s="26" t="s">
        <v>161</v>
      </c>
      <c r="X1804" s="26" t="s">
        <v>38</v>
      </c>
      <c r="Y1804" s="26" t="s">
        <v>39</v>
      </c>
      <c r="Z1804" s="27">
        <v>0.83333333333333337</v>
      </c>
      <c r="AA1804" s="33">
        <v>0.5</v>
      </c>
      <c r="AF1804" s="84"/>
      <c r="AG1804" s="31">
        <v>0</v>
      </c>
      <c r="AH1804" t="s">
        <v>44</v>
      </c>
    </row>
    <row r="1805" spans="1:34">
      <c r="A1805" s="13" t="s">
        <v>1888</v>
      </c>
      <c r="B1805" s="12" t="s">
        <v>36</v>
      </c>
      <c r="C1805" s="43" t="s">
        <v>161</v>
      </c>
      <c r="D1805" t="s">
        <v>38</v>
      </c>
      <c r="E1805" s="30" t="s">
        <v>39</v>
      </c>
      <c r="F1805" s="31">
        <v>0.81300813008130079</v>
      </c>
      <c r="G1805" s="82">
        <v>1</v>
      </c>
      <c r="L1805" s="82"/>
      <c r="Q1805" s="84"/>
      <c r="R1805" s="26" t="s">
        <v>161</v>
      </c>
      <c r="S1805" s="26" t="s">
        <v>38</v>
      </c>
      <c r="T1805" s="26" t="s">
        <v>39</v>
      </c>
      <c r="U1805" s="27">
        <v>0.83333333333333337</v>
      </c>
      <c r="V1805" s="33">
        <v>1</v>
      </c>
      <c r="AA1805" s="82"/>
      <c r="AF1805" s="84"/>
      <c r="AG1805" s="31">
        <v>0</v>
      </c>
      <c r="AH1805" t="s">
        <v>44</v>
      </c>
    </row>
    <row r="1806" spans="1:34">
      <c r="A1806" s="13" t="s">
        <v>1889</v>
      </c>
      <c r="B1806" s="12" t="s">
        <v>36</v>
      </c>
      <c r="C1806" s="43" t="s">
        <v>161</v>
      </c>
      <c r="D1806" t="s">
        <v>38</v>
      </c>
      <c r="E1806" s="30" t="s">
        <v>39</v>
      </c>
      <c r="F1806" s="31">
        <v>0.81300813008130079</v>
      </c>
      <c r="G1806" s="82">
        <v>1</v>
      </c>
      <c r="L1806" s="82"/>
      <c r="Q1806" s="84"/>
      <c r="R1806" s="26" t="s">
        <v>161</v>
      </c>
      <c r="S1806" s="26" t="s">
        <v>38</v>
      </c>
      <c r="T1806" s="26" t="s">
        <v>39</v>
      </c>
      <c r="U1806" s="27">
        <v>0.83333333333333337</v>
      </c>
      <c r="V1806" s="33">
        <v>1</v>
      </c>
      <c r="AA1806" s="82"/>
      <c r="AF1806" s="84"/>
      <c r="AG1806" s="31">
        <v>0</v>
      </c>
      <c r="AH1806" t="s">
        <v>44</v>
      </c>
    </row>
    <row r="1807" spans="1:34">
      <c r="A1807" s="13" t="s">
        <v>1890</v>
      </c>
      <c r="B1807" s="12" t="s">
        <v>36</v>
      </c>
      <c r="C1807" s="43" t="s">
        <v>1878</v>
      </c>
      <c r="D1807" t="s">
        <v>38</v>
      </c>
      <c r="E1807" s="30" t="s">
        <v>1879</v>
      </c>
      <c r="F1807" s="31">
        <v>0.81300813008130079</v>
      </c>
      <c r="G1807" s="82">
        <v>1</v>
      </c>
      <c r="L1807" s="82"/>
      <c r="Q1807" s="84"/>
      <c r="R1807" s="26" t="s">
        <v>161</v>
      </c>
      <c r="S1807" s="26" t="s">
        <v>38</v>
      </c>
      <c r="T1807" s="26" t="s">
        <v>39</v>
      </c>
      <c r="U1807" s="27">
        <v>0.83333333333333337</v>
      </c>
      <c r="V1807" s="33">
        <v>1</v>
      </c>
      <c r="AA1807" s="82"/>
      <c r="AF1807" s="84"/>
      <c r="AG1807" s="31">
        <v>0</v>
      </c>
      <c r="AH1807" t="s">
        <v>44</v>
      </c>
    </row>
    <row r="1808" spans="1:34">
      <c r="A1808" s="13" t="s">
        <v>1891</v>
      </c>
      <c r="B1808" s="12" t="s">
        <v>36</v>
      </c>
      <c r="C1808" s="43" t="s">
        <v>1878</v>
      </c>
      <c r="D1808" t="s">
        <v>38</v>
      </c>
      <c r="E1808" s="30" t="s">
        <v>1879</v>
      </c>
      <c r="F1808" s="31">
        <v>0.81300813008130079</v>
      </c>
      <c r="G1808" s="82">
        <v>1</v>
      </c>
      <c r="L1808" s="82"/>
      <c r="Q1808" s="84"/>
      <c r="R1808" s="26" t="s">
        <v>161</v>
      </c>
      <c r="S1808" s="26" t="s">
        <v>38</v>
      </c>
      <c r="T1808" s="26" t="s">
        <v>39</v>
      </c>
      <c r="U1808" s="27">
        <v>0.83333333333333337</v>
      </c>
      <c r="V1808" s="33">
        <v>1</v>
      </c>
      <c r="AA1808" s="82"/>
      <c r="AF1808" s="84"/>
      <c r="AG1808" s="31">
        <v>0</v>
      </c>
      <c r="AH1808" t="s">
        <v>44</v>
      </c>
    </row>
    <row r="1809" spans="1:34">
      <c r="A1809" s="13" t="s">
        <v>1892</v>
      </c>
      <c r="B1809" s="12" t="s">
        <v>36</v>
      </c>
      <c r="C1809" s="43" t="s">
        <v>1878</v>
      </c>
      <c r="D1809" t="s">
        <v>38</v>
      </c>
      <c r="E1809" s="30" t="s">
        <v>1879</v>
      </c>
      <c r="F1809" s="31">
        <v>0.81300813008130079</v>
      </c>
      <c r="G1809" s="82">
        <v>1</v>
      </c>
      <c r="L1809" s="82"/>
      <c r="Q1809" s="84"/>
      <c r="R1809" s="26" t="s">
        <v>161</v>
      </c>
      <c r="S1809" s="26" t="s">
        <v>38</v>
      </c>
      <c r="T1809" s="26" t="s">
        <v>39</v>
      </c>
      <c r="U1809" s="27">
        <v>0.83333333333333337</v>
      </c>
      <c r="V1809" s="33">
        <v>1</v>
      </c>
      <c r="AA1809" s="82"/>
      <c r="AF1809" s="84"/>
      <c r="AG1809" s="31">
        <v>0</v>
      </c>
      <c r="AH1809" t="s">
        <v>44</v>
      </c>
    </row>
    <row r="1810" spans="1:34">
      <c r="A1810" s="13" t="s">
        <v>1893</v>
      </c>
      <c r="B1810" s="12" t="s">
        <v>36</v>
      </c>
      <c r="C1810" s="43" t="s">
        <v>1885</v>
      </c>
      <c r="D1810" t="s">
        <v>38</v>
      </c>
      <c r="E1810" s="30" t="s">
        <v>1879</v>
      </c>
      <c r="F1810" s="31">
        <v>0.89285714285714279</v>
      </c>
      <c r="G1810" s="82">
        <v>1</v>
      </c>
      <c r="L1810" s="82"/>
      <c r="Q1810" s="84"/>
      <c r="R1810" s="26" t="s">
        <v>161</v>
      </c>
      <c r="S1810" s="26" t="s">
        <v>38</v>
      </c>
      <c r="T1810" s="26" t="s">
        <v>39</v>
      </c>
      <c r="U1810" s="27">
        <v>0.83333333333333337</v>
      </c>
      <c r="V1810" s="33">
        <v>0.75</v>
      </c>
      <c r="W1810" s="26" t="s">
        <v>43</v>
      </c>
      <c r="X1810" s="26" t="s">
        <v>38</v>
      </c>
      <c r="Y1810" s="26" t="s">
        <v>39</v>
      </c>
      <c r="Z1810" s="27">
        <v>0.84745762711864414</v>
      </c>
      <c r="AA1810" s="33">
        <v>0.25</v>
      </c>
      <c r="AF1810" s="84"/>
      <c r="AG1810" s="31">
        <v>0</v>
      </c>
      <c r="AH1810" t="s">
        <v>44</v>
      </c>
    </row>
    <row r="1811" spans="1:34">
      <c r="A1811" s="13" t="s">
        <v>1894</v>
      </c>
      <c r="B1811" s="12" t="s">
        <v>36</v>
      </c>
      <c r="C1811" s="43" t="s">
        <v>1885</v>
      </c>
      <c r="D1811" t="s">
        <v>38</v>
      </c>
      <c r="E1811" s="30" t="s">
        <v>1879</v>
      </c>
      <c r="F1811" s="31">
        <v>0.89285714285714279</v>
      </c>
      <c r="G1811" s="82">
        <v>1</v>
      </c>
      <c r="L1811" s="82"/>
      <c r="Q1811" s="84"/>
      <c r="R1811" s="26" t="s">
        <v>161</v>
      </c>
      <c r="S1811" s="26" t="s">
        <v>38</v>
      </c>
      <c r="T1811" s="26" t="s">
        <v>39</v>
      </c>
      <c r="U1811" s="27">
        <v>0.83333333333333337</v>
      </c>
      <c r="V1811" s="33">
        <v>0.75</v>
      </c>
      <c r="W1811" s="26" t="s">
        <v>43</v>
      </c>
      <c r="X1811" s="26" t="s">
        <v>38</v>
      </c>
      <c r="Y1811" s="26" t="s">
        <v>39</v>
      </c>
      <c r="Z1811" s="27">
        <v>0.84745762711864414</v>
      </c>
      <c r="AA1811" s="33">
        <v>0.25</v>
      </c>
      <c r="AF1811" s="84"/>
      <c r="AG1811" s="31">
        <v>0</v>
      </c>
      <c r="AH1811" t="s">
        <v>44</v>
      </c>
    </row>
    <row r="1812" spans="1:34">
      <c r="A1812" s="13" t="s">
        <v>1895</v>
      </c>
      <c r="B1812" s="12" t="s">
        <v>36</v>
      </c>
      <c r="C1812" s="43" t="s">
        <v>1885</v>
      </c>
      <c r="D1812" t="s">
        <v>38</v>
      </c>
      <c r="E1812" s="30" t="s">
        <v>1879</v>
      </c>
      <c r="F1812" s="31">
        <v>0.89285714285714279</v>
      </c>
      <c r="G1812" s="82">
        <v>1</v>
      </c>
      <c r="L1812" s="82"/>
      <c r="Q1812" s="84"/>
      <c r="R1812" s="26" t="s">
        <v>43</v>
      </c>
      <c r="S1812" s="26" t="s">
        <v>38</v>
      </c>
      <c r="T1812" s="26" t="s">
        <v>39</v>
      </c>
      <c r="U1812" s="27">
        <v>0.84745762711864414</v>
      </c>
      <c r="V1812" s="33">
        <v>0.5</v>
      </c>
      <c r="W1812" s="26" t="s">
        <v>161</v>
      </c>
      <c r="X1812" s="26" t="s">
        <v>38</v>
      </c>
      <c r="Y1812" s="26" t="s">
        <v>39</v>
      </c>
      <c r="Z1812" s="27">
        <v>0.83333333333333337</v>
      </c>
      <c r="AA1812" s="33">
        <v>0.5</v>
      </c>
      <c r="AF1812" s="84"/>
      <c r="AG1812" s="31">
        <v>0</v>
      </c>
      <c r="AH1812" t="s">
        <v>44</v>
      </c>
    </row>
    <row r="1813" spans="1:34">
      <c r="A1813" s="13" t="s">
        <v>1896</v>
      </c>
      <c r="B1813" s="12" t="s">
        <v>36</v>
      </c>
      <c r="C1813" s="43" t="s">
        <v>1878</v>
      </c>
      <c r="D1813" t="s">
        <v>38</v>
      </c>
      <c r="E1813" s="30" t="s">
        <v>1879</v>
      </c>
      <c r="F1813" s="31">
        <v>0.81300813008130079</v>
      </c>
      <c r="G1813" s="82">
        <v>0.5</v>
      </c>
      <c r="H1813" s="43" t="s">
        <v>161</v>
      </c>
      <c r="I1813" t="s">
        <v>38</v>
      </c>
      <c r="J1813" s="30" t="s">
        <v>39</v>
      </c>
      <c r="K1813" s="31">
        <v>0.81300813008130079</v>
      </c>
      <c r="L1813" s="82">
        <v>0.5</v>
      </c>
      <c r="Q1813" s="84"/>
      <c r="R1813" s="26" t="s">
        <v>161</v>
      </c>
      <c r="S1813" s="26" t="s">
        <v>38</v>
      </c>
      <c r="T1813" s="26" t="s">
        <v>39</v>
      </c>
      <c r="U1813" s="27">
        <v>0.83333333333333337</v>
      </c>
      <c r="V1813" s="33">
        <v>1</v>
      </c>
      <c r="AA1813" s="82"/>
      <c r="AF1813" s="84"/>
      <c r="AG1813" s="31">
        <v>0</v>
      </c>
      <c r="AH1813" t="s">
        <v>44</v>
      </c>
    </row>
    <row r="1814" spans="1:34">
      <c r="A1814" s="13" t="s">
        <v>1897</v>
      </c>
      <c r="B1814" s="12" t="s">
        <v>36</v>
      </c>
      <c r="C1814" s="43" t="s">
        <v>1878</v>
      </c>
      <c r="D1814" t="s">
        <v>38</v>
      </c>
      <c r="E1814" s="30" t="s">
        <v>1879</v>
      </c>
      <c r="F1814" s="31">
        <v>0.81300813008130079</v>
      </c>
      <c r="G1814" s="82">
        <v>0.5</v>
      </c>
      <c r="H1814" s="43" t="s">
        <v>161</v>
      </c>
      <c r="I1814" t="s">
        <v>38</v>
      </c>
      <c r="J1814" s="30" t="s">
        <v>39</v>
      </c>
      <c r="K1814" s="31">
        <v>0.81300813008130079</v>
      </c>
      <c r="L1814" s="82">
        <v>0.5</v>
      </c>
      <c r="Q1814" s="84"/>
      <c r="R1814" s="26" t="s">
        <v>161</v>
      </c>
      <c r="S1814" s="26" t="s">
        <v>38</v>
      </c>
      <c r="T1814" s="26" t="s">
        <v>39</v>
      </c>
      <c r="U1814" s="27">
        <v>0.83333333333333337</v>
      </c>
      <c r="V1814" s="33">
        <v>1</v>
      </c>
      <c r="AA1814" s="82"/>
      <c r="AF1814" s="84"/>
      <c r="AG1814" s="31">
        <v>0</v>
      </c>
      <c r="AH1814" t="s">
        <v>44</v>
      </c>
    </row>
    <row r="1815" spans="1:34">
      <c r="A1815" s="13" t="s">
        <v>1898</v>
      </c>
      <c r="B1815" s="12" t="s">
        <v>36</v>
      </c>
      <c r="C1815" s="43" t="s">
        <v>1878</v>
      </c>
      <c r="D1815" t="s">
        <v>38</v>
      </c>
      <c r="E1815" s="30" t="s">
        <v>1879</v>
      </c>
      <c r="F1815" s="31">
        <v>0.81300813008130079</v>
      </c>
      <c r="G1815" s="82">
        <v>0.5</v>
      </c>
      <c r="H1815" s="43" t="s">
        <v>161</v>
      </c>
      <c r="I1815" t="s">
        <v>38</v>
      </c>
      <c r="J1815" s="30" t="s">
        <v>39</v>
      </c>
      <c r="K1815" s="31">
        <v>0.81300813008130079</v>
      </c>
      <c r="L1815" s="82">
        <v>0.5</v>
      </c>
      <c r="Q1815" s="84"/>
      <c r="R1815" s="26" t="s">
        <v>161</v>
      </c>
      <c r="S1815" s="26" t="s">
        <v>38</v>
      </c>
      <c r="T1815" s="26" t="s">
        <v>39</v>
      </c>
      <c r="U1815" s="27">
        <v>0.83333333333333337</v>
      </c>
      <c r="V1815" s="33">
        <v>1</v>
      </c>
      <c r="AA1815" s="82"/>
      <c r="AF1815" s="84"/>
      <c r="AG1815" s="31">
        <v>0</v>
      </c>
      <c r="AH1815" t="s">
        <v>44</v>
      </c>
    </row>
    <row r="1816" spans="1:34">
      <c r="A1816" s="13" t="s">
        <v>1899</v>
      </c>
      <c r="B1816" s="12" t="s">
        <v>36</v>
      </c>
      <c r="C1816" s="43" t="s">
        <v>1878</v>
      </c>
      <c r="D1816" t="s">
        <v>38</v>
      </c>
      <c r="E1816" s="30" t="s">
        <v>1879</v>
      </c>
      <c r="F1816" s="31">
        <v>0.81300813008130079</v>
      </c>
      <c r="G1816" s="82">
        <v>0.5</v>
      </c>
      <c r="H1816" s="43" t="s">
        <v>161</v>
      </c>
      <c r="I1816" t="s">
        <v>38</v>
      </c>
      <c r="J1816" s="30" t="s">
        <v>39</v>
      </c>
      <c r="K1816" s="31">
        <v>0.81300813008130079</v>
      </c>
      <c r="L1816" s="82">
        <v>0.5</v>
      </c>
      <c r="Q1816" s="84"/>
      <c r="R1816" s="26" t="s">
        <v>161</v>
      </c>
      <c r="S1816" s="26" t="s">
        <v>38</v>
      </c>
      <c r="T1816" s="26" t="s">
        <v>39</v>
      </c>
      <c r="U1816" s="27">
        <v>0.83333333333333337</v>
      </c>
      <c r="V1816" s="33">
        <v>1</v>
      </c>
      <c r="AA1816" s="82"/>
      <c r="AF1816" s="84"/>
      <c r="AG1816" s="31">
        <v>0</v>
      </c>
      <c r="AH1816" t="s">
        <v>44</v>
      </c>
    </row>
    <row r="1817" spans="1:34">
      <c r="A1817" s="13" t="s">
        <v>1900</v>
      </c>
      <c r="B1817" s="12" t="s">
        <v>36</v>
      </c>
      <c r="C1817" s="43" t="s">
        <v>1878</v>
      </c>
      <c r="D1817" t="s">
        <v>38</v>
      </c>
      <c r="E1817" s="30" t="s">
        <v>1879</v>
      </c>
      <c r="F1817" s="31">
        <v>0.81300813008130079</v>
      </c>
      <c r="G1817" s="82">
        <v>0.5</v>
      </c>
      <c r="H1817" s="43" t="s">
        <v>161</v>
      </c>
      <c r="I1817" t="s">
        <v>38</v>
      </c>
      <c r="J1817" s="30" t="s">
        <v>39</v>
      </c>
      <c r="K1817" s="31">
        <v>0.81300813008130079</v>
      </c>
      <c r="L1817" s="82">
        <v>0.5</v>
      </c>
      <c r="Q1817" s="84"/>
      <c r="R1817" s="26" t="s">
        <v>161</v>
      </c>
      <c r="S1817" s="26" t="s">
        <v>38</v>
      </c>
      <c r="T1817" s="26" t="s">
        <v>39</v>
      </c>
      <c r="U1817" s="27">
        <v>0.83333333333333337</v>
      </c>
      <c r="V1817" s="33">
        <v>1</v>
      </c>
      <c r="AA1817" s="82"/>
      <c r="AF1817" s="84"/>
      <c r="AG1817" s="31">
        <v>0</v>
      </c>
      <c r="AH1817" t="s">
        <v>44</v>
      </c>
    </row>
    <row r="1818" spans="1:34">
      <c r="A1818" s="13" t="s">
        <v>1901</v>
      </c>
      <c r="B1818" s="12" t="s">
        <v>36</v>
      </c>
      <c r="C1818" s="43" t="s">
        <v>1885</v>
      </c>
      <c r="D1818" t="s">
        <v>38</v>
      </c>
      <c r="E1818" s="30" t="s">
        <v>1879</v>
      </c>
      <c r="F1818" s="31">
        <v>0.89285714285714279</v>
      </c>
      <c r="G1818" s="82">
        <v>0.5</v>
      </c>
      <c r="H1818" s="30" t="s">
        <v>37</v>
      </c>
      <c r="I1818" s="30" t="s">
        <v>38</v>
      </c>
      <c r="J1818" s="30" t="s">
        <v>39</v>
      </c>
      <c r="K1818" s="31">
        <v>0.94339622641509424</v>
      </c>
      <c r="L1818" s="82">
        <v>0.5</v>
      </c>
      <c r="Q1818" s="84"/>
      <c r="R1818" s="26" t="s">
        <v>43</v>
      </c>
      <c r="S1818" s="26" t="s">
        <v>38</v>
      </c>
      <c r="T1818" s="26" t="s">
        <v>39</v>
      </c>
      <c r="U1818" s="27">
        <v>0.84745762711864414</v>
      </c>
      <c r="V1818" s="33">
        <v>1</v>
      </c>
      <c r="AA1818" s="82"/>
      <c r="AF1818" s="84"/>
      <c r="AG1818" s="31">
        <v>0</v>
      </c>
      <c r="AH1818" t="s">
        <v>44</v>
      </c>
    </row>
    <row r="1819" spans="1:34">
      <c r="A1819" s="13" t="s">
        <v>1902</v>
      </c>
      <c r="B1819" s="12" t="s">
        <v>36</v>
      </c>
      <c r="C1819" s="43" t="s">
        <v>1885</v>
      </c>
      <c r="D1819" t="s">
        <v>38</v>
      </c>
      <c r="E1819" s="30" t="s">
        <v>1879</v>
      </c>
      <c r="F1819" s="31">
        <v>0.89285714285714279</v>
      </c>
      <c r="G1819" s="82">
        <v>0.5</v>
      </c>
      <c r="H1819" s="30" t="s">
        <v>37</v>
      </c>
      <c r="I1819" s="30" t="s">
        <v>38</v>
      </c>
      <c r="J1819" s="30" t="s">
        <v>39</v>
      </c>
      <c r="K1819" s="31">
        <v>0.94339622641509424</v>
      </c>
      <c r="L1819" s="82">
        <v>0.5</v>
      </c>
      <c r="Q1819" s="84"/>
      <c r="R1819" s="26" t="s">
        <v>43</v>
      </c>
      <c r="S1819" s="26" t="s">
        <v>38</v>
      </c>
      <c r="T1819" s="26" t="s">
        <v>39</v>
      </c>
      <c r="U1819" s="27">
        <v>0.84745762711864414</v>
      </c>
      <c r="V1819" s="33">
        <v>1</v>
      </c>
      <c r="AA1819" s="82"/>
      <c r="AF1819" s="84"/>
      <c r="AG1819" s="31">
        <v>0</v>
      </c>
      <c r="AH1819" t="s">
        <v>44</v>
      </c>
    </row>
    <row r="1820" spans="1:34">
      <c r="A1820" s="13" t="s">
        <v>1903</v>
      </c>
      <c r="B1820" s="12" t="s">
        <v>36</v>
      </c>
      <c r="C1820" s="43" t="s">
        <v>1885</v>
      </c>
      <c r="D1820" t="s">
        <v>38</v>
      </c>
      <c r="E1820" s="30" t="s">
        <v>1879</v>
      </c>
      <c r="F1820" s="31">
        <v>0.89285714285714279</v>
      </c>
      <c r="G1820" s="82">
        <v>0.5</v>
      </c>
      <c r="H1820" s="30" t="s">
        <v>37</v>
      </c>
      <c r="I1820" s="30" t="s">
        <v>38</v>
      </c>
      <c r="J1820" s="30" t="s">
        <v>39</v>
      </c>
      <c r="K1820" s="31">
        <v>0.94339622641509424</v>
      </c>
      <c r="L1820" s="82">
        <v>0.5</v>
      </c>
      <c r="Q1820" s="84"/>
      <c r="R1820" s="26" t="s">
        <v>43</v>
      </c>
      <c r="S1820" s="26" t="s">
        <v>38</v>
      </c>
      <c r="T1820" s="26" t="s">
        <v>39</v>
      </c>
      <c r="U1820" s="27">
        <v>0.84745762711864414</v>
      </c>
      <c r="V1820" s="33">
        <v>1</v>
      </c>
      <c r="AA1820" s="82"/>
      <c r="AF1820" s="84"/>
      <c r="AG1820" s="31">
        <v>0</v>
      </c>
      <c r="AH1820" t="s">
        <v>44</v>
      </c>
    </row>
    <row r="1821" spans="1:34" s="6" customFormat="1">
      <c r="A1821" s="18" t="s">
        <v>1904</v>
      </c>
      <c r="B1821" s="86" t="s">
        <v>102</v>
      </c>
      <c r="C1821" s="42" t="s">
        <v>1905</v>
      </c>
      <c r="D1821" s="6" t="s">
        <v>41</v>
      </c>
      <c r="E1821" s="28" t="s">
        <v>1879</v>
      </c>
      <c r="F1821" s="29">
        <v>0.51020408163265307</v>
      </c>
      <c r="G1821" s="83">
        <v>1</v>
      </c>
      <c r="H1821" s="28"/>
      <c r="I1821" s="28"/>
      <c r="J1821" s="28"/>
      <c r="K1821" s="29"/>
      <c r="L1821" s="83"/>
      <c r="M1821" s="74"/>
      <c r="N1821" s="28"/>
      <c r="O1821" s="28"/>
      <c r="P1821" s="29"/>
      <c r="Q1821" s="85"/>
      <c r="R1821" s="47" t="s">
        <v>1906</v>
      </c>
      <c r="S1821" s="47" t="s">
        <v>41</v>
      </c>
      <c r="T1821" s="47" t="s">
        <v>42</v>
      </c>
      <c r="U1821" s="48">
        <v>0.9009009009009008</v>
      </c>
      <c r="V1821" s="49">
        <v>1</v>
      </c>
      <c r="W1821" s="47"/>
      <c r="X1821" s="47"/>
      <c r="Y1821" s="47"/>
      <c r="Z1821" s="48"/>
      <c r="AA1821" s="49"/>
      <c r="AB1821" s="74"/>
      <c r="AC1821" s="28"/>
      <c r="AD1821" s="28"/>
      <c r="AE1821" s="28"/>
      <c r="AF1821" s="85"/>
      <c r="AG1821" s="29">
        <v>0</v>
      </c>
      <c r="AH1821" s="6" t="s">
        <v>44</v>
      </c>
    </row>
    <row r="1822" spans="1:34">
      <c r="A1822" s="15" t="s">
        <v>1907</v>
      </c>
      <c r="B1822" s="87" t="s">
        <v>102</v>
      </c>
      <c r="C1822" s="43" t="s">
        <v>1905</v>
      </c>
      <c r="D1822" t="s">
        <v>41</v>
      </c>
      <c r="E1822" s="30" t="s">
        <v>1879</v>
      </c>
      <c r="F1822" s="31">
        <v>0.51020408163265307</v>
      </c>
      <c r="G1822" s="82">
        <v>1</v>
      </c>
      <c r="L1822" s="82"/>
      <c r="Q1822" s="84"/>
      <c r="R1822" s="26" t="s">
        <v>1908</v>
      </c>
      <c r="S1822" s="26" t="s">
        <v>41</v>
      </c>
      <c r="T1822" s="26" t="s">
        <v>39</v>
      </c>
      <c r="U1822" s="27">
        <v>0.7407407407407407</v>
      </c>
      <c r="V1822" s="33">
        <v>0.5</v>
      </c>
      <c r="W1822" s="26" t="s">
        <v>161</v>
      </c>
      <c r="X1822" s="26" t="s">
        <v>38</v>
      </c>
      <c r="Y1822" s="26" t="s">
        <v>39</v>
      </c>
      <c r="Z1822" s="27">
        <v>0.83333333333333337</v>
      </c>
      <c r="AA1822" s="33">
        <v>0.5</v>
      </c>
      <c r="AF1822" s="84"/>
      <c r="AG1822" s="31">
        <v>0</v>
      </c>
      <c r="AH1822" t="s">
        <v>44</v>
      </c>
    </row>
    <row r="1823" spans="1:34">
      <c r="A1823" s="15" t="s">
        <v>1909</v>
      </c>
      <c r="B1823" s="12" t="s">
        <v>102</v>
      </c>
      <c r="C1823" s="43" t="s">
        <v>1905</v>
      </c>
      <c r="D1823" t="s">
        <v>41</v>
      </c>
      <c r="E1823" s="30" t="s">
        <v>1879</v>
      </c>
      <c r="F1823" s="31">
        <v>0.51020408163265307</v>
      </c>
      <c r="G1823" s="82">
        <v>1</v>
      </c>
      <c r="L1823" s="82"/>
      <c r="Q1823" s="84"/>
      <c r="R1823" s="26" t="s">
        <v>1908</v>
      </c>
      <c r="S1823" s="26" t="s">
        <v>41</v>
      </c>
      <c r="T1823" s="26" t="s">
        <v>39</v>
      </c>
      <c r="U1823" s="27">
        <v>0.7407407407407407</v>
      </c>
      <c r="V1823" s="33">
        <v>0.4</v>
      </c>
      <c r="W1823" s="26" t="s">
        <v>161</v>
      </c>
      <c r="X1823" s="26" t="s">
        <v>38</v>
      </c>
      <c r="Y1823" s="26" t="s">
        <v>39</v>
      </c>
      <c r="Z1823" s="27">
        <v>0.83333333333333337</v>
      </c>
      <c r="AA1823" s="33">
        <v>0.4</v>
      </c>
      <c r="AB1823" s="26" t="s">
        <v>212</v>
      </c>
      <c r="AC1823" s="26" t="s">
        <v>41</v>
      </c>
      <c r="AD1823" s="26" t="s">
        <v>39</v>
      </c>
      <c r="AE1823" s="27">
        <v>0.92592592592592582</v>
      </c>
      <c r="AF1823" s="36">
        <v>0.2</v>
      </c>
      <c r="AG1823" s="31">
        <v>0</v>
      </c>
      <c r="AH1823" t="s">
        <v>44</v>
      </c>
    </row>
    <row r="1824" spans="1:34">
      <c r="A1824" s="15" t="s">
        <v>1910</v>
      </c>
      <c r="B1824" s="12" t="s">
        <v>102</v>
      </c>
      <c r="C1824" s="43" t="s">
        <v>1911</v>
      </c>
      <c r="D1824" t="s">
        <v>41</v>
      </c>
      <c r="E1824" s="30" t="s">
        <v>39</v>
      </c>
      <c r="F1824" s="31">
        <v>0.77519379844961234</v>
      </c>
      <c r="G1824" s="82">
        <v>1</v>
      </c>
      <c r="L1824" s="82"/>
      <c r="Q1824" s="84"/>
      <c r="R1824" s="26" t="s">
        <v>1912</v>
      </c>
      <c r="S1824" s="26" t="s">
        <v>41</v>
      </c>
      <c r="T1824" s="26" t="s">
        <v>1879</v>
      </c>
      <c r="U1824" s="27">
        <v>0.85470085470085477</v>
      </c>
      <c r="V1824" s="33">
        <v>0.5</v>
      </c>
      <c r="W1824" s="26" t="s">
        <v>212</v>
      </c>
      <c r="X1824" s="26" t="s">
        <v>41</v>
      </c>
      <c r="Y1824" s="26" t="s">
        <v>39</v>
      </c>
      <c r="Z1824" s="27">
        <v>0.92592592592592582</v>
      </c>
      <c r="AA1824" s="33">
        <v>0.25</v>
      </c>
      <c r="AB1824" s="26" t="s">
        <v>43</v>
      </c>
      <c r="AC1824" s="26" t="s">
        <v>38</v>
      </c>
      <c r="AD1824" s="26" t="s">
        <v>39</v>
      </c>
      <c r="AE1824" s="27">
        <v>0.84745762711864414</v>
      </c>
      <c r="AF1824" s="36">
        <v>0.25</v>
      </c>
      <c r="AG1824" s="31">
        <v>1</v>
      </c>
      <c r="AH1824" t="s">
        <v>73</v>
      </c>
    </row>
    <row r="1825" spans="1:34">
      <c r="A1825" s="15" t="s">
        <v>1913</v>
      </c>
      <c r="B1825" s="12" t="s">
        <v>102</v>
      </c>
      <c r="C1825" s="43" t="s">
        <v>1911</v>
      </c>
      <c r="D1825" t="s">
        <v>41</v>
      </c>
      <c r="E1825" s="30" t="s">
        <v>39</v>
      </c>
      <c r="F1825" s="31">
        <v>0.77519379844961234</v>
      </c>
      <c r="G1825" s="82">
        <v>1</v>
      </c>
      <c r="L1825" s="82"/>
      <c r="Q1825" s="84"/>
      <c r="R1825" s="26" t="s">
        <v>1912</v>
      </c>
      <c r="S1825" s="26" t="s">
        <v>41</v>
      </c>
      <c r="T1825" s="26" t="s">
        <v>1879</v>
      </c>
      <c r="U1825" s="27">
        <v>0.85470085470085477</v>
      </c>
      <c r="V1825" s="33">
        <v>0.5</v>
      </c>
      <c r="W1825" s="26" t="s">
        <v>212</v>
      </c>
      <c r="X1825" s="26" t="s">
        <v>41</v>
      </c>
      <c r="Y1825" s="26" t="s">
        <v>39</v>
      </c>
      <c r="Z1825" s="27">
        <v>0.92592592592592582</v>
      </c>
      <c r="AA1825" s="33">
        <v>0.25</v>
      </c>
      <c r="AB1825" s="26" t="s">
        <v>43</v>
      </c>
      <c r="AC1825" s="26" t="s">
        <v>38</v>
      </c>
      <c r="AD1825" s="26" t="s">
        <v>39</v>
      </c>
      <c r="AE1825" s="27">
        <v>0.84745762711864414</v>
      </c>
      <c r="AF1825" s="36">
        <v>0.25</v>
      </c>
      <c r="AG1825" s="31">
        <v>1</v>
      </c>
      <c r="AH1825" t="s">
        <v>73</v>
      </c>
    </row>
    <row r="1826" spans="1:34">
      <c r="A1826" s="15" t="s">
        <v>1914</v>
      </c>
      <c r="B1826" s="12" t="s">
        <v>102</v>
      </c>
      <c r="C1826" s="43" t="s">
        <v>1911</v>
      </c>
      <c r="D1826" t="s">
        <v>41</v>
      </c>
      <c r="E1826" s="30" t="s">
        <v>39</v>
      </c>
      <c r="F1826" s="31">
        <v>0.77519379844961234</v>
      </c>
      <c r="G1826" s="82">
        <v>1</v>
      </c>
      <c r="L1826" s="82"/>
      <c r="Q1826" s="84"/>
      <c r="R1826" s="26" t="s">
        <v>1912</v>
      </c>
      <c r="S1826" s="26" t="s">
        <v>41</v>
      </c>
      <c r="T1826" s="26" t="s">
        <v>1879</v>
      </c>
      <c r="U1826" s="27">
        <v>0.85470085470085477</v>
      </c>
      <c r="V1826" s="33">
        <v>0.5</v>
      </c>
      <c r="W1826" s="26" t="s">
        <v>212</v>
      </c>
      <c r="X1826" s="26" t="s">
        <v>41</v>
      </c>
      <c r="Y1826" s="26" t="s">
        <v>39</v>
      </c>
      <c r="Z1826" s="27">
        <v>0.92592592592592582</v>
      </c>
      <c r="AA1826" s="33">
        <v>0.25</v>
      </c>
      <c r="AB1826" s="26" t="s">
        <v>43</v>
      </c>
      <c r="AC1826" s="26" t="s">
        <v>38</v>
      </c>
      <c r="AD1826" s="26" t="s">
        <v>39</v>
      </c>
      <c r="AE1826" s="27">
        <v>0.84745762711864414</v>
      </c>
      <c r="AF1826" s="36">
        <v>0.25</v>
      </c>
      <c r="AG1826" s="31">
        <v>1</v>
      </c>
      <c r="AH1826" t="s">
        <v>73</v>
      </c>
    </row>
    <row r="1827" spans="1:34">
      <c r="A1827" s="15" t="s">
        <v>1915</v>
      </c>
      <c r="B1827" s="12" t="s">
        <v>102</v>
      </c>
      <c r="C1827" s="43" t="s">
        <v>1916</v>
      </c>
      <c r="D1827" t="s">
        <v>41</v>
      </c>
      <c r="E1827" s="30" t="s">
        <v>39</v>
      </c>
      <c r="F1827" s="31">
        <v>0.71942446043165476</v>
      </c>
      <c r="G1827" s="82">
        <v>1</v>
      </c>
      <c r="L1827" s="82"/>
      <c r="Q1827" s="84"/>
      <c r="R1827" s="26" t="s">
        <v>161</v>
      </c>
      <c r="S1827" s="26" t="s">
        <v>38</v>
      </c>
      <c r="T1827" s="26" t="s">
        <v>39</v>
      </c>
      <c r="U1827" s="27">
        <v>0.83333333333333337</v>
      </c>
      <c r="V1827" s="33">
        <v>0.5</v>
      </c>
      <c r="W1827" s="26" t="s">
        <v>1908</v>
      </c>
      <c r="X1827" s="26" t="s">
        <v>41</v>
      </c>
      <c r="Y1827" s="26" t="s">
        <v>39</v>
      </c>
      <c r="Z1827" s="27">
        <v>0.7407407407407407</v>
      </c>
      <c r="AA1827" s="33">
        <v>0.5</v>
      </c>
      <c r="AB1827" s="26"/>
      <c r="AC1827" s="26"/>
      <c r="AD1827" s="26"/>
      <c r="AE1827" s="27"/>
      <c r="AF1827" s="36"/>
      <c r="AG1827" s="31">
        <v>0</v>
      </c>
      <c r="AH1827" t="s">
        <v>44</v>
      </c>
    </row>
    <row r="1828" spans="1:34">
      <c r="A1828" s="15" t="s">
        <v>1917</v>
      </c>
      <c r="B1828" s="12" t="s">
        <v>102</v>
      </c>
      <c r="C1828" s="43" t="s">
        <v>1916</v>
      </c>
      <c r="D1828" t="s">
        <v>41</v>
      </c>
      <c r="E1828" s="30" t="s">
        <v>39</v>
      </c>
      <c r="F1828" s="31">
        <v>0.71942446043165476</v>
      </c>
      <c r="G1828" s="82">
        <v>1</v>
      </c>
      <c r="L1828" s="82"/>
      <c r="Q1828" s="84"/>
      <c r="R1828" s="26" t="s">
        <v>161</v>
      </c>
      <c r="S1828" s="26" t="s">
        <v>38</v>
      </c>
      <c r="T1828" s="26" t="s">
        <v>39</v>
      </c>
      <c r="U1828" s="27">
        <v>0.83333333333333337</v>
      </c>
      <c r="V1828" s="33">
        <v>0.5</v>
      </c>
      <c r="W1828" s="26" t="s">
        <v>1908</v>
      </c>
      <c r="X1828" s="26" t="s">
        <v>41</v>
      </c>
      <c r="Y1828" s="26" t="s">
        <v>39</v>
      </c>
      <c r="Z1828" s="27">
        <v>0.7407407407407407</v>
      </c>
      <c r="AA1828" s="33">
        <v>0.5</v>
      </c>
      <c r="AB1828" s="26"/>
      <c r="AC1828" s="26"/>
      <c r="AD1828" s="26"/>
      <c r="AE1828" s="27"/>
      <c r="AF1828" s="36"/>
      <c r="AG1828" s="31">
        <v>0</v>
      </c>
      <c r="AH1828" t="s">
        <v>44</v>
      </c>
    </row>
    <row r="1829" spans="1:34">
      <c r="A1829" s="15" t="s">
        <v>1918</v>
      </c>
      <c r="B1829" s="12" t="s">
        <v>102</v>
      </c>
      <c r="C1829" s="43" t="s">
        <v>1911</v>
      </c>
      <c r="D1829" t="s">
        <v>41</v>
      </c>
      <c r="E1829" s="30" t="s">
        <v>39</v>
      </c>
      <c r="F1829" s="31">
        <v>0.77519379844961234</v>
      </c>
      <c r="G1829" s="82">
        <v>0.5</v>
      </c>
      <c r="H1829" s="43" t="s">
        <v>161</v>
      </c>
      <c r="I1829" t="s">
        <v>38</v>
      </c>
      <c r="J1829" s="30" t="s">
        <v>39</v>
      </c>
      <c r="K1829" s="31">
        <v>0.81300813008130079</v>
      </c>
      <c r="L1829" s="82">
        <v>0.5</v>
      </c>
      <c r="Q1829" s="84"/>
      <c r="R1829" s="26" t="s">
        <v>161</v>
      </c>
      <c r="S1829" s="26" t="s">
        <v>38</v>
      </c>
      <c r="T1829" s="26" t="s">
        <v>39</v>
      </c>
      <c r="U1829" s="27">
        <v>0.83333333333333337</v>
      </c>
      <c r="V1829" s="33">
        <v>0.5</v>
      </c>
      <c r="W1829" s="26" t="s">
        <v>43</v>
      </c>
      <c r="X1829" s="26" t="s">
        <v>38</v>
      </c>
      <c r="Y1829" s="26" t="s">
        <v>39</v>
      </c>
      <c r="Z1829" s="27">
        <v>0.84745762711864414</v>
      </c>
      <c r="AA1829" s="33">
        <v>0.25</v>
      </c>
      <c r="AB1829" s="26" t="s">
        <v>1912</v>
      </c>
      <c r="AC1829" s="26" t="s">
        <v>41</v>
      </c>
      <c r="AD1829" s="26" t="s">
        <v>1879</v>
      </c>
      <c r="AE1829" s="27">
        <v>0.85470085470085477</v>
      </c>
      <c r="AF1829" s="36">
        <v>0.25</v>
      </c>
      <c r="AG1829" s="31">
        <v>0</v>
      </c>
      <c r="AH1829" t="s">
        <v>44</v>
      </c>
    </row>
    <row r="1830" spans="1:34">
      <c r="A1830" s="15" t="s">
        <v>1919</v>
      </c>
      <c r="B1830" s="12" t="s">
        <v>102</v>
      </c>
      <c r="C1830" s="43" t="s">
        <v>1911</v>
      </c>
      <c r="D1830" t="s">
        <v>41</v>
      </c>
      <c r="E1830" s="30" t="s">
        <v>39</v>
      </c>
      <c r="F1830" s="31">
        <v>0.77519379844961234</v>
      </c>
      <c r="G1830" s="82">
        <v>0.5</v>
      </c>
      <c r="H1830" s="43" t="s">
        <v>161</v>
      </c>
      <c r="I1830" t="s">
        <v>38</v>
      </c>
      <c r="J1830" s="30" t="s">
        <v>39</v>
      </c>
      <c r="K1830" s="31">
        <v>0.81300813008130079</v>
      </c>
      <c r="L1830" s="82">
        <v>0.5</v>
      </c>
      <c r="Q1830" s="84"/>
      <c r="R1830" s="26" t="s">
        <v>1912</v>
      </c>
      <c r="S1830" s="26" t="s">
        <v>41</v>
      </c>
      <c r="T1830" s="26" t="s">
        <v>1879</v>
      </c>
      <c r="U1830" s="27">
        <v>0.85470085470085477</v>
      </c>
      <c r="V1830" s="33">
        <v>0.5</v>
      </c>
      <c r="W1830" s="26" t="s">
        <v>212</v>
      </c>
      <c r="X1830" s="26" t="s">
        <v>41</v>
      </c>
      <c r="Y1830" s="26" t="s">
        <v>39</v>
      </c>
      <c r="Z1830" s="27">
        <v>0.92592592592592582</v>
      </c>
      <c r="AA1830" s="33">
        <v>0.5</v>
      </c>
      <c r="AB1830" s="26"/>
      <c r="AC1830" s="26"/>
      <c r="AD1830" s="26"/>
      <c r="AE1830" s="27"/>
      <c r="AF1830" s="36"/>
      <c r="AG1830" s="31">
        <v>1</v>
      </c>
      <c r="AH1830" t="s">
        <v>73</v>
      </c>
    </row>
    <row r="1831" spans="1:34">
      <c r="A1831" s="15" t="s">
        <v>1920</v>
      </c>
      <c r="B1831" s="12" t="s">
        <v>102</v>
      </c>
      <c r="C1831" s="43" t="s">
        <v>1911</v>
      </c>
      <c r="D1831" t="s">
        <v>41</v>
      </c>
      <c r="E1831" s="30" t="s">
        <v>39</v>
      </c>
      <c r="F1831" s="31">
        <v>0.77519379844961234</v>
      </c>
      <c r="G1831" s="82">
        <v>0.5</v>
      </c>
      <c r="H1831" s="43" t="s">
        <v>161</v>
      </c>
      <c r="I1831" t="s">
        <v>38</v>
      </c>
      <c r="J1831" s="30" t="s">
        <v>39</v>
      </c>
      <c r="K1831" s="31">
        <v>0.81300813008130079</v>
      </c>
      <c r="L1831" s="82">
        <v>0.5</v>
      </c>
      <c r="Q1831" s="84"/>
      <c r="R1831" s="26" t="s">
        <v>1912</v>
      </c>
      <c r="S1831" s="26" t="s">
        <v>41</v>
      </c>
      <c r="T1831" s="26" t="s">
        <v>1879</v>
      </c>
      <c r="U1831" s="27">
        <v>0.85470085470085477</v>
      </c>
      <c r="V1831" s="33">
        <v>0.5</v>
      </c>
      <c r="W1831" s="26" t="s">
        <v>212</v>
      </c>
      <c r="X1831" s="26" t="s">
        <v>41</v>
      </c>
      <c r="Y1831" s="26" t="s">
        <v>39</v>
      </c>
      <c r="Z1831" s="27">
        <v>0.92592592592592582</v>
      </c>
      <c r="AA1831" s="33">
        <v>0.5</v>
      </c>
      <c r="AB1831" s="26"/>
      <c r="AC1831" s="26"/>
      <c r="AD1831" s="26"/>
      <c r="AE1831" s="27"/>
      <c r="AF1831" s="36"/>
      <c r="AG1831" s="31">
        <v>1</v>
      </c>
      <c r="AH1831" t="s">
        <v>73</v>
      </c>
    </row>
    <row r="1832" spans="1:34">
      <c r="A1832" s="15" t="s">
        <v>1921</v>
      </c>
      <c r="B1832" s="12" t="s">
        <v>102</v>
      </c>
      <c r="C1832" s="43" t="s">
        <v>1911</v>
      </c>
      <c r="D1832" t="s">
        <v>41</v>
      </c>
      <c r="E1832" s="30" t="s">
        <v>39</v>
      </c>
      <c r="F1832" s="31">
        <v>0.77519379844961234</v>
      </c>
      <c r="G1832" s="82">
        <v>0.5</v>
      </c>
      <c r="H1832" s="43" t="s">
        <v>161</v>
      </c>
      <c r="I1832" t="s">
        <v>38</v>
      </c>
      <c r="J1832" s="30" t="s">
        <v>39</v>
      </c>
      <c r="K1832" s="31">
        <v>0.81300813008130079</v>
      </c>
      <c r="L1832" s="82">
        <v>0.5</v>
      </c>
      <c r="Q1832" s="84"/>
      <c r="R1832" s="26" t="s">
        <v>1912</v>
      </c>
      <c r="S1832" s="26" t="s">
        <v>41</v>
      </c>
      <c r="T1832" s="26" t="s">
        <v>1879</v>
      </c>
      <c r="U1832" s="27">
        <v>0.85470085470085477</v>
      </c>
      <c r="V1832" s="33">
        <v>0.5</v>
      </c>
      <c r="W1832" s="26" t="s">
        <v>212</v>
      </c>
      <c r="X1832" s="26" t="s">
        <v>41</v>
      </c>
      <c r="Y1832" s="26" t="s">
        <v>39</v>
      </c>
      <c r="Z1832" s="27">
        <v>0.92592592592592582</v>
      </c>
      <c r="AA1832" s="33">
        <v>0.5</v>
      </c>
      <c r="AB1832" s="26"/>
      <c r="AC1832" s="26"/>
      <c r="AD1832" s="26"/>
      <c r="AE1832" s="27"/>
      <c r="AF1832" s="36"/>
      <c r="AG1832" s="31">
        <v>1</v>
      </c>
      <c r="AH1832" t="s">
        <v>73</v>
      </c>
    </row>
    <row r="1833" spans="1:34">
      <c r="A1833" s="15" t="s">
        <v>1922</v>
      </c>
      <c r="B1833" s="12" t="s">
        <v>102</v>
      </c>
      <c r="C1833" s="43" t="s">
        <v>1916</v>
      </c>
      <c r="D1833" t="s">
        <v>41</v>
      </c>
      <c r="E1833" s="30" t="s">
        <v>39</v>
      </c>
      <c r="F1833" s="31">
        <v>0.71942446043165476</v>
      </c>
      <c r="G1833" s="82">
        <v>1</v>
      </c>
      <c r="H1833" s="43"/>
      <c r="I1833"/>
      <c r="L1833" s="82"/>
      <c r="Q1833" s="84"/>
      <c r="R1833" s="26" t="s">
        <v>161</v>
      </c>
      <c r="S1833" s="26" t="s">
        <v>38</v>
      </c>
      <c r="T1833" s="26" t="s">
        <v>39</v>
      </c>
      <c r="U1833" s="27">
        <v>0.83333333333333337</v>
      </c>
      <c r="V1833" s="33">
        <v>0.5</v>
      </c>
      <c r="W1833" s="26" t="s">
        <v>1908</v>
      </c>
      <c r="X1833" s="26" t="s">
        <v>41</v>
      </c>
      <c r="Y1833" s="26" t="s">
        <v>39</v>
      </c>
      <c r="Z1833" s="27">
        <v>0.7407407407407407</v>
      </c>
      <c r="AA1833" s="33">
        <v>0.5</v>
      </c>
      <c r="AB1833" s="26"/>
      <c r="AC1833" s="26"/>
      <c r="AD1833" s="26"/>
      <c r="AE1833" s="27"/>
      <c r="AF1833" s="36"/>
      <c r="AG1833" s="31">
        <v>0</v>
      </c>
      <c r="AH1833" t="s">
        <v>44</v>
      </c>
    </row>
    <row r="1834" spans="1:34">
      <c r="A1834" s="15" t="s">
        <v>1923</v>
      </c>
      <c r="B1834" s="12" t="s">
        <v>102</v>
      </c>
      <c r="C1834" s="43" t="s">
        <v>1916</v>
      </c>
      <c r="D1834" t="s">
        <v>41</v>
      </c>
      <c r="E1834" s="30" t="s">
        <v>39</v>
      </c>
      <c r="F1834" s="31">
        <v>0.71942446043165476</v>
      </c>
      <c r="G1834" s="82">
        <v>0.5</v>
      </c>
      <c r="H1834" s="43" t="s">
        <v>1911</v>
      </c>
      <c r="I1834" t="s">
        <v>41</v>
      </c>
      <c r="J1834" s="30" t="s">
        <v>39</v>
      </c>
      <c r="K1834" s="31">
        <v>0.77519379844961234</v>
      </c>
      <c r="L1834" s="82">
        <v>0.25</v>
      </c>
      <c r="M1834" s="43" t="s">
        <v>161</v>
      </c>
      <c r="N1834" t="s">
        <v>38</v>
      </c>
      <c r="O1834" s="30" t="s">
        <v>39</v>
      </c>
      <c r="P1834" s="31">
        <v>0.81300813008130079</v>
      </c>
      <c r="Q1834" s="82">
        <v>0.25</v>
      </c>
      <c r="R1834" s="26" t="s">
        <v>161</v>
      </c>
      <c r="S1834" s="26" t="s">
        <v>38</v>
      </c>
      <c r="T1834" s="26" t="s">
        <v>39</v>
      </c>
      <c r="U1834" s="27">
        <v>0.83333333333333337</v>
      </c>
      <c r="V1834" s="33">
        <v>0.5</v>
      </c>
      <c r="W1834" s="26" t="s">
        <v>43</v>
      </c>
      <c r="X1834" s="26" t="s">
        <v>38</v>
      </c>
      <c r="Y1834" s="26" t="s">
        <v>39</v>
      </c>
      <c r="Z1834" s="27">
        <v>0.84745762711864414</v>
      </c>
      <c r="AA1834" s="33">
        <v>0.25</v>
      </c>
      <c r="AB1834" s="26" t="s">
        <v>1912</v>
      </c>
      <c r="AC1834" s="26" t="s">
        <v>41</v>
      </c>
      <c r="AD1834" s="26" t="s">
        <v>1879</v>
      </c>
      <c r="AE1834" s="27">
        <v>0.85470085470085477</v>
      </c>
      <c r="AF1834" s="36">
        <v>0.25</v>
      </c>
      <c r="AG1834" s="31">
        <v>0</v>
      </c>
      <c r="AH1834" t="s">
        <v>44</v>
      </c>
    </row>
    <row r="1835" spans="1:34">
      <c r="A1835" s="15" t="s">
        <v>1924</v>
      </c>
      <c r="B1835" s="12" t="s">
        <v>102</v>
      </c>
      <c r="C1835" s="43" t="s">
        <v>212</v>
      </c>
      <c r="D1835" t="s">
        <v>41</v>
      </c>
      <c r="E1835" s="30" t="s">
        <v>39</v>
      </c>
      <c r="F1835" s="31">
        <v>0.92592592592592582</v>
      </c>
      <c r="G1835" s="82">
        <v>0.5</v>
      </c>
      <c r="H1835" s="43" t="s">
        <v>37</v>
      </c>
      <c r="I1835" t="s">
        <v>38</v>
      </c>
      <c r="J1835" s="30" t="s">
        <v>39</v>
      </c>
      <c r="K1835" s="31">
        <v>0.94339622641509424</v>
      </c>
      <c r="L1835" s="82">
        <v>0.5</v>
      </c>
      <c r="Q1835" s="84"/>
      <c r="R1835" s="26" t="s">
        <v>1912</v>
      </c>
      <c r="S1835" s="26" t="s">
        <v>41</v>
      </c>
      <c r="T1835" s="26" t="s">
        <v>1879</v>
      </c>
      <c r="U1835" s="27">
        <v>0.85470085470085477</v>
      </c>
      <c r="V1835" s="33">
        <v>0.5</v>
      </c>
      <c r="W1835" s="26" t="s">
        <v>212</v>
      </c>
      <c r="X1835" s="26" t="s">
        <v>41</v>
      </c>
      <c r="Y1835" s="26" t="s">
        <v>39</v>
      </c>
      <c r="Z1835" s="27">
        <v>0.92592592592592582</v>
      </c>
      <c r="AA1835" s="33">
        <v>0.5</v>
      </c>
      <c r="AB1835" s="26"/>
      <c r="AC1835" s="26"/>
      <c r="AD1835" s="26"/>
      <c r="AE1835" s="27"/>
      <c r="AF1835" s="36"/>
      <c r="AG1835" s="31">
        <v>1</v>
      </c>
      <c r="AH1835" t="s">
        <v>73</v>
      </c>
    </row>
    <row r="1836" spans="1:34">
      <c r="A1836" s="15" t="s">
        <v>1925</v>
      </c>
      <c r="B1836" s="12" t="s">
        <v>102</v>
      </c>
      <c r="C1836" s="43" t="s">
        <v>212</v>
      </c>
      <c r="D1836" t="s">
        <v>41</v>
      </c>
      <c r="E1836" s="30" t="s">
        <v>39</v>
      </c>
      <c r="F1836" s="31">
        <v>0.92592592592592582</v>
      </c>
      <c r="G1836" s="82">
        <v>0.5</v>
      </c>
      <c r="H1836" s="43" t="s">
        <v>37</v>
      </c>
      <c r="I1836" t="s">
        <v>38</v>
      </c>
      <c r="J1836" s="30" t="s">
        <v>39</v>
      </c>
      <c r="K1836" s="31">
        <v>0.94339622641509424</v>
      </c>
      <c r="L1836" s="82">
        <v>0.5</v>
      </c>
      <c r="Q1836" s="84"/>
      <c r="R1836" s="26" t="s">
        <v>1912</v>
      </c>
      <c r="S1836" s="26" t="s">
        <v>41</v>
      </c>
      <c r="T1836" s="26" t="s">
        <v>1879</v>
      </c>
      <c r="U1836" s="27">
        <v>0.85470085470085477</v>
      </c>
      <c r="V1836" s="33">
        <v>0.5</v>
      </c>
      <c r="W1836" s="26" t="s">
        <v>212</v>
      </c>
      <c r="X1836" s="26" t="s">
        <v>41</v>
      </c>
      <c r="Y1836" s="26" t="s">
        <v>39</v>
      </c>
      <c r="Z1836" s="27">
        <v>0.92592592592592582</v>
      </c>
      <c r="AA1836" s="33">
        <v>0.5</v>
      </c>
      <c r="AB1836" s="26"/>
      <c r="AC1836" s="26"/>
      <c r="AD1836" s="26"/>
      <c r="AE1836" s="27"/>
      <c r="AF1836" s="36"/>
      <c r="AG1836" s="31">
        <v>1</v>
      </c>
      <c r="AH1836" t="s">
        <v>73</v>
      </c>
    </row>
    <row r="1837" spans="1:34">
      <c r="A1837" s="15" t="s">
        <v>1926</v>
      </c>
      <c r="B1837" s="12" t="s">
        <v>102</v>
      </c>
      <c r="C1837" s="43" t="s">
        <v>212</v>
      </c>
      <c r="D1837" t="s">
        <v>41</v>
      </c>
      <c r="E1837" s="30" t="s">
        <v>39</v>
      </c>
      <c r="F1837" s="31">
        <v>0.92592592592592582</v>
      </c>
      <c r="G1837" s="82">
        <v>0.5</v>
      </c>
      <c r="H1837" s="30" t="s">
        <v>37</v>
      </c>
      <c r="I1837" s="30" t="s">
        <v>38</v>
      </c>
      <c r="J1837" s="30" t="s">
        <v>39</v>
      </c>
      <c r="K1837" s="31">
        <v>0.94339622641509424</v>
      </c>
      <c r="L1837" s="82">
        <v>0.5</v>
      </c>
      <c r="Q1837" s="84"/>
      <c r="R1837" s="26" t="s">
        <v>1912</v>
      </c>
      <c r="S1837" s="26" t="s">
        <v>41</v>
      </c>
      <c r="T1837" s="26" t="s">
        <v>1879</v>
      </c>
      <c r="U1837" s="27">
        <v>0.85470085470085477</v>
      </c>
      <c r="V1837" s="33">
        <v>0.5</v>
      </c>
      <c r="W1837" s="26" t="s">
        <v>212</v>
      </c>
      <c r="X1837" s="26" t="s">
        <v>41</v>
      </c>
      <c r="Y1837" s="26" t="s">
        <v>39</v>
      </c>
      <c r="Z1837" s="27">
        <v>0.92592592592592582</v>
      </c>
      <c r="AA1837" s="33">
        <v>0.5</v>
      </c>
      <c r="AB1837" s="26"/>
      <c r="AC1837" s="26"/>
      <c r="AD1837" s="26"/>
      <c r="AE1837" s="27"/>
      <c r="AF1837" s="36"/>
      <c r="AG1837" s="31">
        <v>1</v>
      </c>
      <c r="AH1837" t="s">
        <v>73</v>
      </c>
    </row>
    <row r="1838" spans="1:34" s="6" customFormat="1">
      <c r="A1838" s="18" t="s">
        <v>1927</v>
      </c>
      <c r="B1838" s="19" t="s">
        <v>159</v>
      </c>
      <c r="C1838" s="42" t="s">
        <v>1928</v>
      </c>
      <c r="D1838" s="6" t="s">
        <v>409</v>
      </c>
      <c r="E1838" s="28" t="s">
        <v>39</v>
      </c>
      <c r="F1838" s="29">
        <v>0.95238095238095233</v>
      </c>
      <c r="G1838" s="83">
        <v>1</v>
      </c>
      <c r="H1838" s="28"/>
      <c r="I1838" s="28"/>
      <c r="J1838" s="28"/>
      <c r="K1838" s="29"/>
      <c r="L1838" s="83"/>
      <c r="M1838" s="74"/>
      <c r="N1838" s="28"/>
      <c r="O1838" s="28"/>
      <c r="P1838" s="29"/>
      <c r="Q1838" s="29"/>
      <c r="R1838" s="54" t="s">
        <v>1929</v>
      </c>
      <c r="S1838" s="28" t="s">
        <v>41</v>
      </c>
      <c r="T1838" s="28" t="s">
        <v>42</v>
      </c>
      <c r="U1838" s="29">
        <v>1</v>
      </c>
      <c r="V1838" s="83">
        <v>1</v>
      </c>
      <c r="W1838" s="28"/>
      <c r="X1838" s="28"/>
      <c r="Y1838" s="28"/>
      <c r="Z1838" s="29"/>
      <c r="AA1838" s="83"/>
      <c r="AB1838" s="74"/>
      <c r="AC1838" s="28"/>
      <c r="AD1838" s="28"/>
      <c r="AE1838" s="28"/>
      <c r="AF1838" s="85"/>
      <c r="AG1838" s="29">
        <v>0</v>
      </c>
      <c r="AH1838" s="6" t="s">
        <v>44</v>
      </c>
    </row>
    <row r="1839" spans="1:34">
      <c r="A1839" s="15" t="s">
        <v>1930</v>
      </c>
      <c r="B1839" s="12" t="s">
        <v>159</v>
      </c>
      <c r="C1839" s="43" t="s">
        <v>1928</v>
      </c>
      <c r="D1839" t="s">
        <v>409</v>
      </c>
      <c r="E1839" s="30" t="s">
        <v>39</v>
      </c>
      <c r="F1839" s="31">
        <v>0.95238095238095233</v>
      </c>
      <c r="G1839" s="82">
        <v>1</v>
      </c>
      <c r="L1839" s="82"/>
      <c r="Q1839" s="84"/>
      <c r="R1839" s="30" t="s">
        <v>1929</v>
      </c>
      <c r="S1839" s="30" t="s">
        <v>41</v>
      </c>
      <c r="T1839" s="30" t="s">
        <v>42</v>
      </c>
      <c r="U1839" s="31">
        <v>1</v>
      </c>
      <c r="V1839" s="82">
        <v>1</v>
      </c>
      <c r="AA1839" s="82"/>
      <c r="AF1839" s="84"/>
      <c r="AG1839" s="31">
        <v>0</v>
      </c>
      <c r="AH1839" t="s">
        <v>44</v>
      </c>
    </row>
    <row r="1840" spans="1:34">
      <c r="A1840" s="15" t="s">
        <v>1931</v>
      </c>
      <c r="B1840" s="12" t="s">
        <v>159</v>
      </c>
      <c r="C1840" s="43" t="s">
        <v>1928</v>
      </c>
      <c r="D1840" t="s">
        <v>409</v>
      </c>
      <c r="E1840" s="30" t="s">
        <v>39</v>
      </c>
      <c r="F1840" s="31">
        <v>0.95238095238095233</v>
      </c>
      <c r="G1840" s="82">
        <v>1</v>
      </c>
      <c r="L1840" s="82"/>
      <c r="Q1840" s="84"/>
      <c r="R1840" s="30" t="s">
        <v>1929</v>
      </c>
      <c r="S1840" s="30" t="s">
        <v>41</v>
      </c>
      <c r="T1840" s="30" t="s">
        <v>42</v>
      </c>
      <c r="U1840" s="31">
        <v>1</v>
      </c>
      <c r="V1840" s="82">
        <v>1</v>
      </c>
      <c r="AA1840" s="82"/>
      <c r="AF1840" s="84"/>
      <c r="AG1840" s="31">
        <v>0</v>
      </c>
      <c r="AH1840" t="s">
        <v>44</v>
      </c>
    </row>
    <row r="1841" spans="1:34">
      <c r="A1841" s="15" t="s">
        <v>1932</v>
      </c>
      <c r="B1841" s="12" t="s">
        <v>159</v>
      </c>
      <c r="C1841" s="43" t="s">
        <v>1928</v>
      </c>
      <c r="D1841" t="s">
        <v>409</v>
      </c>
      <c r="E1841" s="30" t="s">
        <v>39</v>
      </c>
      <c r="F1841" s="31">
        <v>0.95238095238095233</v>
      </c>
      <c r="G1841" s="82">
        <v>1</v>
      </c>
      <c r="L1841" s="82"/>
      <c r="Q1841" s="84"/>
      <c r="R1841" s="30" t="s">
        <v>1929</v>
      </c>
      <c r="S1841" s="30" t="s">
        <v>41</v>
      </c>
      <c r="T1841" s="30" t="s">
        <v>42</v>
      </c>
      <c r="U1841" s="31">
        <v>1</v>
      </c>
      <c r="V1841" s="82">
        <v>1</v>
      </c>
      <c r="AA1841" s="82"/>
      <c r="AF1841" s="84"/>
      <c r="AG1841" s="31">
        <v>0</v>
      </c>
      <c r="AH1841" t="s">
        <v>44</v>
      </c>
    </row>
    <row r="1842" spans="1:34">
      <c r="A1842" s="15" t="s">
        <v>1933</v>
      </c>
      <c r="B1842" s="12" t="s">
        <v>159</v>
      </c>
      <c r="C1842" s="43" t="s">
        <v>1928</v>
      </c>
      <c r="D1842" t="s">
        <v>409</v>
      </c>
      <c r="E1842" s="30" t="s">
        <v>39</v>
      </c>
      <c r="F1842" s="31">
        <v>0.95238095238095233</v>
      </c>
      <c r="G1842" s="82">
        <v>1</v>
      </c>
      <c r="L1842" s="82"/>
      <c r="Q1842" s="84"/>
      <c r="R1842" s="30" t="s">
        <v>1929</v>
      </c>
      <c r="S1842" s="30" t="s">
        <v>41</v>
      </c>
      <c r="T1842" s="30" t="s">
        <v>42</v>
      </c>
      <c r="U1842" s="31">
        <v>1</v>
      </c>
      <c r="V1842" s="82">
        <v>1</v>
      </c>
      <c r="AA1842" s="82"/>
      <c r="AF1842" s="84"/>
      <c r="AG1842" s="31">
        <v>0</v>
      </c>
      <c r="AH1842" t="s">
        <v>44</v>
      </c>
    </row>
    <row r="1843" spans="1:34">
      <c r="A1843" s="15" t="s">
        <v>1934</v>
      </c>
      <c r="B1843" s="12" t="s">
        <v>159</v>
      </c>
      <c r="C1843" s="43" t="s">
        <v>1928</v>
      </c>
      <c r="D1843" t="s">
        <v>409</v>
      </c>
      <c r="E1843" s="30" t="s">
        <v>39</v>
      </c>
      <c r="F1843" s="31">
        <v>0.95238095238095233</v>
      </c>
      <c r="G1843" s="82">
        <v>1</v>
      </c>
      <c r="L1843" s="82"/>
      <c r="Q1843" s="84"/>
      <c r="R1843" s="30" t="s">
        <v>1929</v>
      </c>
      <c r="S1843" s="30" t="s">
        <v>41</v>
      </c>
      <c r="T1843" s="30" t="s">
        <v>42</v>
      </c>
      <c r="U1843" s="31">
        <v>1</v>
      </c>
      <c r="V1843" s="82">
        <v>1</v>
      </c>
      <c r="AA1843" s="82"/>
      <c r="AF1843" s="84"/>
      <c r="AG1843" s="31">
        <v>0</v>
      </c>
      <c r="AH1843" t="s">
        <v>44</v>
      </c>
    </row>
    <row r="1844" spans="1:34">
      <c r="A1844" s="15" t="s">
        <v>1935</v>
      </c>
      <c r="B1844" s="12" t="s">
        <v>159</v>
      </c>
      <c r="C1844" s="43" t="s">
        <v>1928</v>
      </c>
      <c r="D1844" t="s">
        <v>409</v>
      </c>
      <c r="E1844" s="30" t="s">
        <v>39</v>
      </c>
      <c r="F1844" s="31">
        <v>0.95238095238095233</v>
      </c>
      <c r="G1844" s="82">
        <v>1</v>
      </c>
      <c r="L1844" s="82"/>
      <c r="Q1844" s="84"/>
      <c r="R1844" s="30" t="s">
        <v>1929</v>
      </c>
      <c r="S1844" s="30" t="s">
        <v>41</v>
      </c>
      <c r="T1844" s="30" t="s">
        <v>42</v>
      </c>
      <c r="U1844" s="31">
        <v>1</v>
      </c>
      <c r="V1844" s="82">
        <v>1</v>
      </c>
      <c r="AA1844" s="82"/>
      <c r="AF1844" s="84"/>
      <c r="AG1844" s="31">
        <v>0</v>
      </c>
      <c r="AH1844" t="s">
        <v>44</v>
      </c>
    </row>
    <row r="1845" spans="1:34">
      <c r="A1845" s="15" t="s">
        <v>1936</v>
      </c>
      <c r="B1845" s="12" t="s">
        <v>159</v>
      </c>
      <c r="C1845" s="43" t="s">
        <v>1928</v>
      </c>
      <c r="D1845" t="s">
        <v>409</v>
      </c>
      <c r="E1845" s="30" t="s">
        <v>39</v>
      </c>
      <c r="F1845" s="31">
        <v>0.95238095238095233</v>
      </c>
      <c r="G1845" s="82">
        <v>1</v>
      </c>
      <c r="L1845" s="82"/>
      <c r="Q1845" s="84"/>
      <c r="R1845" s="30" t="s">
        <v>1929</v>
      </c>
      <c r="S1845" s="30" t="s">
        <v>41</v>
      </c>
      <c r="T1845" s="30" t="s">
        <v>42</v>
      </c>
      <c r="U1845" s="31">
        <v>1</v>
      </c>
      <c r="V1845" s="82">
        <v>1</v>
      </c>
      <c r="AA1845" s="82"/>
      <c r="AF1845" s="84"/>
      <c r="AG1845" s="31">
        <v>0</v>
      </c>
      <c r="AH1845" t="s">
        <v>44</v>
      </c>
    </row>
    <row r="1846" spans="1:34">
      <c r="A1846" s="15" t="s">
        <v>1937</v>
      </c>
      <c r="B1846" s="12" t="s">
        <v>159</v>
      </c>
      <c r="C1846" s="43" t="s">
        <v>1928</v>
      </c>
      <c r="D1846" t="s">
        <v>409</v>
      </c>
      <c r="E1846" s="30" t="s">
        <v>39</v>
      </c>
      <c r="F1846" s="31">
        <v>0.95238095238095233</v>
      </c>
      <c r="G1846" s="82">
        <v>1</v>
      </c>
      <c r="L1846" s="82"/>
      <c r="Q1846" s="84"/>
      <c r="R1846" s="30" t="s">
        <v>1929</v>
      </c>
      <c r="S1846" s="30" t="s">
        <v>41</v>
      </c>
      <c r="T1846" s="30" t="s">
        <v>42</v>
      </c>
      <c r="U1846" s="31">
        <v>1</v>
      </c>
      <c r="V1846" s="82">
        <v>1</v>
      </c>
      <c r="AA1846" s="82"/>
      <c r="AF1846" s="84"/>
      <c r="AG1846" s="31">
        <v>0</v>
      </c>
      <c r="AH1846" t="s">
        <v>44</v>
      </c>
    </row>
    <row r="1847" spans="1:34">
      <c r="A1847" s="15" t="s">
        <v>1938</v>
      </c>
      <c r="B1847" s="12" t="s">
        <v>159</v>
      </c>
      <c r="C1847" s="43" t="s">
        <v>1928</v>
      </c>
      <c r="D1847" t="s">
        <v>409</v>
      </c>
      <c r="E1847" s="30" t="s">
        <v>39</v>
      </c>
      <c r="F1847" s="31">
        <v>0.95238095238095233</v>
      </c>
      <c r="G1847" s="82">
        <v>1</v>
      </c>
      <c r="L1847" s="82"/>
      <c r="Q1847" s="84"/>
      <c r="R1847" s="30" t="s">
        <v>1929</v>
      </c>
      <c r="S1847" s="30" t="s">
        <v>41</v>
      </c>
      <c r="T1847" s="30" t="s">
        <v>42</v>
      </c>
      <c r="U1847" s="31">
        <v>1</v>
      </c>
      <c r="V1847" s="82">
        <v>1</v>
      </c>
      <c r="AA1847" s="82"/>
      <c r="AF1847" s="84"/>
      <c r="AG1847" s="31">
        <v>0</v>
      </c>
      <c r="AH1847" t="s">
        <v>44</v>
      </c>
    </row>
    <row r="1848" spans="1:34">
      <c r="A1848" s="15" t="s">
        <v>1939</v>
      </c>
      <c r="B1848" s="12" t="s">
        <v>159</v>
      </c>
      <c r="C1848" s="43" t="s">
        <v>1928</v>
      </c>
      <c r="D1848" t="s">
        <v>409</v>
      </c>
      <c r="E1848" s="30" t="s">
        <v>39</v>
      </c>
      <c r="F1848" s="31">
        <v>0.95238095238095233</v>
      </c>
      <c r="G1848" s="82">
        <v>1</v>
      </c>
      <c r="L1848" s="82"/>
      <c r="Q1848" s="84"/>
      <c r="R1848" s="30" t="s">
        <v>1929</v>
      </c>
      <c r="S1848" s="30" t="s">
        <v>41</v>
      </c>
      <c r="T1848" s="30" t="s">
        <v>42</v>
      </c>
      <c r="U1848" s="31">
        <v>1</v>
      </c>
      <c r="V1848" s="82">
        <v>1</v>
      </c>
      <c r="AA1848" s="82"/>
      <c r="AF1848" s="84"/>
      <c r="AG1848" s="31">
        <v>0</v>
      </c>
      <c r="AH1848" t="s">
        <v>44</v>
      </c>
    </row>
    <row r="1849" spans="1:34">
      <c r="A1849" s="15" t="s">
        <v>1940</v>
      </c>
      <c r="B1849" s="12" t="s">
        <v>159</v>
      </c>
      <c r="C1849" s="43" t="s">
        <v>1928</v>
      </c>
      <c r="D1849" t="s">
        <v>409</v>
      </c>
      <c r="E1849" s="30" t="s">
        <v>39</v>
      </c>
      <c r="F1849" s="31">
        <v>0.95238095238095233</v>
      </c>
      <c r="G1849" s="82">
        <v>1</v>
      </c>
      <c r="L1849" s="82"/>
      <c r="Q1849" s="84"/>
      <c r="R1849" s="30" t="s">
        <v>1929</v>
      </c>
      <c r="S1849" s="30" t="s">
        <v>41</v>
      </c>
      <c r="T1849" s="30" t="s">
        <v>42</v>
      </c>
      <c r="U1849" s="31">
        <v>1</v>
      </c>
      <c r="V1849" s="82">
        <v>1</v>
      </c>
      <c r="AA1849" s="82"/>
      <c r="AF1849" s="84"/>
      <c r="AG1849" s="31">
        <v>0</v>
      </c>
      <c r="AH1849" t="s">
        <v>44</v>
      </c>
    </row>
    <row r="1850" spans="1:34">
      <c r="A1850" s="15" t="s">
        <v>1941</v>
      </c>
      <c r="B1850" s="12" t="s">
        <v>159</v>
      </c>
      <c r="C1850" s="43" t="s">
        <v>1928</v>
      </c>
      <c r="D1850" t="s">
        <v>409</v>
      </c>
      <c r="E1850" s="30" t="s">
        <v>39</v>
      </c>
      <c r="F1850" s="31">
        <v>0.95238095238095233</v>
      </c>
      <c r="G1850" s="82">
        <v>1</v>
      </c>
      <c r="L1850" s="82"/>
      <c r="Q1850" s="84"/>
      <c r="R1850" s="30" t="s">
        <v>1929</v>
      </c>
      <c r="S1850" s="30" t="s">
        <v>41</v>
      </c>
      <c r="T1850" s="30" t="s">
        <v>42</v>
      </c>
      <c r="U1850" s="31">
        <v>1</v>
      </c>
      <c r="V1850" s="82">
        <v>1</v>
      </c>
      <c r="AA1850" s="82"/>
      <c r="AF1850" s="84"/>
      <c r="AG1850" s="31">
        <v>0</v>
      </c>
      <c r="AH1850" t="s">
        <v>44</v>
      </c>
    </row>
    <row r="1851" spans="1:34">
      <c r="A1851" s="15" t="s">
        <v>1942</v>
      </c>
      <c r="B1851" s="12" t="s">
        <v>159</v>
      </c>
      <c r="C1851" s="43" t="s">
        <v>1928</v>
      </c>
      <c r="D1851" t="s">
        <v>409</v>
      </c>
      <c r="E1851" s="30" t="s">
        <v>39</v>
      </c>
      <c r="F1851" s="31">
        <v>0.95238095238095233</v>
      </c>
      <c r="G1851" s="82">
        <v>1</v>
      </c>
      <c r="L1851" s="82"/>
      <c r="Q1851" s="84"/>
      <c r="R1851" s="30" t="s">
        <v>1929</v>
      </c>
      <c r="S1851" s="30" t="s">
        <v>41</v>
      </c>
      <c r="T1851" s="30" t="s">
        <v>42</v>
      </c>
      <c r="U1851" s="31">
        <v>1</v>
      </c>
      <c r="V1851" s="82">
        <v>1</v>
      </c>
      <c r="AA1851" s="82"/>
      <c r="AF1851" s="84"/>
      <c r="AG1851" s="31">
        <v>0</v>
      </c>
      <c r="AH1851" t="s">
        <v>44</v>
      </c>
    </row>
    <row r="1852" spans="1:34">
      <c r="A1852" s="15" t="s">
        <v>1943</v>
      </c>
      <c r="B1852" s="12" t="s">
        <v>159</v>
      </c>
      <c r="C1852" s="43" t="s">
        <v>1928</v>
      </c>
      <c r="D1852" t="s">
        <v>409</v>
      </c>
      <c r="E1852" s="30" t="s">
        <v>39</v>
      </c>
      <c r="F1852" s="31">
        <v>0.95238095238095233</v>
      </c>
      <c r="G1852" s="82">
        <v>1</v>
      </c>
      <c r="L1852" s="82"/>
      <c r="Q1852" s="84"/>
      <c r="R1852" s="30" t="s">
        <v>1929</v>
      </c>
      <c r="S1852" s="30" t="s">
        <v>41</v>
      </c>
      <c r="T1852" s="30" t="s">
        <v>42</v>
      </c>
      <c r="U1852" s="31">
        <v>1</v>
      </c>
      <c r="V1852" s="82">
        <v>1</v>
      </c>
      <c r="AA1852" s="82"/>
      <c r="AF1852" s="84"/>
      <c r="AG1852" s="31">
        <v>0</v>
      </c>
      <c r="AH1852" t="s">
        <v>44</v>
      </c>
    </row>
    <row r="1853" spans="1:34">
      <c r="A1853" s="15" t="s">
        <v>1944</v>
      </c>
      <c r="B1853" s="12" t="s">
        <v>159</v>
      </c>
      <c r="C1853" s="43" t="s">
        <v>1928</v>
      </c>
      <c r="D1853" t="s">
        <v>409</v>
      </c>
      <c r="E1853" s="30" t="s">
        <v>39</v>
      </c>
      <c r="F1853" s="31">
        <v>0.95238095238095233</v>
      </c>
      <c r="G1853" s="82">
        <v>1</v>
      </c>
      <c r="L1853" s="82"/>
      <c r="Q1853" s="84"/>
      <c r="R1853" s="30" t="s">
        <v>1929</v>
      </c>
      <c r="S1853" s="30" t="s">
        <v>41</v>
      </c>
      <c r="T1853" s="30" t="s">
        <v>42</v>
      </c>
      <c r="U1853" s="31">
        <v>1</v>
      </c>
      <c r="V1853" s="82">
        <v>1</v>
      </c>
      <c r="AA1853" s="82"/>
      <c r="AF1853" s="84"/>
      <c r="AG1853" s="96">
        <v>0</v>
      </c>
      <c r="AH1853" t="s">
        <v>44</v>
      </c>
    </row>
    <row r="1854" spans="1:34" s="6" customFormat="1">
      <c r="A1854" s="18" t="s">
        <v>1945</v>
      </c>
      <c r="B1854" s="19" t="s">
        <v>211</v>
      </c>
      <c r="C1854" s="42" t="s">
        <v>1905</v>
      </c>
      <c r="D1854" s="6" t="s">
        <v>41</v>
      </c>
      <c r="E1854" s="28" t="s">
        <v>1879</v>
      </c>
      <c r="F1854" s="29">
        <v>0.4854368932038835</v>
      </c>
      <c r="G1854" s="83">
        <v>1</v>
      </c>
      <c r="H1854" s="28"/>
      <c r="I1854" s="28"/>
      <c r="J1854" s="28"/>
      <c r="K1854" s="29"/>
      <c r="L1854" s="83"/>
      <c r="M1854" s="74"/>
      <c r="N1854" s="28"/>
      <c r="O1854" s="28"/>
      <c r="P1854" s="29"/>
      <c r="Q1854" s="85"/>
      <c r="R1854" s="54" t="s">
        <v>1929</v>
      </c>
      <c r="S1854" s="47" t="s">
        <v>41</v>
      </c>
      <c r="T1854" s="47" t="s">
        <v>42</v>
      </c>
      <c r="U1854" s="48">
        <v>0.970873786407767</v>
      </c>
      <c r="V1854" s="49">
        <v>1</v>
      </c>
      <c r="W1854" s="28"/>
      <c r="X1854" s="28"/>
      <c r="Y1854" s="28"/>
      <c r="Z1854" s="29"/>
      <c r="AA1854" s="83"/>
      <c r="AB1854" s="74"/>
      <c r="AC1854" s="28"/>
      <c r="AD1854" s="28"/>
      <c r="AE1854" s="28"/>
      <c r="AF1854" s="85"/>
      <c r="AG1854" s="31">
        <v>0</v>
      </c>
      <c r="AH1854" s="6" t="s">
        <v>44</v>
      </c>
    </row>
    <row r="1855" spans="1:34">
      <c r="A1855" s="15" t="s">
        <v>1946</v>
      </c>
      <c r="B1855" s="12" t="s">
        <v>211</v>
      </c>
      <c r="C1855" s="43" t="s">
        <v>1905</v>
      </c>
      <c r="D1855" t="s">
        <v>41</v>
      </c>
      <c r="E1855" s="30" t="s">
        <v>1879</v>
      </c>
      <c r="F1855" s="31">
        <v>0.4854368932038835</v>
      </c>
      <c r="G1855" s="82">
        <v>1</v>
      </c>
      <c r="L1855" s="82"/>
      <c r="Q1855" s="84"/>
      <c r="R1855" s="55" t="s">
        <v>1929</v>
      </c>
      <c r="S1855" s="26" t="s">
        <v>41</v>
      </c>
      <c r="T1855" s="26" t="s">
        <v>42</v>
      </c>
      <c r="U1855" s="27">
        <v>0.970873786407767</v>
      </c>
      <c r="V1855" s="33">
        <v>1</v>
      </c>
      <c r="AA1855" s="82"/>
      <c r="AF1855" s="84"/>
      <c r="AG1855" s="31">
        <v>0</v>
      </c>
      <c r="AH1855" t="s">
        <v>44</v>
      </c>
    </row>
    <row r="1856" spans="1:34">
      <c r="A1856" s="15" t="s">
        <v>1947</v>
      </c>
      <c r="B1856" s="12" t="s">
        <v>211</v>
      </c>
      <c r="C1856" s="43" t="s">
        <v>1905</v>
      </c>
      <c r="D1856" t="s">
        <v>41</v>
      </c>
      <c r="E1856" s="30" t="s">
        <v>1879</v>
      </c>
      <c r="F1856" s="31">
        <v>0.4854368932038835</v>
      </c>
      <c r="G1856" s="82">
        <v>1</v>
      </c>
      <c r="L1856" s="82"/>
      <c r="Q1856" s="84"/>
      <c r="R1856" s="55" t="s">
        <v>1929</v>
      </c>
      <c r="S1856" s="26" t="s">
        <v>41</v>
      </c>
      <c r="T1856" s="26" t="s">
        <v>42</v>
      </c>
      <c r="U1856" s="27">
        <v>0.970873786407767</v>
      </c>
      <c r="V1856" s="27">
        <v>0.5</v>
      </c>
      <c r="W1856" s="70" t="s">
        <v>1948</v>
      </c>
      <c r="X1856" s="26" t="s">
        <v>41</v>
      </c>
      <c r="Y1856" s="26" t="s">
        <v>39</v>
      </c>
      <c r="Z1856" s="27">
        <v>0.69930069930069938</v>
      </c>
      <c r="AA1856" s="27">
        <v>0.25</v>
      </c>
      <c r="AB1856" s="70" t="s">
        <v>1949</v>
      </c>
      <c r="AC1856" s="26" t="s">
        <v>41</v>
      </c>
      <c r="AD1856" s="26" t="s">
        <v>1950</v>
      </c>
      <c r="AE1856" s="27">
        <v>0.68</v>
      </c>
      <c r="AF1856" s="36">
        <v>0.25</v>
      </c>
      <c r="AG1856" s="31">
        <v>0</v>
      </c>
      <c r="AH1856" t="s">
        <v>44</v>
      </c>
    </row>
    <row r="1857" spans="1:34">
      <c r="A1857" s="15" t="s">
        <v>1951</v>
      </c>
      <c r="B1857" s="12" t="s">
        <v>211</v>
      </c>
      <c r="C1857" s="43" t="s">
        <v>1952</v>
      </c>
      <c r="D1857" t="s">
        <v>38</v>
      </c>
      <c r="E1857" s="30" t="s">
        <v>39</v>
      </c>
      <c r="F1857" s="31">
        <v>0.84033613445378152</v>
      </c>
      <c r="G1857" s="82">
        <v>1</v>
      </c>
      <c r="L1857" s="82"/>
      <c r="Q1857" s="84"/>
      <c r="R1857" s="55" t="s">
        <v>1948</v>
      </c>
      <c r="S1857" s="26" t="s">
        <v>41</v>
      </c>
      <c r="T1857" s="26" t="s">
        <v>39</v>
      </c>
      <c r="U1857" s="27">
        <v>0.69930069930069938</v>
      </c>
      <c r="V1857" s="33">
        <v>0.5</v>
      </c>
      <c r="W1857" s="70" t="s">
        <v>1949</v>
      </c>
      <c r="X1857" s="26" t="s">
        <v>41</v>
      </c>
      <c r="Y1857" s="26" t="s">
        <v>1950</v>
      </c>
      <c r="Z1857" s="27">
        <v>0.68</v>
      </c>
      <c r="AA1857" s="33">
        <v>0.5</v>
      </c>
      <c r="AF1857" s="84"/>
      <c r="AG1857" s="31">
        <v>0</v>
      </c>
      <c r="AH1857" t="s">
        <v>44</v>
      </c>
    </row>
    <row r="1858" spans="1:34">
      <c r="A1858" s="15" t="s">
        <v>1953</v>
      </c>
      <c r="B1858" s="12" t="s">
        <v>211</v>
      </c>
      <c r="C1858" s="43" t="s">
        <v>1952</v>
      </c>
      <c r="D1858" t="s">
        <v>38</v>
      </c>
      <c r="E1858" s="30" t="s">
        <v>39</v>
      </c>
      <c r="F1858" s="31">
        <v>0.84033613445378152</v>
      </c>
      <c r="G1858" s="82">
        <v>1</v>
      </c>
      <c r="L1858" s="82"/>
      <c r="Q1858" s="84"/>
      <c r="R1858" s="55" t="s">
        <v>1929</v>
      </c>
      <c r="S1858" s="26" t="s">
        <v>41</v>
      </c>
      <c r="T1858" s="26" t="s">
        <v>42</v>
      </c>
      <c r="U1858" s="27">
        <v>0.970873786407767</v>
      </c>
      <c r="V1858" s="33">
        <v>1</v>
      </c>
      <c r="AA1858" s="82"/>
      <c r="AF1858" s="84"/>
      <c r="AG1858" s="31">
        <v>0</v>
      </c>
      <c r="AH1858" t="s">
        <v>44</v>
      </c>
    </row>
    <row r="1859" spans="1:34">
      <c r="A1859" s="15" t="s">
        <v>1954</v>
      </c>
      <c r="B1859" s="12" t="s">
        <v>211</v>
      </c>
      <c r="C1859" s="43" t="s">
        <v>1952</v>
      </c>
      <c r="D1859" t="s">
        <v>38</v>
      </c>
      <c r="E1859" s="30" t="s">
        <v>39</v>
      </c>
      <c r="F1859" s="31">
        <v>0.84033613445378152</v>
      </c>
      <c r="G1859" s="82">
        <v>1</v>
      </c>
      <c r="L1859" s="82"/>
      <c r="Q1859" s="84"/>
      <c r="R1859" s="55" t="s">
        <v>1929</v>
      </c>
      <c r="S1859" s="26" t="s">
        <v>41</v>
      </c>
      <c r="T1859" s="26" t="s">
        <v>42</v>
      </c>
      <c r="U1859" s="27">
        <v>0.970873786407767</v>
      </c>
      <c r="V1859" s="33">
        <v>1</v>
      </c>
      <c r="AA1859" s="82"/>
      <c r="AF1859" s="84"/>
      <c r="AG1859" s="31">
        <v>0</v>
      </c>
      <c r="AH1859" t="s">
        <v>44</v>
      </c>
    </row>
    <row r="1860" spans="1:34">
      <c r="A1860" s="15" t="s">
        <v>1955</v>
      </c>
      <c r="B1860" s="12" t="s">
        <v>211</v>
      </c>
      <c r="C1860" s="43" t="s">
        <v>1952</v>
      </c>
      <c r="D1860" t="s">
        <v>38</v>
      </c>
      <c r="E1860" s="30" t="s">
        <v>39</v>
      </c>
      <c r="F1860" s="31">
        <v>0.84033613445378152</v>
      </c>
      <c r="G1860" s="82">
        <v>1</v>
      </c>
      <c r="L1860" s="82"/>
      <c r="Q1860" s="84"/>
      <c r="R1860" s="55" t="s">
        <v>1929</v>
      </c>
      <c r="S1860" s="26" t="s">
        <v>41</v>
      </c>
      <c r="T1860" s="26" t="s">
        <v>42</v>
      </c>
      <c r="U1860" s="27">
        <v>0.970873786407767</v>
      </c>
      <c r="V1860" s="27">
        <v>0.5</v>
      </c>
      <c r="W1860" s="70" t="s">
        <v>1948</v>
      </c>
      <c r="X1860" s="26" t="s">
        <v>41</v>
      </c>
      <c r="Y1860" s="26" t="s">
        <v>39</v>
      </c>
      <c r="Z1860" s="27">
        <v>0.69930069930069938</v>
      </c>
      <c r="AA1860" s="27">
        <v>0.25</v>
      </c>
      <c r="AB1860" s="70" t="s">
        <v>1949</v>
      </c>
      <c r="AC1860" s="26" t="s">
        <v>41</v>
      </c>
      <c r="AD1860" s="26" t="s">
        <v>1950</v>
      </c>
      <c r="AE1860" s="27">
        <v>0.68</v>
      </c>
      <c r="AF1860" s="36">
        <v>0.25</v>
      </c>
      <c r="AG1860" s="31">
        <v>0</v>
      </c>
      <c r="AH1860" t="s">
        <v>44</v>
      </c>
    </row>
    <row r="1861" spans="1:34">
      <c r="A1861" s="15" t="s">
        <v>1956</v>
      </c>
      <c r="B1861" s="12" t="s">
        <v>211</v>
      </c>
      <c r="C1861" s="43" t="s">
        <v>1952</v>
      </c>
      <c r="D1861" t="s">
        <v>38</v>
      </c>
      <c r="E1861" s="30" t="s">
        <v>39</v>
      </c>
      <c r="F1861" s="31">
        <v>0.84033613445378152</v>
      </c>
      <c r="G1861" s="82">
        <v>1</v>
      </c>
      <c r="L1861" s="82"/>
      <c r="Q1861" s="84"/>
      <c r="R1861" s="89" t="s">
        <v>1948</v>
      </c>
      <c r="S1861" s="60" t="s">
        <v>41</v>
      </c>
      <c r="T1861" s="60" t="s">
        <v>39</v>
      </c>
      <c r="U1861" s="61">
        <v>0.69930069930069938</v>
      </c>
      <c r="V1861" s="62">
        <v>0.5</v>
      </c>
      <c r="W1861" s="71" t="s">
        <v>1949</v>
      </c>
      <c r="X1861" s="60" t="s">
        <v>41</v>
      </c>
      <c r="Y1861" s="60" t="s">
        <v>1950</v>
      </c>
      <c r="Z1861" s="61">
        <v>0.68</v>
      </c>
      <c r="AA1861" s="62">
        <v>0.5</v>
      </c>
      <c r="AB1861" s="75"/>
      <c r="AC1861" s="63"/>
      <c r="AD1861" s="63"/>
      <c r="AE1861" s="63"/>
      <c r="AF1861" s="90"/>
      <c r="AG1861" s="31">
        <v>0</v>
      </c>
      <c r="AH1861" t="s">
        <v>44</v>
      </c>
    </row>
    <row r="1862" spans="1:34" s="6" customFormat="1">
      <c r="A1862" s="18" t="s">
        <v>1957</v>
      </c>
      <c r="B1862" s="19" t="s">
        <v>300</v>
      </c>
      <c r="C1862" s="42" t="s">
        <v>1958</v>
      </c>
      <c r="D1862" s="6" t="s">
        <v>41</v>
      </c>
      <c r="E1862" s="28" t="s">
        <v>42</v>
      </c>
      <c r="F1862" s="29">
        <v>1</v>
      </c>
      <c r="G1862" s="83">
        <v>1</v>
      </c>
      <c r="H1862" s="28"/>
      <c r="I1862" s="28"/>
      <c r="J1862" s="28"/>
      <c r="K1862" s="29"/>
      <c r="L1862" s="83"/>
      <c r="M1862" s="74"/>
      <c r="N1862" s="28"/>
      <c r="O1862" s="28"/>
      <c r="P1862" s="29"/>
      <c r="Q1862" s="85"/>
      <c r="R1862" s="54" t="s">
        <v>1929</v>
      </c>
      <c r="S1862" s="28" t="s">
        <v>41</v>
      </c>
      <c r="T1862" s="28" t="s">
        <v>42</v>
      </c>
      <c r="U1862" s="29">
        <v>1</v>
      </c>
      <c r="V1862" s="83">
        <v>1</v>
      </c>
      <c r="W1862" s="28"/>
      <c r="X1862" s="28"/>
      <c r="Y1862" s="28"/>
      <c r="Z1862" s="29"/>
      <c r="AA1862" s="83"/>
      <c r="AB1862" s="74"/>
      <c r="AC1862" s="28"/>
      <c r="AD1862" s="28"/>
      <c r="AE1862" s="28"/>
      <c r="AF1862" s="85"/>
      <c r="AG1862" s="97">
        <v>0</v>
      </c>
      <c r="AH1862" s="6" t="s">
        <v>44</v>
      </c>
    </row>
    <row r="1863" spans="1:34">
      <c r="A1863" s="15" t="s">
        <v>1959</v>
      </c>
      <c r="B1863" s="12" t="s">
        <v>300</v>
      </c>
      <c r="C1863" s="43" t="s">
        <v>1958</v>
      </c>
      <c r="D1863" t="s">
        <v>41</v>
      </c>
      <c r="E1863" s="30" t="s">
        <v>42</v>
      </c>
      <c r="F1863" s="31">
        <v>1</v>
      </c>
      <c r="G1863" s="82">
        <v>1</v>
      </c>
      <c r="L1863" s="82"/>
      <c r="Q1863" s="84"/>
      <c r="R1863" s="30" t="s">
        <v>1929</v>
      </c>
      <c r="S1863" s="30" t="s">
        <v>41</v>
      </c>
      <c r="T1863" s="30" t="s">
        <v>42</v>
      </c>
      <c r="U1863" s="31">
        <v>1</v>
      </c>
      <c r="V1863" s="82">
        <v>1</v>
      </c>
      <c r="AA1863" s="82"/>
      <c r="AF1863" s="84"/>
      <c r="AG1863" s="31">
        <v>0</v>
      </c>
      <c r="AH1863" t="s">
        <v>44</v>
      </c>
    </row>
    <row r="1864" spans="1:34">
      <c r="A1864" s="15" t="s">
        <v>1960</v>
      </c>
      <c r="B1864" s="12" t="s">
        <v>300</v>
      </c>
      <c r="C1864" s="43" t="s">
        <v>1958</v>
      </c>
      <c r="D1864" t="s">
        <v>41</v>
      </c>
      <c r="E1864" s="30" t="s">
        <v>42</v>
      </c>
      <c r="F1864" s="31">
        <v>1</v>
      </c>
      <c r="G1864" s="82">
        <v>1</v>
      </c>
      <c r="L1864" s="82"/>
      <c r="Q1864" s="84"/>
      <c r="R1864" s="30" t="s">
        <v>1929</v>
      </c>
      <c r="S1864" s="30" t="s">
        <v>41</v>
      </c>
      <c r="T1864" s="30" t="s">
        <v>42</v>
      </c>
      <c r="U1864" s="31">
        <v>1</v>
      </c>
      <c r="V1864" s="82">
        <v>1</v>
      </c>
      <c r="AA1864" s="82"/>
      <c r="AF1864" s="84"/>
      <c r="AG1864" s="31">
        <v>0</v>
      </c>
      <c r="AH1864" t="s">
        <v>44</v>
      </c>
    </row>
    <row r="1865" spans="1:34">
      <c r="A1865" s="15" t="s">
        <v>1961</v>
      </c>
      <c r="B1865" s="12" t="s">
        <v>300</v>
      </c>
      <c r="C1865" s="43" t="s">
        <v>1958</v>
      </c>
      <c r="D1865" t="s">
        <v>41</v>
      </c>
      <c r="E1865" s="30" t="s">
        <v>42</v>
      </c>
      <c r="F1865" s="31">
        <v>1</v>
      </c>
      <c r="G1865" s="82">
        <v>1</v>
      </c>
      <c r="L1865" s="82"/>
      <c r="Q1865" s="84"/>
      <c r="R1865" s="30" t="s">
        <v>1929</v>
      </c>
      <c r="S1865" s="30" t="s">
        <v>41</v>
      </c>
      <c r="T1865" s="30" t="s">
        <v>42</v>
      </c>
      <c r="U1865" s="31">
        <v>1</v>
      </c>
      <c r="V1865" s="82">
        <v>1</v>
      </c>
      <c r="AA1865" s="82"/>
      <c r="AF1865" s="84"/>
      <c r="AG1865" s="31">
        <v>0</v>
      </c>
      <c r="AH1865" t="s">
        <v>44</v>
      </c>
    </row>
    <row r="1866" spans="1:34">
      <c r="A1866" s="15" t="s">
        <v>1962</v>
      </c>
      <c r="B1866" s="12" t="s">
        <v>300</v>
      </c>
      <c r="C1866" s="43" t="s">
        <v>1958</v>
      </c>
      <c r="D1866" t="s">
        <v>41</v>
      </c>
      <c r="E1866" s="30" t="s">
        <v>42</v>
      </c>
      <c r="F1866" s="31">
        <v>1</v>
      </c>
      <c r="G1866" s="82">
        <v>1</v>
      </c>
      <c r="L1866" s="82"/>
      <c r="Q1866" s="84"/>
      <c r="R1866" s="30" t="s">
        <v>1929</v>
      </c>
      <c r="S1866" s="30" t="s">
        <v>41</v>
      </c>
      <c r="T1866" s="30" t="s">
        <v>42</v>
      </c>
      <c r="U1866" s="31">
        <v>1</v>
      </c>
      <c r="V1866" s="82">
        <v>0.66666666666666663</v>
      </c>
      <c r="W1866" s="30" t="s">
        <v>161</v>
      </c>
      <c r="X1866" s="30" t="s">
        <v>38</v>
      </c>
      <c r="Y1866" s="30" t="s">
        <v>39</v>
      </c>
      <c r="Z1866" s="31">
        <v>0.83333333333333337</v>
      </c>
      <c r="AA1866" s="82">
        <v>0.33333333333333331</v>
      </c>
      <c r="AF1866" s="84"/>
      <c r="AG1866" s="31">
        <v>0</v>
      </c>
      <c r="AH1866" t="s">
        <v>44</v>
      </c>
    </row>
    <row r="1867" spans="1:34">
      <c r="A1867" s="15" t="s">
        <v>1963</v>
      </c>
      <c r="B1867" s="12" t="s">
        <v>300</v>
      </c>
      <c r="C1867" s="43" t="s">
        <v>37</v>
      </c>
      <c r="D1867" t="s">
        <v>38</v>
      </c>
      <c r="E1867" s="30" t="s">
        <v>39</v>
      </c>
      <c r="F1867" s="31">
        <v>0.970873786407767</v>
      </c>
      <c r="G1867" s="82">
        <v>1</v>
      </c>
      <c r="L1867" s="82"/>
      <c r="Q1867" s="84"/>
      <c r="R1867" s="30" t="s">
        <v>161</v>
      </c>
      <c r="S1867" s="30" t="s">
        <v>38</v>
      </c>
      <c r="T1867" s="30" t="s">
        <v>39</v>
      </c>
      <c r="U1867" s="31">
        <v>0.83333333333333337</v>
      </c>
      <c r="V1867" s="82">
        <v>0.75</v>
      </c>
      <c r="W1867" s="30" t="s">
        <v>1964</v>
      </c>
      <c r="X1867" s="30" t="s">
        <v>38</v>
      </c>
      <c r="Y1867" s="30" t="s">
        <v>39</v>
      </c>
      <c r="Z1867" s="31">
        <v>0.98039215686274506</v>
      </c>
      <c r="AA1867" s="82">
        <v>0.25</v>
      </c>
      <c r="AF1867" s="84"/>
      <c r="AG1867" s="31">
        <v>0</v>
      </c>
      <c r="AH1867" t="s">
        <v>44</v>
      </c>
    </row>
    <row r="1868" spans="1:34">
      <c r="A1868" s="15" t="s">
        <v>1965</v>
      </c>
      <c r="B1868" s="12" t="s">
        <v>300</v>
      </c>
      <c r="C1868" s="43" t="s">
        <v>37</v>
      </c>
      <c r="D1868" t="s">
        <v>38</v>
      </c>
      <c r="E1868" s="30" t="s">
        <v>39</v>
      </c>
      <c r="F1868" s="31">
        <v>0.970873786407767</v>
      </c>
      <c r="G1868" s="82">
        <v>1</v>
      </c>
      <c r="L1868" s="82"/>
      <c r="Q1868" s="84"/>
      <c r="R1868" s="30" t="s">
        <v>161</v>
      </c>
      <c r="S1868" s="30" t="s">
        <v>38</v>
      </c>
      <c r="T1868" s="30" t="s">
        <v>39</v>
      </c>
      <c r="U1868" s="31">
        <v>0.83333333333333337</v>
      </c>
      <c r="V1868" s="82">
        <v>0.5</v>
      </c>
      <c r="W1868" s="30" t="s">
        <v>1964</v>
      </c>
      <c r="X1868" s="30" t="s">
        <v>38</v>
      </c>
      <c r="Y1868" s="30" t="s">
        <v>39</v>
      </c>
      <c r="Z1868" s="31">
        <v>0.98039215686274506</v>
      </c>
      <c r="AA1868" s="82">
        <v>0.5</v>
      </c>
      <c r="AF1868" s="84"/>
      <c r="AG1868" s="31">
        <v>0</v>
      </c>
      <c r="AH1868" t="s">
        <v>44</v>
      </c>
    </row>
    <row r="1869" spans="1:34">
      <c r="A1869" s="15" t="s">
        <v>1966</v>
      </c>
      <c r="B1869" s="12" t="s">
        <v>300</v>
      </c>
      <c r="C1869" s="43" t="s">
        <v>1958</v>
      </c>
      <c r="D1869" t="s">
        <v>41</v>
      </c>
      <c r="E1869" s="30" t="s">
        <v>42</v>
      </c>
      <c r="F1869" s="31">
        <v>1</v>
      </c>
      <c r="G1869" s="82">
        <v>1</v>
      </c>
      <c r="L1869" s="82"/>
      <c r="Q1869" s="84"/>
      <c r="R1869" s="30" t="s">
        <v>1967</v>
      </c>
      <c r="S1869" s="30" t="s">
        <v>409</v>
      </c>
      <c r="T1869" s="30" t="s">
        <v>39</v>
      </c>
      <c r="U1869" s="31">
        <v>0.95238095238095233</v>
      </c>
      <c r="V1869" s="82">
        <v>1</v>
      </c>
      <c r="AA1869" s="82"/>
      <c r="AF1869" s="84"/>
      <c r="AG1869" s="31">
        <v>0</v>
      </c>
      <c r="AH1869" t="s">
        <v>44</v>
      </c>
    </row>
    <row r="1870" spans="1:34">
      <c r="A1870" s="15" t="s">
        <v>1968</v>
      </c>
      <c r="B1870" s="12" t="s">
        <v>300</v>
      </c>
      <c r="C1870" s="43" t="s">
        <v>1958</v>
      </c>
      <c r="D1870" t="s">
        <v>41</v>
      </c>
      <c r="E1870" s="30" t="s">
        <v>42</v>
      </c>
      <c r="F1870" s="31">
        <v>1</v>
      </c>
      <c r="G1870" s="82">
        <v>1</v>
      </c>
      <c r="L1870" s="82"/>
      <c r="Q1870" s="84"/>
      <c r="R1870" s="30" t="s">
        <v>1967</v>
      </c>
      <c r="S1870" s="30" t="s">
        <v>409</v>
      </c>
      <c r="T1870" s="30" t="s">
        <v>39</v>
      </c>
      <c r="U1870" s="31">
        <v>0.95238095238095233</v>
      </c>
      <c r="V1870" s="82">
        <v>1</v>
      </c>
      <c r="AA1870" s="82"/>
      <c r="AF1870" s="84"/>
      <c r="AG1870" s="98">
        <v>0</v>
      </c>
      <c r="AH1870" t="s">
        <v>44</v>
      </c>
    </row>
    <row r="1871" spans="1:34">
      <c r="A1871" s="15" t="s">
        <v>1969</v>
      </c>
      <c r="B1871" s="12" t="s">
        <v>300</v>
      </c>
      <c r="C1871" s="43" t="s">
        <v>1958</v>
      </c>
      <c r="D1871" t="s">
        <v>41</v>
      </c>
      <c r="E1871" s="30" t="s">
        <v>42</v>
      </c>
      <c r="F1871" s="31">
        <v>1</v>
      </c>
      <c r="G1871" s="82">
        <v>1</v>
      </c>
      <c r="L1871" s="82"/>
      <c r="Q1871" s="84"/>
      <c r="R1871" s="30" t="s">
        <v>1967</v>
      </c>
      <c r="S1871" s="30" t="s">
        <v>409</v>
      </c>
      <c r="T1871" s="30" t="s">
        <v>39</v>
      </c>
      <c r="U1871" s="31">
        <v>0.95238095238095233</v>
      </c>
      <c r="V1871" s="82">
        <v>1</v>
      </c>
      <c r="AA1871" s="82"/>
      <c r="AF1871" s="84"/>
      <c r="AG1871" s="31">
        <v>0</v>
      </c>
      <c r="AH1871" t="s">
        <v>44</v>
      </c>
    </row>
    <row r="1872" spans="1:34">
      <c r="A1872" s="15" t="s">
        <v>1970</v>
      </c>
      <c r="B1872" s="12" t="s">
        <v>300</v>
      </c>
      <c r="C1872" s="43" t="s">
        <v>1958</v>
      </c>
      <c r="D1872" t="s">
        <v>41</v>
      </c>
      <c r="E1872" s="30" t="s">
        <v>42</v>
      </c>
      <c r="F1872" s="31">
        <v>1</v>
      </c>
      <c r="G1872" s="82">
        <v>1</v>
      </c>
      <c r="L1872" s="82"/>
      <c r="Q1872" s="84"/>
      <c r="R1872" s="30" t="s">
        <v>1967</v>
      </c>
      <c r="S1872" s="30" t="s">
        <v>409</v>
      </c>
      <c r="T1872" s="30" t="s">
        <v>39</v>
      </c>
      <c r="U1872" s="31">
        <v>0.95238095238095233</v>
      </c>
      <c r="V1872" s="82">
        <v>1</v>
      </c>
      <c r="AA1872" s="82"/>
      <c r="AF1872" s="84"/>
      <c r="AG1872" s="31">
        <v>0</v>
      </c>
      <c r="AH1872" t="s">
        <v>44</v>
      </c>
    </row>
    <row r="1873" spans="1:34">
      <c r="A1873" s="15" t="s">
        <v>1971</v>
      </c>
      <c r="B1873" s="12" t="s">
        <v>300</v>
      </c>
      <c r="C1873" s="43" t="s">
        <v>1958</v>
      </c>
      <c r="D1873" t="s">
        <v>41</v>
      </c>
      <c r="E1873" s="30" t="s">
        <v>42</v>
      </c>
      <c r="F1873" s="31">
        <v>1</v>
      </c>
      <c r="G1873" s="82">
        <v>1</v>
      </c>
      <c r="L1873" s="82"/>
      <c r="Q1873" s="84"/>
      <c r="R1873" s="30" t="s">
        <v>1967</v>
      </c>
      <c r="S1873" s="30" t="s">
        <v>409</v>
      </c>
      <c r="T1873" s="30" t="s">
        <v>39</v>
      </c>
      <c r="U1873" s="31">
        <v>0.95238095238095233</v>
      </c>
      <c r="V1873" s="82">
        <v>0.66</v>
      </c>
      <c r="W1873" s="30" t="s">
        <v>161</v>
      </c>
      <c r="X1873" s="30" t="s">
        <v>38</v>
      </c>
      <c r="Y1873" s="30" t="s">
        <v>39</v>
      </c>
      <c r="Z1873" s="31">
        <v>0.83333333333333337</v>
      </c>
      <c r="AA1873" s="82">
        <v>0.33333333333333331</v>
      </c>
      <c r="AF1873" s="84"/>
      <c r="AG1873" s="31">
        <v>0</v>
      </c>
      <c r="AH1873" t="s">
        <v>44</v>
      </c>
    </row>
    <row r="1874" spans="1:34">
      <c r="A1874" s="15" t="s">
        <v>1972</v>
      </c>
      <c r="B1874" s="12" t="s">
        <v>300</v>
      </c>
      <c r="C1874" s="43" t="s">
        <v>37</v>
      </c>
      <c r="D1874" t="s">
        <v>38</v>
      </c>
      <c r="E1874" s="30" t="s">
        <v>39</v>
      </c>
      <c r="F1874" s="31">
        <v>0.970873786407767</v>
      </c>
      <c r="G1874" s="82">
        <v>1</v>
      </c>
      <c r="L1874" s="82"/>
      <c r="Q1874" s="84"/>
      <c r="R1874" s="30" t="s">
        <v>161</v>
      </c>
      <c r="S1874" s="30" t="s">
        <v>38</v>
      </c>
      <c r="T1874" s="30" t="s">
        <v>39</v>
      </c>
      <c r="U1874" s="31">
        <v>0.83333333333333337</v>
      </c>
      <c r="V1874" s="82">
        <v>0.75</v>
      </c>
      <c r="W1874" s="30" t="s">
        <v>1964</v>
      </c>
      <c r="X1874" s="30" t="s">
        <v>38</v>
      </c>
      <c r="Y1874" s="30" t="s">
        <v>39</v>
      </c>
      <c r="Z1874" s="31">
        <v>0.98039215686274506</v>
      </c>
      <c r="AA1874" s="82">
        <v>0.25</v>
      </c>
      <c r="AF1874" s="84"/>
      <c r="AG1874" s="31">
        <v>0</v>
      </c>
      <c r="AH1874" t="s">
        <v>44</v>
      </c>
    </row>
    <row r="1875" spans="1:34">
      <c r="A1875" s="15" t="s">
        <v>1973</v>
      </c>
      <c r="B1875" s="12" t="s">
        <v>300</v>
      </c>
      <c r="C1875" s="43" t="s">
        <v>37</v>
      </c>
      <c r="D1875" t="s">
        <v>38</v>
      </c>
      <c r="E1875" s="30" t="s">
        <v>39</v>
      </c>
      <c r="F1875" s="31">
        <v>0.970873786407767</v>
      </c>
      <c r="G1875" s="82">
        <v>1</v>
      </c>
      <c r="L1875" s="82"/>
      <c r="Q1875" s="84"/>
      <c r="R1875" s="30" t="s">
        <v>161</v>
      </c>
      <c r="S1875" s="30" t="s">
        <v>38</v>
      </c>
      <c r="T1875" s="30" t="s">
        <v>39</v>
      </c>
      <c r="U1875" s="31">
        <v>0.83333333333333337</v>
      </c>
      <c r="V1875" s="82">
        <v>0.5</v>
      </c>
      <c r="W1875" s="30" t="s">
        <v>1964</v>
      </c>
      <c r="X1875" s="30" t="s">
        <v>38</v>
      </c>
      <c r="Y1875" s="30" t="s">
        <v>39</v>
      </c>
      <c r="Z1875" s="31">
        <v>0.98039215686274506</v>
      </c>
      <c r="AA1875" s="82">
        <v>0.5</v>
      </c>
      <c r="AF1875" s="84"/>
      <c r="AG1875" s="31">
        <v>0</v>
      </c>
      <c r="AH1875" t="s">
        <v>44</v>
      </c>
    </row>
    <row r="1876" spans="1:34">
      <c r="A1876" s="15" t="s">
        <v>1974</v>
      </c>
      <c r="B1876" s="12" t="s">
        <v>300</v>
      </c>
      <c r="C1876" s="43" t="s">
        <v>1958</v>
      </c>
      <c r="D1876" t="s">
        <v>41</v>
      </c>
      <c r="E1876" s="30" t="s">
        <v>42</v>
      </c>
      <c r="F1876" s="31">
        <v>1</v>
      </c>
      <c r="G1876" s="82">
        <v>1</v>
      </c>
      <c r="L1876" s="82"/>
      <c r="Q1876" s="84"/>
      <c r="R1876" s="30" t="s">
        <v>1967</v>
      </c>
      <c r="S1876" s="30" t="s">
        <v>409</v>
      </c>
      <c r="T1876" s="30" t="s">
        <v>39</v>
      </c>
      <c r="U1876" s="31">
        <v>0.95238095238095233</v>
      </c>
      <c r="V1876" s="82">
        <v>1</v>
      </c>
      <c r="AA1876" s="82"/>
      <c r="AF1876" s="84"/>
      <c r="AG1876" s="31">
        <v>0</v>
      </c>
      <c r="AH1876" t="s">
        <v>44</v>
      </c>
    </row>
    <row r="1877" spans="1:34">
      <c r="A1877" s="15" t="s">
        <v>1975</v>
      </c>
      <c r="B1877" s="12" t="s">
        <v>300</v>
      </c>
      <c r="C1877" s="43" t="s">
        <v>1958</v>
      </c>
      <c r="D1877" t="s">
        <v>41</v>
      </c>
      <c r="E1877" s="30" t="s">
        <v>42</v>
      </c>
      <c r="F1877" s="31">
        <v>1</v>
      </c>
      <c r="G1877" s="82">
        <v>1</v>
      </c>
      <c r="L1877" s="82"/>
      <c r="Q1877" s="84"/>
      <c r="R1877" s="30" t="s">
        <v>1967</v>
      </c>
      <c r="S1877" s="30" t="s">
        <v>409</v>
      </c>
      <c r="T1877" s="30" t="s">
        <v>39</v>
      </c>
      <c r="U1877" s="31">
        <v>0.95238095238095233</v>
      </c>
      <c r="V1877" s="82">
        <v>1</v>
      </c>
      <c r="AA1877" s="82"/>
      <c r="AF1877" s="84"/>
      <c r="AG1877" s="31">
        <v>0</v>
      </c>
      <c r="AH1877" t="s">
        <v>44</v>
      </c>
    </row>
    <row r="1878" spans="1:34">
      <c r="A1878" s="15" t="s">
        <v>1976</v>
      </c>
      <c r="B1878" s="12" t="s">
        <v>300</v>
      </c>
      <c r="C1878" s="43" t="s">
        <v>1958</v>
      </c>
      <c r="D1878" t="s">
        <v>41</v>
      </c>
      <c r="E1878" s="30" t="s">
        <v>42</v>
      </c>
      <c r="F1878" s="31">
        <v>1</v>
      </c>
      <c r="G1878" s="82">
        <v>1</v>
      </c>
      <c r="L1878" s="82"/>
      <c r="Q1878" s="84"/>
      <c r="R1878" s="30" t="s">
        <v>1967</v>
      </c>
      <c r="S1878" s="30" t="s">
        <v>409</v>
      </c>
      <c r="T1878" s="30" t="s">
        <v>39</v>
      </c>
      <c r="U1878" s="31">
        <v>0.95238095238095233</v>
      </c>
      <c r="V1878" s="82">
        <v>1</v>
      </c>
      <c r="AA1878" s="82"/>
      <c r="AF1878" s="84"/>
      <c r="AG1878" s="31">
        <v>0</v>
      </c>
      <c r="AH1878" t="s">
        <v>44</v>
      </c>
    </row>
    <row r="1879" spans="1:34">
      <c r="A1879" s="15" t="s">
        <v>1977</v>
      </c>
      <c r="B1879" s="12" t="s">
        <v>300</v>
      </c>
      <c r="C1879" s="43" t="s">
        <v>1958</v>
      </c>
      <c r="D1879" t="s">
        <v>41</v>
      </c>
      <c r="E1879" s="30" t="s">
        <v>42</v>
      </c>
      <c r="F1879" s="31">
        <v>1</v>
      </c>
      <c r="G1879" s="82">
        <v>1</v>
      </c>
      <c r="L1879" s="82"/>
      <c r="Q1879" s="84"/>
      <c r="R1879" s="30" t="s">
        <v>1967</v>
      </c>
      <c r="S1879" s="30" t="s">
        <v>409</v>
      </c>
      <c r="T1879" s="30" t="s">
        <v>39</v>
      </c>
      <c r="U1879" s="31">
        <v>0.95238095238095233</v>
      </c>
      <c r="V1879" s="82">
        <v>1</v>
      </c>
      <c r="AA1879" s="82"/>
      <c r="AF1879" s="84"/>
      <c r="AG1879" s="31">
        <v>0</v>
      </c>
      <c r="AH1879" t="s">
        <v>44</v>
      </c>
    </row>
    <row r="1880" spans="1:34">
      <c r="A1880" s="15" t="s">
        <v>1978</v>
      </c>
      <c r="B1880" s="12" t="s">
        <v>300</v>
      </c>
      <c r="C1880" s="43" t="s">
        <v>1958</v>
      </c>
      <c r="D1880" t="s">
        <v>41</v>
      </c>
      <c r="E1880" s="30" t="s">
        <v>42</v>
      </c>
      <c r="F1880" s="31">
        <v>1</v>
      </c>
      <c r="G1880" s="82">
        <v>1</v>
      </c>
      <c r="L1880" s="82"/>
      <c r="Q1880" s="84"/>
      <c r="R1880" s="30" t="s">
        <v>1967</v>
      </c>
      <c r="S1880" s="30" t="s">
        <v>409</v>
      </c>
      <c r="T1880" s="30" t="s">
        <v>39</v>
      </c>
      <c r="U1880" s="31">
        <v>0.95238095238095233</v>
      </c>
      <c r="V1880" s="82">
        <v>0.8</v>
      </c>
      <c r="W1880" s="30" t="s">
        <v>161</v>
      </c>
      <c r="X1880" s="30" t="s">
        <v>38</v>
      </c>
      <c r="Y1880" s="30" t="s">
        <v>39</v>
      </c>
      <c r="Z1880" s="31">
        <v>0.83333333333333337</v>
      </c>
      <c r="AA1880" s="82">
        <v>0.2</v>
      </c>
      <c r="AF1880" s="84"/>
      <c r="AG1880" s="31">
        <v>0</v>
      </c>
      <c r="AH1880" t="s">
        <v>44</v>
      </c>
    </row>
    <row r="1881" spans="1:34">
      <c r="A1881" s="15" t="s">
        <v>1979</v>
      </c>
      <c r="B1881" s="12" t="s">
        <v>300</v>
      </c>
      <c r="C1881" s="43" t="s">
        <v>37</v>
      </c>
      <c r="D1881" t="s">
        <v>38</v>
      </c>
      <c r="E1881" s="30" t="s">
        <v>39</v>
      </c>
      <c r="F1881" s="31">
        <v>0.970873786407767</v>
      </c>
      <c r="G1881" s="82">
        <v>1</v>
      </c>
      <c r="L1881" s="82"/>
      <c r="Q1881" s="84"/>
      <c r="R1881" s="30" t="s">
        <v>161</v>
      </c>
      <c r="S1881" s="30" t="s">
        <v>38</v>
      </c>
      <c r="T1881" s="30" t="s">
        <v>39</v>
      </c>
      <c r="U1881" s="31">
        <v>0.83333333333333337</v>
      </c>
      <c r="V1881" s="82">
        <v>0.66666666666666663</v>
      </c>
      <c r="W1881" s="30" t="s">
        <v>1964</v>
      </c>
      <c r="X1881" s="30" t="s">
        <v>38</v>
      </c>
      <c r="Y1881" s="30" t="s">
        <v>39</v>
      </c>
      <c r="Z1881" s="31">
        <v>0.98039215686274506</v>
      </c>
      <c r="AA1881" s="82">
        <v>0.33333333333333331</v>
      </c>
      <c r="AF1881" s="84"/>
      <c r="AG1881" s="31">
        <v>0</v>
      </c>
      <c r="AH1881" t="s">
        <v>44</v>
      </c>
    </row>
    <row r="1882" spans="1:34" s="6" customFormat="1">
      <c r="A1882" s="18" t="s">
        <v>1980</v>
      </c>
      <c r="B1882" s="19" t="s">
        <v>350</v>
      </c>
      <c r="C1882" s="42" t="s">
        <v>161</v>
      </c>
      <c r="D1882" s="6" t="s">
        <v>38</v>
      </c>
      <c r="E1882" s="28" t="s">
        <v>39</v>
      </c>
      <c r="F1882" s="29">
        <v>0.81300813008130079</v>
      </c>
      <c r="G1882" s="83">
        <v>1</v>
      </c>
      <c r="H1882" s="28"/>
      <c r="I1882" s="28"/>
      <c r="J1882" s="28"/>
      <c r="K1882" s="29"/>
      <c r="L1882" s="83"/>
      <c r="M1882" s="74"/>
      <c r="N1882" s="28"/>
      <c r="O1882" s="28"/>
      <c r="P1882" s="29"/>
      <c r="Q1882" s="85"/>
      <c r="R1882" s="91" t="s">
        <v>1878</v>
      </c>
      <c r="S1882" s="28" t="s">
        <v>38</v>
      </c>
      <c r="T1882" s="28" t="s">
        <v>1879</v>
      </c>
      <c r="U1882" s="29">
        <v>0.61728395061728392</v>
      </c>
      <c r="V1882" s="83">
        <v>1</v>
      </c>
      <c r="W1882" s="28"/>
      <c r="X1882" s="28"/>
      <c r="Y1882" s="28"/>
      <c r="Z1882" s="29"/>
      <c r="AA1882" s="83"/>
      <c r="AB1882" s="74"/>
      <c r="AC1882" s="28"/>
      <c r="AD1882" s="28"/>
      <c r="AE1882" s="28"/>
      <c r="AF1882" s="85"/>
      <c r="AG1882" s="97">
        <v>0</v>
      </c>
      <c r="AH1882" s="6" t="s">
        <v>44</v>
      </c>
    </row>
    <row r="1883" spans="1:34">
      <c r="A1883" s="15" t="s">
        <v>1981</v>
      </c>
      <c r="B1883" s="12" t="s">
        <v>350</v>
      </c>
      <c r="C1883" s="43" t="s">
        <v>161</v>
      </c>
      <c r="D1883" t="s">
        <v>38</v>
      </c>
      <c r="E1883" s="30" t="s">
        <v>39</v>
      </c>
      <c r="F1883" s="31">
        <v>0.81300813008130079</v>
      </c>
      <c r="G1883" s="82">
        <v>1</v>
      </c>
      <c r="L1883" s="82"/>
      <c r="Q1883" s="84"/>
      <c r="R1883" s="92" t="s">
        <v>1878</v>
      </c>
      <c r="S1883" s="30" t="s">
        <v>38</v>
      </c>
      <c r="T1883" s="30" t="s">
        <v>1879</v>
      </c>
      <c r="U1883" s="31">
        <v>0.61728395061728392</v>
      </c>
      <c r="V1883" s="82">
        <v>1</v>
      </c>
      <c r="AA1883" s="82"/>
      <c r="AF1883" s="84"/>
      <c r="AG1883" s="31">
        <v>0</v>
      </c>
      <c r="AH1883" t="s">
        <v>44</v>
      </c>
    </row>
    <row r="1884" spans="1:34">
      <c r="A1884" s="15" t="s">
        <v>1982</v>
      </c>
      <c r="B1884" s="12" t="s">
        <v>350</v>
      </c>
      <c r="C1884" s="43" t="s">
        <v>161</v>
      </c>
      <c r="D1884" t="s">
        <v>38</v>
      </c>
      <c r="E1884" s="30" t="s">
        <v>39</v>
      </c>
      <c r="F1884" s="31">
        <v>0.81300813008130079</v>
      </c>
      <c r="G1884" s="82">
        <v>1</v>
      </c>
      <c r="L1884" s="82"/>
      <c r="Q1884" s="84"/>
      <c r="R1884" s="92" t="s">
        <v>1878</v>
      </c>
      <c r="S1884" s="30" t="s">
        <v>38</v>
      </c>
      <c r="T1884" s="30" t="s">
        <v>1879</v>
      </c>
      <c r="U1884" s="31">
        <v>0.61728395061728392</v>
      </c>
      <c r="V1884" s="82">
        <v>1</v>
      </c>
      <c r="AA1884" s="82"/>
      <c r="AF1884" s="84"/>
      <c r="AG1884" s="31">
        <v>0</v>
      </c>
      <c r="AH1884" t="s">
        <v>44</v>
      </c>
    </row>
    <row r="1885" spans="1:34">
      <c r="A1885" s="15" t="s">
        <v>1983</v>
      </c>
      <c r="B1885" s="12" t="s">
        <v>350</v>
      </c>
      <c r="C1885" s="43" t="s">
        <v>161</v>
      </c>
      <c r="D1885" t="s">
        <v>38</v>
      </c>
      <c r="E1885" s="30" t="s">
        <v>39</v>
      </c>
      <c r="F1885" s="31">
        <v>0.81300813008130079</v>
      </c>
      <c r="G1885" s="82">
        <v>1</v>
      </c>
      <c r="L1885" s="82"/>
      <c r="Q1885" s="84"/>
      <c r="R1885" s="92" t="s">
        <v>1878</v>
      </c>
      <c r="S1885" s="30" t="s">
        <v>38</v>
      </c>
      <c r="T1885" s="30" t="s">
        <v>1879</v>
      </c>
      <c r="U1885" s="31">
        <v>0.61728395061728392</v>
      </c>
      <c r="V1885" s="82">
        <v>1</v>
      </c>
      <c r="AA1885" s="82"/>
      <c r="AF1885" s="84"/>
      <c r="AG1885" s="31">
        <v>0</v>
      </c>
      <c r="AH1885" t="s">
        <v>44</v>
      </c>
    </row>
    <row r="1886" spans="1:34">
      <c r="A1886" s="15" t="s">
        <v>1984</v>
      </c>
      <c r="B1886" s="12" t="s">
        <v>350</v>
      </c>
      <c r="C1886" s="43" t="s">
        <v>161</v>
      </c>
      <c r="D1886" t="s">
        <v>38</v>
      </c>
      <c r="E1886" s="30" t="s">
        <v>39</v>
      </c>
      <c r="F1886" s="31">
        <v>0.81300813008130079</v>
      </c>
      <c r="G1886" s="82">
        <v>1</v>
      </c>
      <c r="L1886" s="82"/>
      <c r="Q1886" s="84"/>
      <c r="R1886" s="92" t="s">
        <v>1878</v>
      </c>
      <c r="S1886" s="30" t="s">
        <v>38</v>
      </c>
      <c r="T1886" s="30" t="s">
        <v>1879</v>
      </c>
      <c r="U1886" s="31">
        <v>0.61728395061728392</v>
      </c>
      <c r="V1886" s="82">
        <v>1</v>
      </c>
      <c r="AA1886" s="82"/>
      <c r="AF1886" s="84"/>
      <c r="AG1886" s="31">
        <v>0</v>
      </c>
      <c r="AH1886" t="s">
        <v>44</v>
      </c>
    </row>
    <row r="1887" spans="1:34">
      <c r="A1887" s="15" t="s">
        <v>1985</v>
      </c>
      <c r="B1887" s="12" t="s">
        <v>350</v>
      </c>
      <c r="C1887" s="43" t="s">
        <v>161</v>
      </c>
      <c r="D1887" t="s">
        <v>38</v>
      </c>
      <c r="E1887" s="30" t="s">
        <v>39</v>
      </c>
      <c r="F1887" s="31">
        <v>0.81300813008130079</v>
      </c>
      <c r="G1887" s="82">
        <v>1</v>
      </c>
      <c r="L1887" s="82"/>
      <c r="Q1887" s="84"/>
      <c r="R1887" s="92" t="s">
        <v>1878</v>
      </c>
      <c r="S1887" s="30" t="s">
        <v>38</v>
      </c>
      <c r="T1887" s="30" t="s">
        <v>1879</v>
      </c>
      <c r="U1887" s="31">
        <v>0.61728395061728392</v>
      </c>
      <c r="V1887" s="82">
        <v>1</v>
      </c>
      <c r="AA1887" s="82"/>
      <c r="AF1887" s="84"/>
      <c r="AG1887" s="98">
        <v>0</v>
      </c>
      <c r="AH1887" t="s">
        <v>44</v>
      </c>
    </row>
    <row r="1888" spans="1:34">
      <c r="A1888" s="15" t="s">
        <v>1986</v>
      </c>
      <c r="B1888" s="12" t="s">
        <v>350</v>
      </c>
      <c r="C1888" s="43" t="s">
        <v>161</v>
      </c>
      <c r="D1888" t="s">
        <v>38</v>
      </c>
      <c r="E1888" s="30" t="s">
        <v>39</v>
      </c>
      <c r="F1888" s="31">
        <v>0.81300813008130079</v>
      </c>
      <c r="G1888" s="82">
        <v>1</v>
      </c>
      <c r="L1888" s="82"/>
      <c r="Q1888" s="84"/>
      <c r="R1888" s="92" t="s">
        <v>1878</v>
      </c>
      <c r="S1888" s="30" t="s">
        <v>38</v>
      </c>
      <c r="T1888" s="30" t="s">
        <v>1879</v>
      </c>
      <c r="U1888" s="31">
        <v>0.61728395061728392</v>
      </c>
      <c r="V1888" s="82">
        <v>1</v>
      </c>
      <c r="AA1888" s="82"/>
      <c r="AF1888" s="84"/>
      <c r="AG1888" s="31">
        <v>0</v>
      </c>
      <c r="AH1888" t="s">
        <v>44</v>
      </c>
    </row>
    <row r="1889" spans="1:34">
      <c r="A1889" s="15" t="s">
        <v>1987</v>
      </c>
      <c r="B1889" s="12" t="s">
        <v>350</v>
      </c>
      <c r="C1889" s="43" t="s">
        <v>161</v>
      </c>
      <c r="D1889" t="s">
        <v>38</v>
      </c>
      <c r="E1889" s="30" t="s">
        <v>39</v>
      </c>
      <c r="F1889" s="31">
        <v>0.81300813008130079</v>
      </c>
      <c r="G1889" s="82">
        <v>0.5</v>
      </c>
      <c r="H1889" s="43" t="s">
        <v>37</v>
      </c>
      <c r="I1889" t="s">
        <v>38</v>
      </c>
      <c r="J1889" s="30" t="s">
        <v>39</v>
      </c>
      <c r="K1889" s="31">
        <v>0.94339622641509424</v>
      </c>
      <c r="L1889" s="82">
        <v>0.5</v>
      </c>
      <c r="Q1889" s="84"/>
      <c r="R1889" s="92" t="s">
        <v>1878</v>
      </c>
      <c r="S1889" s="30" t="s">
        <v>38</v>
      </c>
      <c r="T1889" s="30" t="s">
        <v>1879</v>
      </c>
      <c r="U1889" s="31">
        <v>0.61728395061728392</v>
      </c>
      <c r="V1889" s="82">
        <v>1</v>
      </c>
      <c r="AA1889" s="82"/>
      <c r="AF1889" s="84"/>
      <c r="AG1889" s="31">
        <v>0</v>
      </c>
      <c r="AH1889" t="s">
        <v>44</v>
      </c>
    </row>
    <row r="1890" spans="1:34">
      <c r="A1890" s="15" t="s">
        <v>1988</v>
      </c>
      <c r="B1890" s="12" t="s">
        <v>350</v>
      </c>
      <c r="C1890" s="43" t="s">
        <v>37</v>
      </c>
      <c r="D1890" t="s">
        <v>38</v>
      </c>
      <c r="E1890" s="30" t="s">
        <v>39</v>
      </c>
      <c r="F1890" s="31">
        <v>0.94339622641509424</v>
      </c>
      <c r="G1890" s="82">
        <v>1</v>
      </c>
      <c r="L1890" s="82"/>
      <c r="Q1890" s="84"/>
      <c r="R1890" s="30" t="s">
        <v>1878</v>
      </c>
      <c r="S1890" s="30" t="s">
        <v>38</v>
      </c>
      <c r="T1890" s="30" t="s">
        <v>1879</v>
      </c>
      <c r="U1890" s="31">
        <v>0.61728395061728392</v>
      </c>
      <c r="V1890" s="82">
        <v>0.75</v>
      </c>
      <c r="W1890" s="30" t="s">
        <v>1885</v>
      </c>
      <c r="X1890" s="30" t="s">
        <v>38</v>
      </c>
      <c r="Y1890" s="30" t="s">
        <v>1879</v>
      </c>
      <c r="Z1890" s="31">
        <v>0.9009009009009008</v>
      </c>
      <c r="AA1890" s="82">
        <v>0.25</v>
      </c>
      <c r="AF1890" s="84"/>
      <c r="AG1890" s="31">
        <v>0</v>
      </c>
      <c r="AH1890" t="s">
        <v>44</v>
      </c>
    </row>
    <row r="1891" spans="1:34">
      <c r="A1891" s="15" t="s">
        <v>1989</v>
      </c>
      <c r="B1891" s="12" t="s">
        <v>350</v>
      </c>
      <c r="C1891" s="43" t="s">
        <v>37</v>
      </c>
      <c r="D1891" t="s">
        <v>38</v>
      </c>
      <c r="E1891" s="30" t="s">
        <v>39</v>
      </c>
      <c r="F1891" s="31">
        <v>0.94339622641509424</v>
      </c>
      <c r="G1891" s="82">
        <v>1</v>
      </c>
      <c r="L1891" s="82"/>
      <c r="Q1891" s="84"/>
      <c r="R1891" s="30" t="s">
        <v>1878</v>
      </c>
      <c r="S1891" s="30" t="s">
        <v>38</v>
      </c>
      <c r="T1891" s="30" t="s">
        <v>1879</v>
      </c>
      <c r="U1891" s="31">
        <v>0.61728395061728392</v>
      </c>
      <c r="V1891" s="82">
        <v>0.5</v>
      </c>
      <c r="W1891" s="30" t="s">
        <v>1885</v>
      </c>
      <c r="X1891" s="30" t="s">
        <v>38</v>
      </c>
      <c r="Y1891" s="30" t="s">
        <v>1879</v>
      </c>
      <c r="Z1891" s="31">
        <v>0.9009009009009008</v>
      </c>
      <c r="AA1891" s="82">
        <v>0.5</v>
      </c>
      <c r="AF1891" s="84"/>
      <c r="AG1891" s="31">
        <v>1</v>
      </c>
      <c r="AH1891" t="s">
        <v>73</v>
      </c>
    </row>
    <row r="1892" spans="1:34">
      <c r="A1892" s="15" t="s">
        <v>1990</v>
      </c>
      <c r="B1892" s="12" t="s">
        <v>350</v>
      </c>
      <c r="C1892" s="43" t="s">
        <v>37</v>
      </c>
      <c r="D1892" t="s">
        <v>38</v>
      </c>
      <c r="E1892" s="30" t="s">
        <v>39</v>
      </c>
      <c r="F1892" s="31">
        <v>0.94339622641509424</v>
      </c>
      <c r="G1892" s="82">
        <v>1</v>
      </c>
      <c r="L1892" s="82"/>
      <c r="Q1892" s="84"/>
      <c r="R1892" s="30" t="s">
        <v>1885</v>
      </c>
      <c r="S1892" s="30" t="s">
        <v>38</v>
      </c>
      <c r="T1892" s="30" t="s">
        <v>1879</v>
      </c>
      <c r="U1892" s="31">
        <v>0.9009009009009008</v>
      </c>
      <c r="V1892" s="82">
        <v>0.75</v>
      </c>
      <c r="W1892" s="30" t="s">
        <v>1949</v>
      </c>
      <c r="X1892" s="30" t="s">
        <v>41</v>
      </c>
      <c r="Y1892" s="30" t="s">
        <v>1950</v>
      </c>
      <c r="Z1892" s="31">
        <v>0.68</v>
      </c>
      <c r="AA1892" s="82">
        <v>0.25</v>
      </c>
      <c r="AF1892" s="84"/>
      <c r="AG1892" s="31">
        <v>1</v>
      </c>
      <c r="AH1892" t="s">
        <v>73</v>
      </c>
    </row>
    <row r="1893" spans="1:34">
      <c r="A1893" s="15" t="s">
        <v>1991</v>
      </c>
      <c r="B1893" s="12" t="s">
        <v>350</v>
      </c>
      <c r="C1893" s="43" t="s">
        <v>37</v>
      </c>
      <c r="D1893" t="s">
        <v>38</v>
      </c>
      <c r="E1893" s="30" t="s">
        <v>39</v>
      </c>
      <c r="F1893" s="31">
        <v>0.94339622641509424</v>
      </c>
      <c r="G1893" s="82">
        <v>1</v>
      </c>
      <c r="L1893" s="82"/>
      <c r="Q1893" s="84"/>
      <c r="R1893" s="30" t="s">
        <v>1885</v>
      </c>
      <c r="S1893" s="30" t="s">
        <v>38</v>
      </c>
      <c r="T1893" s="30" t="s">
        <v>1879</v>
      </c>
      <c r="U1893" s="31">
        <v>0.9009009009009008</v>
      </c>
      <c r="V1893" s="82">
        <v>0.75</v>
      </c>
      <c r="W1893" s="30" t="s">
        <v>1949</v>
      </c>
      <c r="X1893" s="30" t="s">
        <v>41</v>
      </c>
      <c r="Y1893" s="30" t="s">
        <v>1950</v>
      </c>
      <c r="Z1893" s="31">
        <v>0.68</v>
      </c>
      <c r="AA1893" s="82">
        <v>0.25</v>
      </c>
      <c r="AF1893" s="84"/>
      <c r="AG1893" s="31">
        <v>0</v>
      </c>
      <c r="AH1893" t="s">
        <v>44</v>
      </c>
    </row>
    <row r="1894" spans="1:34">
      <c r="A1894" s="15" t="s">
        <v>1992</v>
      </c>
      <c r="B1894" s="12" t="s">
        <v>350</v>
      </c>
      <c r="C1894" s="43" t="s">
        <v>161</v>
      </c>
      <c r="D1894" t="s">
        <v>38</v>
      </c>
      <c r="E1894" s="30" t="s">
        <v>39</v>
      </c>
      <c r="F1894" s="31">
        <v>0.81300813008130079</v>
      </c>
      <c r="G1894" s="82">
        <v>1</v>
      </c>
      <c r="L1894" s="82"/>
      <c r="Q1894" s="84"/>
      <c r="R1894" s="30" t="s">
        <v>1878</v>
      </c>
      <c r="S1894" s="30" t="s">
        <v>38</v>
      </c>
      <c r="T1894" s="30" t="s">
        <v>1879</v>
      </c>
      <c r="U1894" s="31">
        <v>0.61728395061728392</v>
      </c>
      <c r="V1894" s="82">
        <v>1</v>
      </c>
      <c r="AA1894" s="82"/>
      <c r="AF1894" s="84"/>
      <c r="AG1894" s="31">
        <v>0</v>
      </c>
      <c r="AH1894" t="s">
        <v>44</v>
      </c>
    </row>
    <row r="1895" spans="1:34">
      <c r="A1895" s="15" t="s">
        <v>1993</v>
      </c>
      <c r="B1895" s="12" t="s">
        <v>350</v>
      </c>
      <c r="C1895" s="43" t="s">
        <v>161</v>
      </c>
      <c r="D1895" t="s">
        <v>38</v>
      </c>
      <c r="E1895" s="30" t="s">
        <v>39</v>
      </c>
      <c r="F1895" s="31">
        <v>0.81300813008130079</v>
      </c>
      <c r="G1895" s="82">
        <v>1</v>
      </c>
      <c r="L1895" s="82"/>
      <c r="Q1895" s="84"/>
      <c r="R1895" s="30" t="s">
        <v>1878</v>
      </c>
      <c r="S1895" s="30" t="s">
        <v>38</v>
      </c>
      <c r="T1895" s="30" t="s">
        <v>1879</v>
      </c>
      <c r="U1895" s="31">
        <v>0.61728395061728392</v>
      </c>
      <c r="V1895" s="82">
        <v>1</v>
      </c>
      <c r="AA1895" s="82"/>
      <c r="AF1895" s="84"/>
      <c r="AG1895" s="31">
        <v>0</v>
      </c>
      <c r="AH1895" t="s">
        <v>44</v>
      </c>
    </row>
    <row r="1896" spans="1:34">
      <c r="A1896" s="15" t="s">
        <v>1994</v>
      </c>
      <c r="B1896" s="12" t="s">
        <v>350</v>
      </c>
      <c r="C1896" s="43" t="s">
        <v>161</v>
      </c>
      <c r="D1896" t="s">
        <v>38</v>
      </c>
      <c r="E1896" s="30" t="s">
        <v>39</v>
      </c>
      <c r="F1896" s="31">
        <v>0.81300813008130079</v>
      </c>
      <c r="G1896" s="82">
        <v>1</v>
      </c>
      <c r="L1896" s="82"/>
      <c r="Q1896" s="84"/>
      <c r="R1896" s="30" t="s">
        <v>1878</v>
      </c>
      <c r="S1896" s="30" t="s">
        <v>38</v>
      </c>
      <c r="T1896" s="30" t="s">
        <v>1879</v>
      </c>
      <c r="U1896" s="31">
        <v>0.61728395061728392</v>
      </c>
      <c r="V1896" s="82">
        <v>1</v>
      </c>
      <c r="AA1896" s="82"/>
      <c r="AF1896" s="84"/>
      <c r="AG1896" s="31">
        <v>0</v>
      </c>
      <c r="AH1896" t="s">
        <v>44</v>
      </c>
    </row>
    <row r="1897" spans="1:34">
      <c r="A1897" s="15" t="s">
        <v>1995</v>
      </c>
      <c r="B1897" s="12" t="s">
        <v>350</v>
      </c>
      <c r="C1897" s="43" t="s">
        <v>161</v>
      </c>
      <c r="D1897" t="s">
        <v>38</v>
      </c>
      <c r="E1897" s="30" t="s">
        <v>39</v>
      </c>
      <c r="F1897" s="31">
        <v>0.81300813008130079</v>
      </c>
      <c r="G1897" s="82">
        <v>1</v>
      </c>
      <c r="L1897" s="82"/>
      <c r="Q1897" s="84"/>
      <c r="R1897" s="30" t="s">
        <v>1878</v>
      </c>
      <c r="S1897" s="30" t="s">
        <v>38</v>
      </c>
      <c r="T1897" s="30" t="s">
        <v>1879</v>
      </c>
      <c r="U1897" s="31">
        <v>0.61728395061728392</v>
      </c>
      <c r="V1897" s="82">
        <v>1</v>
      </c>
      <c r="AA1897" s="82"/>
      <c r="AF1897" s="84"/>
      <c r="AG1897" s="31">
        <v>0</v>
      </c>
      <c r="AH1897" t="s">
        <v>44</v>
      </c>
    </row>
    <row r="1898" spans="1:34">
      <c r="A1898" s="15" t="s">
        <v>1996</v>
      </c>
      <c r="B1898" s="12" t="s">
        <v>350</v>
      </c>
      <c r="C1898" s="43" t="s">
        <v>161</v>
      </c>
      <c r="D1898" t="s">
        <v>38</v>
      </c>
      <c r="E1898" s="30" t="s">
        <v>39</v>
      </c>
      <c r="F1898" s="31">
        <v>0.81300813008130079</v>
      </c>
      <c r="G1898" s="82">
        <v>1</v>
      </c>
      <c r="L1898" s="82"/>
      <c r="Q1898" s="84"/>
      <c r="R1898" s="30" t="s">
        <v>1878</v>
      </c>
      <c r="S1898" s="30" t="s">
        <v>38</v>
      </c>
      <c r="T1898" s="30" t="s">
        <v>1879</v>
      </c>
      <c r="U1898" s="31">
        <v>0.61728395061728392</v>
      </c>
      <c r="V1898" s="82">
        <v>1</v>
      </c>
      <c r="AA1898" s="82"/>
      <c r="AF1898" s="84"/>
      <c r="AG1898" s="31">
        <v>0</v>
      </c>
      <c r="AH1898" t="s">
        <v>44</v>
      </c>
    </row>
    <row r="1899" spans="1:34">
      <c r="A1899" s="15" t="s">
        <v>1997</v>
      </c>
      <c r="B1899" s="12" t="s">
        <v>350</v>
      </c>
      <c r="C1899" s="43" t="s">
        <v>161</v>
      </c>
      <c r="D1899" t="s">
        <v>38</v>
      </c>
      <c r="E1899" s="30" t="s">
        <v>39</v>
      </c>
      <c r="F1899" s="31">
        <v>0.81300813008130079</v>
      </c>
      <c r="G1899" s="82">
        <v>1</v>
      </c>
      <c r="L1899" s="82"/>
      <c r="Q1899" s="84"/>
      <c r="R1899" s="30" t="s">
        <v>1878</v>
      </c>
      <c r="S1899" s="30" t="s">
        <v>38</v>
      </c>
      <c r="T1899" s="30" t="s">
        <v>1879</v>
      </c>
      <c r="U1899" s="31">
        <v>0.61728395061728392</v>
      </c>
      <c r="V1899" s="82">
        <v>1</v>
      </c>
      <c r="AA1899" s="82"/>
      <c r="AF1899" s="84"/>
      <c r="AG1899" s="31">
        <v>0</v>
      </c>
      <c r="AH1899" t="s">
        <v>44</v>
      </c>
    </row>
    <row r="1900" spans="1:34">
      <c r="A1900" s="15" t="s">
        <v>1998</v>
      </c>
      <c r="B1900" s="12" t="s">
        <v>350</v>
      </c>
      <c r="C1900" s="43" t="s">
        <v>161</v>
      </c>
      <c r="D1900" t="s">
        <v>38</v>
      </c>
      <c r="E1900" s="30" t="s">
        <v>39</v>
      </c>
      <c r="F1900" s="31">
        <v>0.81300813008130079</v>
      </c>
      <c r="G1900" s="82">
        <v>1</v>
      </c>
      <c r="L1900" s="82"/>
      <c r="Q1900" s="84"/>
      <c r="R1900" s="30" t="s">
        <v>1878</v>
      </c>
      <c r="S1900" s="30" t="s">
        <v>38</v>
      </c>
      <c r="T1900" s="30" t="s">
        <v>1879</v>
      </c>
      <c r="U1900" s="31">
        <v>0.61728395061728392</v>
      </c>
      <c r="V1900" s="82">
        <v>1</v>
      </c>
      <c r="AA1900" s="82"/>
      <c r="AF1900" s="84"/>
      <c r="AG1900" s="31">
        <v>0</v>
      </c>
      <c r="AH1900" t="s">
        <v>44</v>
      </c>
    </row>
    <row r="1901" spans="1:34">
      <c r="A1901" s="15" t="s">
        <v>1999</v>
      </c>
      <c r="B1901" s="12" t="s">
        <v>350</v>
      </c>
      <c r="C1901" s="43" t="s">
        <v>161</v>
      </c>
      <c r="D1901" t="s">
        <v>38</v>
      </c>
      <c r="E1901" s="30" t="s">
        <v>39</v>
      </c>
      <c r="F1901" s="31">
        <v>0.81300813008130079</v>
      </c>
      <c r="G1901" s="82">
        <v>0.5</v>
      </c>
      <c r="H1901" s="43" t="s">
        <v>37</v>
      </c>
      <c r="I1901" t="s">
        <v>38</v>
      </c>
      <c r="J1901" s="30" t="s">
        <v>39</v>
      </c>
      <c r="K1901" s="31">
        <v>0.94339622641509424</v>
      </c>
      <c r="L1901" s="82">
        <v>0.5</v>
      </c>
      <c r="Q1901" s="84"/>
      <c r="R1901" s="30" t="s">
        <v>1878</v>
      </c>
      <c r="S1901" s="30" t="s">
        <v>38</v>
      </c>
      <c r="T1901" s="30" t="s">
        <v>1879</v>
      </c>
      <c r="U1901" s="31">
        <v>0.61728395061728392</v>
      </c>
      <c r="V1901" s="82">
        <v>1</v>
      </c>
      <c r="AA1901" s="82"/>
      <c r="AF1901" s="84"/>
      <c r="AG1901" s="31">
        <v>0</v>
      </c>
      <c r="AH1901" t="s">
        <v>44</v>
      </c>
    </row>
    <row r="1902" spans="1:34">
      <c r="A1902" s="15" t="s">
        <v>2000</v>
      </c>
      <c r="B1902" s="12" t="s">
        <v>350</v>
      </c>
      <c r="C1902" s="43" t="s">
        <v>37</v>
      </c>
      <c r="D1902" t="s">
        <v>38</v>
      </c>
      <c r="E1902" s="30" t="s">
        <v>39</v>
      </c>
      <c r="F1902" s="31">
        <v>0.94339622641509424</v>
      </c>
      <c r="G1902" s="82">
        <v>1</v>
      </c>
      <c r="L1902" s="82"/>
      <c r="Q1902" s="84"/>
      <c r="R1902" s="30" t="s">
        <v>1878</v>
      </c>
      <c r="S1902" s="30" t="s">
        <v>38</v>
      </c>
      <c r="T1902" s="30" t="s">
        <v>1879</v>
      </c>
      <c r="U1902" s="31">
        <v>0.61728395061728392</v>
      </c>
      <c r="V1902" s="82">
        <v>0.75</v>
      </c>
      <c r="W1902" s="30" t="s">
        <v>1885</v>
      </c>
      <c r="X1902" s="30" t="s">
        <v>38</v>
      </c>
      <c r="Y1902" s="30" t="s">
        <v>1879</v>
      </c>
      <c r="Z1902" s="31">
        <v>0.9009009009009008</v>
      </c>
      <c r="AA1902" s="82">
        <v>0.25</v>
      </c>
      <c r="AF1902" s="84"/>
      <c r="AG1902" s="31">
        <v>0</v>
      </c>
      <c r="AH1902" t="s">
        <v>44</v>
      </c>
    </row>
    <row r="1903" spans="1:34">
      <c r="A1903" s="15" t="s">
        <v>2001</v>
      </c>
      <c r="B1903" s="12" t="s">
        <v>350</v>
      </c>
      <c r="C1903" s="43" t="s">
        <v>37</v>
      </c>
      <c r="D1903" t="s">
        <v>38</v>
      </c>
      <c r="E1903" s="30" t="s">
        <v>39</v>
      </c>
      <c r="F1903" s="31">
        <v>0.94339622641509424</v>
      </c>
      <c r="G1903" s="82">
        <v>1</v>
      </c>
      <c r="L1903" s="82"/>
      <c r="Q1903" s="84"/>
      <c r="R1903" s="30" t="s">
        <v>1878</v>
      </c>
      <c r="S1903" s="30" t="s">
        <v>38</v>
      </c>
      <c r="T1903" s="30" t="s">
        <v>1879</v>
      </c>
      <c r="U1903" s="31">
        <v>0.61728395061728392</v>
      </c>
      <c r="V1903" s="82">
        <v>0.5</v>
      </c>
      <c r="W1903" s="30" t="s">
        <v>1885</v>
      </c>
      <c r="X1903" s="30" t="s">
        <v>38</v>
      </c>
      <c r="Y1903" s="30" t="s">
        <v>1879</v>
      </c>
      <c r="Z1903" s="31">
        <v>0.9009009009009008</v>
      </c>
      <c r="AA1903" s="82">
        <v>0.5</v>
      </c>
      <c r="AF1903" s="84"/>
      <c r="AG1903" s="31">
        <v>0</v>
      </c>
      <c r="AH1903" t="s">
        <v>44</v>
      </c>
    </row>
    <row r="1904" spans="1:34">
      <c r="A1904" s="15" t="s">
        <v>2002</v>
      </c>
      <c r="B1904" s="12" t="s">
        <v>350</v>
      </c>
      <c r="C1904" s="43" t="s">
        <v>37</v>
      </c>
      <c r="D1904" t="s">
        <v>38</v>
      </c>
      <c r="E1904" s="30" t="s">
        <v>39</v>
      </c>
      <c r="F1904" s="31">
        <v>0.94339622641509424</v>
      </c>
      <c r="G1904" s="82">
        <v>1</v>
      </c>
      <c r="L1904" s="82"/>
      <c r="Q1904" s="84"/>
      <c r="R1904" s="30" t="s">
        <v>1885</v>
      </c>
      <c r="S1904" s="30" t="s">
        <v>38</v>
      </c>
      <c r="T1904" s="30" t="s">
        <v>1879</v>
      </c>
      <c r="U1904" s="31">
        <v>0.9009009009009008</v>
      </c>
      <c r="V1904" s="82">
        <v>0.75</v>
      </c>
      <c r="W1904" s="30" t="s">
        <v>1949</v>
      </c>
      <c r="X1904" s="30" t="s">
        <v>41</v>
      </c>
      <c r="Y1904" s="30" t="s">
        <v>1950</v>
      </c>
      <c r="Z1904" s="31">
        <v>0.68</v>
      </c>
      <c r="AA1904" s="82">
        <v>0.25</v>
      </c>
      <c r="AF1904" s="84"/>
      <c r="AG1904" s="31">
        <v>1</v>
      </c>
      <c r="AH1904" t="s">
        <v>73</v>
      </c>
    </row>
    <row r="1905" spans="1:34">
      <c r="A1905" s="15" t="s">
        <v>2003</v>
      </c>
      <c r="B1905" s="12" t="s">
        <v>350</v>
      </c>
      <c r="C1905" s="43" t="s">
        <v>37</v>
      </c>
      <c r="D1905" t="s">
        <v>38</v>
      </c>
      <c r="E1905" s="30" t="s">
        <v>39</v>
      </c>
      <c r="F1905" s="31">
        <v>0.94339622641509424</v>
      </c>
      <c r="G1905" s="82">
        <v>1</v>
      </c>
      <c r="L1905" s="82"/>
      <c r="Q1905" s="84"/>
      <c r="R1905" s="30" t="s">
        <v>1885</v>
      </c>
      <c r="S1905" s="30" t="s">
        <v>38</v>
      </c>
      <c r="T1905" s="30" t="s">
        <v>1879</v>
      </c>
      <c r="U1905" s="31">
        <v>0.9009009009009008</v>
      </c>
      <c r="V1905" s="82">
        <v>0.75</v>
      </c>
      <c r="W1905" s="30" t="s">
        <v>1949</v>
      </c>
      <c r="X1905" s="30" t="s">
        <v>41</v>
      </c>
      <c r="Y1905" s="30" t="s">
        <v>1950</v>
      </c>
      <c r="Z1905" s="31">
        <v>0.68</v>
      </c>
      <c r="AA1905" s="82">
        <v>0.25</v>
      </c>
      <c r="AF1905" s="84"/>
      <c r="AG1905" s="31">
        <v>1</v>
      </c>
      <c r="AH1905" t="s">
        <v>73</v>
      </c>
    </row>
    <row r="1906" spans="1:34">
      <c r="A1906" s="15" t="s">
        <v>2004</v>
      </c>
      <c r="B1906" s="12" t="s">
        <v>350</v>
      </c>
      <c r="C1906" s="43" t="s">
        <v>161</v>
      </c>
      <c r="D1906" t="s">
        <v>38</v>
      </c>
      <c r="E1906" s="30" t="s">
        <v>39</v>
      </c>
      <c r="F1906" s="31">
        <v>0.81300813008130079</v>
      </c>
      <c r="G1906" s="82">
        <v>1</v>
      </c>
      <c r="L1906" s="82"/>
      <c r="Q1906" s="84"/>
      <c r="R1906" s="30" t="s">
        <v>1878</v>
      </c>
      <c r="S1906" s="30" t="s">
        <v>38</v>
      </c>
      <c r="T1906" s="30" t="s">
        <v>1879</v>
      </c>
      <c r="U1906" s="31">
        <v>0.61728395061728392</v>
      </c>
      <c r="V1906" s="82">
        <v>0.5</v>
      </c>
      <c r="W1906" s="30" t="s">
        <v>161</v>
      </c>
      <c r="X1906" s="30" t="s">
        <v>38</v>
      </c>
      <c r="Y1906" s="30" t="s">
        <v>39</v>
      </c>
      <c r="Z1906" s="31">
        <v>0.83333333333333337</v>
      </c>
      <c r="AA1906" s="82">
        <v>0.5</v>
      </c>
      <c r="AF1906" s="84"/>
      <c r="AG1906" s="31">
        <v>0</v>
      </c>
      <c r="AH1906" t="s">
        <v>44</v>
      </c>
    </row>
    <row r="1907" spans="1:34">
      <c r="A1907" s="15" t="s">
        <v>2005</v>
      </c>
      <c r="B1907" s="12" t="s">
        <v>350</v>
      </c>
      <c r="C1907" s="43" t="s">
        <v>161</v>
      </c>
      <c r="D1907" t="s">
        <v>38</v>
      </c>
      <c r="E1907" s="30" t="s">
        <v>39</v>
      </c>
      <c r="F1907" s="31">
        <v>0.81300813008130079</v>
      </c>
      <c r="G1907" s="82">
        <v>1</v>
      </c>
      <c r="L1907" s="82"/>
      <c r="Q1907" s="84"/>
      <c r="R1907" s="30" t="s">
        <v>1878</v>
      </c>
      <c r="S1907" s="30" t="s">
        <v>38</v>
      </c>
      <c r="T1907" s="30" t="s">
        <v>1879</v>
      </c>
      <c r="U1907" s="31">
        <v>0.61728395061728392</v>
      </c>
      <c r="V1907" s="82">
        <v>0.5</v>
      </c>
      <c r="W1907" s="30" t="s">
        <v>161</v>
      </c>
      <c r="X1907" s="30" t="s">
        <v>38</v>
      </c>
      <c r="Y1907" s="30" t="s">
        <v>39</v>
      </c>
      <c r="Z1907" s="31">
        <v>0.83333333333333337</v>
      </c>
      <c r="AA1907" s="82">
        <v>0.5</v>
      </c>
      <c r="AF1907" s="84"/>
      <c r="AG1907" s="31">
        <v>0</v>
      </c>
      <c r="AH1907" t="s">
        <v>44</v>
      </c>
    </row>
    <row r="1908" spans="1:34">
      <c r="A1908" s="15" t="s">
        <v>2006</v>
      </c>
      <c r="B1908" s="12" t="s">
        <v>350</v>
      </c>
      <c r="C1908" s="43" t="s">
        <v>161</v>
      </c>
      <c r="D1908" t="s">
        <v>38</v>
      </c>
      <c r="E1908" s="30" t="s">
        <v>39</v>
      </c>
      <c r="F1908" s="31">
        <v>0.81300813008130079</v>
      </c>
      <c r="G1908" s="82">
        <v>1</v>
      </c>
      <c r="L1908" s="82"/>
      <c r="Q1908" s="84"/>
      <c r="R1908" s="30" t="s">
        <v>1878</v>
      </c>
      <c r="S1908" s="30" t="s">
        <v>38</v>
      </c>
      <c r="T1908" s="30" t="s">
        <v>1879</v>
      </c>
      <c r="U1908" s="31">
        <v>0.61728395061728392</v>
      </c>
      <c r="V1908" s="82">
        <v>0.5</v>
      </c>
      <c r="W1908" s="30" t="s">
        <v>161</v>
      </c>
      <c r="X1908" s="30" t="s">
        <v>38</v>
      </c>
      <c r="Y1908" s="30" t="s">
        <v>39</v>
      </c>
      <c r="Z1908" s="31">
        <v>0.83333333333333337</v>
      </c>
      <c r="AA1908" s="82">
        <v>0.5</v>
      </c>
      <c r="AF1908" s="84"/>
      <c r="AG1908" s="31">
        <v>0</v>
      </c>
      <c r="AH1908" t="s">
        <v>44</v>
      </c>
    </row>
    <row r="1909" spans="1:34">
      <c r="A1909" s="15" t="s">
        <v>2007</v>
      </c>
      <c r="B1909" s="12" t="s">
        <v>350</v>
      </c>
      <c r="C1909" s="43" t="s">
        <v>161</v>
      </c>
      <c r="D1909" t="s">
        <v>38</v>
      </c>
      <c r="E1909" s="30" t="s">
        <v>39</v>
      </c>
      <c r="F1909" s="31">
        <v>0.81300813008130079</v>
      </c>
      <c r="G1909" s="82">
        <v>1</v>
      </c>
      <c r="L1909" s="82"/>
      <c r="Q1909" s="84"/>
      <c r="R1909" s="30" t="s">
        <v>1878</v>
      </c>
      <c r="S1909" s="30" t="s">
        <v>38</v>
      </c>
      <c r="T1909" s="30" t="s">
        <v>1879</v>
      </c>
      <c r="U1909" s="31">
        <v>0.61728395061728392</v>
      </c>
      <c r="V1909" s="82">
        <v>0.5</v>
      </c>
      <c r="W1909" s="30" t="s">
        <v>161</v>
      </c>
      <c r="X1909" s="30" t="s">
        <v>38</v>
      </c>
      <c r="Y1909" s="30" t="s">
        <v>39</v>
      </c>
      <c r="Z1909" s="31">
        <v>0.83333333333333337</v>
      </c>
      <c r="AA1909" s="82">
        <v>0.5</v>
      </c>
      <c r="AF1909" s="84"/>
      <c r="AG1909" s="31">
        <v>0</v>
      </c>
      <c r="AH1909" t="s">
        <v>44</v>
      </c>
    </row>
    <row r="1910" spans="1:34">
      <c r="A1910" s="15" t="s">
        <v>2008</v>
      </c>
      <c r="B1910" s="12" t="s">
        <v>350</v>
      </c>
      <c r="C1910" s="43" t="s">
        <v>161</v>
      </c>
      <c r="D1910" t="s">
        <v>38</v>
      </c>
      <c r="E1910" s="30" t="s">
        <v>39</v>
      </c>
      <c r="F1910" s="31">
        <v>0.81300813008130079</v>
      </c>
      <c r="G1910" s="82">
        <v>0.5</v>
      </c>
      <c r="H1910" s="43" t="s">
        <v>37</v>
      </c>
      <c r="I1910" t="s">
        <v>38</v>
      </c>
      <c r="J1910" s="30" t="s">
        <v>39</v>
      </c>
      <c r="K1910" s="31">
        <v>0.94339622641509424</v>
      </c>
      <c r="L1910" s="82">
        <v>0.5</v>
      </c>
      <c r="Q1910" s="84"/>
      <c r="R1910" s="30" t="s">
        <v>1878</v>
      </c>
      <c r="S1910" s="30" t="s">
        <v>38</v>
      </c>
      <c r="T1910" s="30" t="s">
        <v>1879</v>
      </c>
      <c r="U1910" s="31">
        <v>0.61728395061728392</v>
      </c>
      <c r="V1910" s="82">
        <v>0.33333333333333331</v>
      </c>
      <c r="W1910" s="30" t="s">
        <v>161</v>
      </c>
      <c r="X1910" s="30" t="s">
        <v>38</v>
      </c>
      <c r="Y1910" s="30" t="s">
        <v>39</v>
      </c>
      <c r="Z1910" s="31">
        <v>0.83333333333333337</v>
      </c>
      <c r="AA1910" s="82">
        <v>0.33333333333333331</v>
      </c>
      <c r="AB1910" s="30" t="s">
        <v>43</v>
      </c>
      <c r="AC1910" s="30" t="s">
        <v>38</v>
      </c>
      <c r="AD1910" s="30" t="s">
        <v>39</v>
      </c>
      <c r="AE1910" s="31">
        <v>0.84745762711864414</v>
      </c>
      <c r="AF1910" s="90">
        <v>0.33333333333333331</v>
      </c>
      <c r="AG1910" s="31">
        <v>0.2</v>
      </c>
      <c r="AH1910" t="s">
        <v>2009</v>
      </c>
    </row>
    <row r="1911" spans="1:34" s="6" customFormat="1">
      <c r="A1911" s="18" t="s">
        <v>2010</v>
      </c>
      <c r="B1911" s="19" t="s">
        <v>407</v>
      </c>
      <c r="C1911" s="42" t="s">
        <v>160</v>
      </c>
      <c r="D1911" s="6" t="s">
        <v>38</v>
      </c>
      <c r="E1911" s="28" t="s">
        <v>39</v>
      </c>
      <c r="F1911" s="29">
        <v>0.87719298245614041</v>
      </c>
      <c r="G1911" s="83">
        <v>0.5</v>
      </c>
      <c r="H1911" s="42" t="s">
        <v>410</v>
      </c>
      <c r="I1911" s="28" t="s">
        <v>38</v>
      </c>
      <c r="J1911" s="28" t="s">
        <v>42</v>
      </c>
      <c r="K1911" s="29">
        <v>3.2258064516129035</v>
      </c>
      <c r="L1911" s="83">
        <v>0.5</v>
      </c>
      <c r="M1911" s="74"/>
      <c r="N1911" s="28"/>
      <c r="O1911" s="28"/>
      <c r="P1911" s="29"/>
      <c r="Q1911" s="85"/>
      <c r="R1911" s="47" t="s">
        <v>411</v>
      </c>
      <c r="S1911" s="47" t="s">
        <v>38</v>
      </c>
      <c r="T1911" s="47" t="s">
        <v>42</v>
      </c>
      <c r="U1911" s="48">
        <v>2.5</v>
      </c>
      <c r="V1911" s="49">
        <v>0.5</v>
      </c>
      <c r="W1911" s="47" t="s">
        <v>160</v>
      </c>
      <c r="X1911" s="47" t="s">
        <v>38</v>
      </c>
      <c r="Y1911" s="47" t="s">
        <v>39</v>
      </c>
      <c r="Z1911" s="48">
        <v>0.90909090909090906</v>
      </c>
      <c r="AA1911" s="49">
        <v>0.25</v>
      </c>
      <c r="AB1911" s="47" t="s">
        <v>408</v>
      </c>
      <c r="AC1911" s="47" t="s">
        <v>409</v>
      </c>
      <c r="AD1911" s="47" t="s">
        <v>39</v>
      </c>
      <c r="AE1911" s="48">
        <v>0.94339622641509424</v>
      </c>
      <c r="AF1911" s="50">
        <v>0.25</v>
      </c>
      <c r="AG1911" s="97">
        <v>0</v>
      </c>
      <c r="AH1911" s="6" t="s">
        <v>44</v>
      </c>
    </row>
    <row r="1912" spans="1:34">
      <c r="A1912" s="15" t="s">
        <v>2011</v>
      </c>
      <c r="B1912" s="12" t="s">
        <v>407</v>
      </c>
      <c r="C1912" s="43" t="s">
        <v>160</v>
      </c>
      <c r="D1912" t="s">
        <v>38</v>
      </c>
      <c r="E1912" s="30" t="s">
        <v>39</v>
      </c>
      <c r="F1912" s="31">
        <v>0.87719298245614041</v>
      </c>
      <c r="G1912" s="82">
        <v>0.5</v>
      </c>
      <c r="H1912" s="43" t="s">
        <v>410</v>
      </c>
      <c r="I1912" s="30" t="s">
        <v>38</v>
      </c>
      <c r="J1912" s="30" t="s">
        <v>42</v>
      </c>
      <c r="K1912" s="31">
        <v>3.2258064516129035</v>
      </c>
      <c r="L1912" s="82">
        <v>0.5</v>
      </c>
      <c r="Q1912" s="84"/>
      <c r="R1912" s="26" t="s">
        <v>411</v>
      </c>
      <c r="S1912" s="26" t="s">
        <v>38</v>
      </c>
      <c r="T1912" s="26" t="s">
        <v>42</v>
      </c>
      <c r="U1912" s="27">
        <v>2.5</v>
      </c>
      <c r="V1912" s="33">
        <v>0.5</v>
      </c>
      <c r="W1912" s="26" t="s">
        <v>160</v>
      </c>
      <c r="X1912" s="26" t="s">
        <v>38</v>
      </c>
      <c r="Y1912" s="26" t="s">
        <v>39</v>
      </c>
      <c r="Z1912" s="27">
        <v>0.90909090909090906</v>
      </c>
      <c r="AA1912" s="33">
        <v>0.25</v>
      </c>
      <c r="AB1912" s="26" t="s">
        <v>408</v>
      </c>
      <c r="AC1912" s="26" t="s">
        <v>409</v>
      </c>
      <c r="AD1912" s="26" t="s">
        <v>39</v>
      </c>
      <c r="AE1912" s="27">
        <v>0.94339622641509424</v>
      </c>
      <c r="AF1912" s="36">
        <v>0.25</v>
      </c>
      <c r="AG1912" s="31">
        <v>0</v>
      </c>
      <c r="AH1912" t="s">
        <v>44</v>
      </c>
    </row>
    <row r="1913" spans="1:34">
      <c r="A1913" s="15" t="s">
        <v>2012</v>
      </c>
      <c r="B1913" s="12" t="s">
        <v>407</v>
      </c>
      <c r="C1913" s="43" t="s">
        <v>160</v>
      </c>
      <c r="D1913" t="s">
        <v>38</v>
      </c>
      <c r="E1913" s="30" t="s">
        <v>39</v>
      </c>
      <c r="F1913" s="31">
        <v>0.87719298245614041</v>
      </c>
      <c r="G1913" s="82">
        <v>0.5</v>
      </c>
      <c r="H1913" s="43" t="s">
        <v>410</v>
      </c>
      <c r="I1913" s="30" t="s">
        <v>38</v>
      </c>
      <c r="J1913" s="30" t="s">
        <v>42</v>
      </c>
      <c r="K1913" s="31">
        <v>3.2258064516129035</v>
      </c>
      <c r="L1913" s="82">
        <v>0.5</v>
      </c>
      <c r="Q1913" s="84"/>
      <c r="R1913" s="30" t="s">
        <v>411</v>
      </c>
      <c r="S1913" s="30" t="s">
        <v>38</v>
      </c>
      <c r="T1913" s="30" t="s">
        <v>42</v>
      </c>
      <c r="U1913" s="31">
        <v>2.5</v>
      </c>
      <c r="V1913" s="82">
        <v>0.5</v>
      </c>
      <c r="W1913" s="30" t="s">
        <v>160</v>
      </c>
      <c r="X1913" s="30" t="s">
        <v>38</v>
      </c>
      <c r="Y1913" s="30" t="s">
        <v>39</v>
      </c>
      <c r="Z1913" s="31">
        <v>0.90909090909090906</v>
      </c>
      <c r="AA1913" s="82">
        <v>0.25</v>
      </c>
      <c r="AB1913" s="30" t="s">
        <v>408</v>
      </c>
      <c r="AC1913" s="30" t="s">
        <v>409</v>
      </c>
      <c r="AD1913" s="30" t="s">
        <v>39</v>
      </c>
      <c r="AE1913" s="31">
        <v>0.94339622641509424</v>
      </c>
      <c r="AF1913" s="84">
        <v>0.25</v>
      </c>
      <c r="AG1913" s="31">
        <v>0</v>
      </c>
      <c r="AH1913" t="s">
        <v>44</v>
      </c>
    </row>
    <row r="1914" spans="1:34">
      <c r="A1914" s="15" t="s">
        <v>2013</v>
      </c>
      <c r="B1914" s="12" t="s">
        <v>407</v>
      </c>
      <c r="C1914" s="43" t="s">
        <v>160</v>
      </c>
      <c r="D1914" t="s">
        <v>38</v>
      </c>
      <c r="E1914" s="30" t="s">
        <v>39</v>
      </c>
      <c r="F1914" s="31">
        <v>0.87719298245614041</v>
      </c>
      <c r="G1914" s="82">
        <v>0.5</v>
      </c>
      <c r="H1914" s="43" t="s">
        <v>410</v>
      </c>
      <c r="I1914" s="30" t="s">
        <v>38</v>
      </c>
      <c r="J1914" s="30" t="s">
        <v>42</v>
      </c>
      <c r="K1914" s="31">
        <v>3.2258064516129035</v>
      </c>
      <c r="L1914" s="82">
        <v>0.5</v>
      </c>
      <c r="Q1914" s="84"/>
      <c r="R1914" s="30" t="s">
        <v>411</v>
      </c>
      <c r="S1914" s="30" t="s">
        <v>38</v>
      </c>
      <c r="T1914" s="30" t="s">
        <v>42</v>
      </c>
      <c r="U1914" s="31">
        <v>2.5</v>
      </c>
      <c r="V1914" s="82">
        <v>0.5</v>
      </c>
      <c r="W1914" s="30" t="s">
        <v>160</v>
      </c>
      <c r="X1914" s="30" t="s">
        <v>38</v>
      </c>
      <c r="Y1914" s="30" t="s">
        <v>39</v>
      </c>
      <c r="Z1914" s="31">
        <v>0.90909090909090906</v>
      </c>
      <c r="AA1914" s="82">
        <v>0.25</v>
      </c>
      <c r="AB1914" s="30" t="s">
        <v>408</v>
      </c>
      <c r="AC1914" s="30" t="s">
        <v>409</v>
      </c>
      <c r="AD1914" s="30" t="s">
        <v>39</v>
      </c>
      <c r="AE1914" s="31">
        <v>0.94339622641509424</v>
      </c>
      <c r="AF1914" s="84">
        <v>0.25</v>
      </c>
      <c r="AG1914" s="31">
        <v>0</v>
      </c>
      <c r="AH1914" t="s">
        <v>44</v>
      </c>
    </row>
    <row r="1915" spans="1:34">
      <c r="A1915" s="15" t="s">
        <v>2014</v>
      </c>
      <c r="B1915" s="12" t="s">
        <v>407</v>
      </c>
      <c r="C1915" s="43" t="s">
        <v>160</v>
      </c>
      <c r="D1915" t="s">
        <v>38</v>
      </c>
      <c r="E1915" s="30" t="s">
        <v>39</v>
      </c>
      <c r="F1915" s="31">
        <v>0.87719298245614041</v>
      </c>
      <c r="G1915" s="82">
        <v>0.5</v>
      </c>
      <c r="H1915" s="43" t="s">
        <v>410</v>
      </c>
      <c r="I1915" s="30" t="s">
        <v>38</v>
      </c>
      <c r="J1915" s="30" t="s">
        <v>42</v>
      </c>
      <c r="K1915" s="31">
        <v>3.2258064516129035</v>
      </c>
      <c r="L1915" s="82">
        <v>0.5</v>
      </c>
      <c r="Q1915" s="84"/>
      <c r="R1915" s="30" t="s">
        <v>411</v>
      </c>
      <c r="S1915" s="30" t="s">
        <v>38</v>
      </c>
      <c r="T1915" s="30" t="s">
        <v>42</v>
      </c>
      <c r="U1915" s="31">
        <v>2.5</v>
      </c>
      <c r="V1915" s="82">
        <v>0.5</v>
      </c>
      <c r="W1915" s="30" t="s">
        <v>160</v>
      </c>
      <c r="X1915" s="30" t="s">
        <v>38</v>
      </c>
      <c r="Y1915" s="30" t="s">
        <v>39</v>
      </c>
      <c r="Z1915" s="31">
        <v>0.90909090909090906</v>
      </c>
      <c r="AA1915" s="82">
        <v>0.25</v>
      </c>
      <c r="AB1915" s="30" t="s">
        <v>408</v>
      </c>
      <c r="AC1915" s="30" t="s">
        <v>409</v>
      </c>
      <c r="AD1915" s="30" t="s">
        <v>39</v>
      </c>
      <c r="AE1915" s="31">
        <v>0.94339622641509424</v>
      </c>
      <c r="AF1915" s="84">
        <v>0.25</v>
      </c>
      <c r="AG1915" s="31">
        <v>0</v>
      </c>
      <c r="AH1915" t="s">
        <v>44</v>
      </c>
    </row>
    <row r="1916" spans="1:34">
      <c r="A1916" s="15" t="s">
        <v>2015</v>
      </c>
      <c r="B1916" s="12" t="s">
        <v>407</v>
      </c>
      <c r="C1916" s="43" t="s">
        <v>160</v>
      </c>
      <c r="D1916" t="s">
        <v>38</v>
      </c>
      <c r="E1916" s="30" t="s">
        <v>39</v>
      </c>
      <c r="F1916" s="31">
        <v>0.87719298245614041</v>
      </c>
      <c r="G1916" s="82">
        <v>0.5</v>
      </c>
      <c r="H1916" s="43" t="s">
        <v>410</v>
      </c>
      <c r="I1916" s="30" t="s">
        <v>38</v>
      </c>
      <c r="J1916" s="30" t="s">
        <v>42</v>
      </c>
      <c r="K1916" s="31">
        <v>3.2258064516129035</v>
      </c>
      <c r="L1916" s="82">
        <v>0.5</v>
      </c>
      <c r="Q1916" s="84"/>
      <c r="R1916" s="30" t="s">
        <v>411</v>
      </c>
      <c r="S1916" s="30" t="s">
        <v>38</v>
      </c>
      <c r="T1916" s="30" t="s">
        <v>42</v>
      </c>
      <c r="U1916" s="31">
        <v>2.5</v>
      </c>
      <c r="V1916" s="82">
        <v>0.5</v>
      </c>
      <c r="W1916" s="30" t="s">
        <v>160</v>
      </c>
      <c r="X1916" s="30" t="s">
        <v>38</v>
      </c>
      <c r="Y1916" s="30" t="s">
        <v>39</v>
      </c>
      <c r="Z1916" s="31">
        <v>0.90909090909090906</v>
      </c>
      <c r="AA1916" s="82">
        <v>0.25</v>
      </c>
      <c r="AB1916" s="30" t="s">
        <v>408</v>
      </c>
      <c r="AC1916" s="30" t="s">
        <v>409</v>
      </c>
      <c r="AD1916" s="30" t="s">
        <v>39</v>
      </c>
      <c r="AE1916" s="31">
        <v>0.94339622641509424</v>
      </c>
      <c r="AF1916" s="84">
        <v>0.25</v>
      </c>
      <c r="AG1916" s="31">
        <v>0</v>
      </c>
      <c r="AH1916" t="s">
        <v>44</v>
      </c>
    </row>
    <row r="1917" spans="1:34">
      <c r="A1917" s="15" t="s">
        <v>2016</v>
      </c>
      <c r="B1917" s="12" t="s">
        <v>407</v>
      </c>
      <c r="C1917" s="43" t="s">
        <v>160</v>
      </c>
      <c r="D1917" t="s">
        <v>38</v>
      </c>
      <c r="E1917" s="30" t="s">
        <v>39</v>
      </c>
      <c r="F1917" s="31">
        <v>0.87719298245614041</v>
      </c>
      <c r="G1917" s="82">
        <v>0.5</v>
      </c>
      <c r="H1917" s="43" t="s">
        <v>410</v>
      </c>
      <c r="I1917" s="30" t="s">
        <v>38</v>
      </c>
      <c r="J1917" s="30" t="s">
        <v>42</v>
      </c>
      <c r="K1917" s="31">
        <v>3.2258064516129035</v>
      </c>
      <c r="L1917" s="82">
        <v>0.5</v>
      </c>
      <c r="Q1917" s="84"/>
      <c r="R1917" s="30" t="s">
        <v>411</v>
      </c>
      <c r="S1917" s="30" t="s">
        <v>38</v>
      </c>
      <c r="T1917" s="30" t="s">
        <v>42</v>
      </c>
      <c r="U1917" s="31">
        <v>2.5</v>
      </c>
      <c r="V1917" s="82">
        <v>0.5</v>
      </c>
      <c r="W1917" s="30" t="s">
        <v>160</v>
      </c>
      <c r="X1917" s="30" t="s">
        <v>38</v>
      </c>
      <c r="Y1917" s="30" t="s">
        <v>39</v>
      </c>
      <c r="Z1917" s="31">
        <v>0.90909090909090906</v>
      </c>
      <c r="AA1917" s="82">
        <v>0.25</v>
      </c>
      <c r="AB1917" s="30" t="s">
        <v>408</v>
      </c>
      <c r="AC1917" s="30" t="s">
        <v>409</v>
      </c>
      <c r="AD1917" s="30" t="s">
        <v>39</v>
      </c>
      <c r="AE1917" s="31">
        <v>0.94339622641509424</v>
      </c>
      <c r="AF1917" s="84">
        <v>0.25</v>
      </c>
      <c r="AG1917" s="31">
        <v>0</v>
      </c>
      <c r="AH1917" t="s">
        <v>44</v>
      </c>
    </row>
    <row r="1918" spans="1:34">
      <c r="A1918" s="15" t="s">
        <v>2017</v>
      </c>
      <c r="B1918" s="12" t="s">
        <v>407</v>
      </c>
      <c r="C1918" s="43" t="s">
        <v>160</v>
      </c>
      <c r="D1918" t="s">
        <v>38</v>
      </c>
      <c r="E1918" s="30" t="s">
        <v>39</v>
      </c>
      <c r="F1918" s="31">
        <v>0.87719298245614041</v>
      </c>
      <c r="G1918" s="82">
        <v>0.5</v>
      </c>
      <c r="H1918" s="43" t="s">
        <v>410</v>
      </c>
      <c r="I1918" s="30" t="s">
        <v>38</v>
      </c>
      <c r="J1918" s="30" t="s">
        <v>42</v>
      </c>
      <c r="K1918" s="31">
        <v>3.2258064516129035</v>
      </c>
      <c r="L1918" s="82">
        <v>0.5</v>
      </c>
      <c r="Q1918" s="84"/>
      <c r="R1918" s="30" t="s">
        <v>411</v>
      </c>
      <c r="S1918" s="30" t="s">
        <v>38</v>
      </c>
      <c r="T1918" s="30" t="s">
        <v>42</v>
      </c>
      <c r="U1918" s="31">
        <v>2.5</v>
      </c>
      <c r="V1918" s="82">
        <v>0.5</v>
      </c>
      <c r="W1918" s="30" t="s">
        <v>160</v>
      </c>
      <c r="X1918" s="30" t="s">
        <v>38</v>
      </c>
      <c r="Y1918" s="30" t="s">
        <v>39</v>
      </c>
      <c r="Z1918" s="31">
        <v>0.90909090909090906</v>
      </c>
      <c r="AA1918" s="82">
        <v>0.25</v>
      </c>
      <c r="AB1918" s="30" t="s">
        <v>2018</v>
      </c>
      <c r="AC1918" s="30" t="s">
        <v>409</v>
      </c>
      <c r="AD1918" s="30" t="s">
        <v>39</v>
      </c>
      <c r="AE1918" s="31">
        <v>0.970873786407767</v>
      </c>
      <c r="AF1918" s="84">
        <v>0.25</v>
      </c>
      <c r="AG1918" s="31">
        <v>0</v>
      </c>
      <c r="AH1918" t="s">
        <v>44</v>
      </c>
    </row>
    <row r="1919" spans="1:34">
      <c r="A1919" s="15" t="s">
        <v>2019</v>
      </c>
      <c r="B1919" s="12" t="s">
        <v>407</v>
      </c>
      <c r="C1919" s="43" t="s">
        <v>160</v>
      </c>
      <c r="D1919" t="s">
        <v>38</v>
      </c>
      <c r="E1919" s="30" t="s">
        <v>39</v>
      </c>
      <c r="F1919" s="31">
        <v>0.87719298245614041</v>
      </c>
      <c r="G1919" s="82">
        <v>0.5</v>
      </c>
      <c r="H1919" s="43" t="s">
        <v>410</v>
      </c>
      <c r="I1919" s="30" t="s">
        <v>38</v>
      </c>
      <c r="J1919" s="30" t="s">
        <v>42</v>
      </c>
      <c r="K1919" s="31">
        <v>3.2258064516129035</v>
      </c>
      <c r="L1919" s="82">
        <v>0.5</v>
      </c>
      <c r="Q1919" s="84"/>
      <c r="R1919" s="30" t="s">
        <v>411</v>
      </c>
      <c r="S1919" s="30" t="s">
        <v>38</v>
      </c>
      <c r="T1919" s="30" t="s">
        <v>42</v>
      </c>
      <c r="U1919" s="31">
        <v>2.5</v>
      </c>
      <c r="V1919" s="82">
        <v>0.5</v>
      </c>
      <c r="W1919" s="30" t="s">
        <v>160</v>
      </c>
      <c r="X1919" s="30" t="s">
        <v>38</v>
      </c>
      <c r="Y1919" s="30" t="s">
        <v>39</v>
      </c>
      <c r="Z1919" s="31">
        <v>0.90909090909090906</v>
      </c>
      <c r="AA1919" s="82">
        <v>0.25</v>
      </c>
      <c r="AB1919" s="30" t="s">
        <v>2018</v>
      </c>
      <c r="AC1919" s="30" t="s">
        <v>409</v>
      </c>
      <c r="AD1919" s="30" t="s">
        <v>39</v>
      </c>
      <c r="AE1919" s="31">
        <v>0.970873786407767</v>
      </c>
      <c r="AF1919" s="84">
        <v>0.25</v>
      </c>
      <c r="AG1919" s="98">
        <v>0</v>
      </c>
      <c r="AH1919" t="s">
        <v>44</v>
      </c>
    </row>
    <row r="1920" spans="1:34">
      <c r="A1920" s="15" t="s">
        <v>2020</v>
      </c>
      <c r="B1920" s="12" t="s">
        <v>407</v>
      </c>
      <c r="C1920" s="43" t="s">
        <v>160</v>
      </c>
      <c r="D1920" t="s">
        <v>38</v>
      </c>
      <c r="E1920" s="30" t="s">
        <v>39</v>
      </c>
      <c r="F1920" s="31">
        <v>0.87719298245614041</v>
      </c>
      <c r="G1920" s="82">
        <v>0.5</v>
      </c>
      <c r="H1920" s="43" t="s">
        <v>410</v>
      </c>
      <c r="I1920" s="30" t="s">
        <v>38</v>
      </c>
      <c r="J1920" s="30" t="s">
        <v>42</v>
      </c>
      <c r="K1920" s="31">
        <v>3.2258064516129035</v>
      </c>
      <c r="L1920" s="82">
        <v>0.5</v>
      </c>
      <c r="Q1920" s="84"/>
      <c r="R1920" s="30" t="s">
        <v>411</v>
      </c>
      <c r="S1920" s="30" t="s">
        <v>38</v>
      </c>
      <c r="T1920" s="30" t="s">
        <v>42</v>
      </c>
      <c r="U1920" s="31">
        <v>2.5</v>
      </c>
      <c r="V1920" s="82">
        <v>0.5</v>
      </c>
      <c r="W1920" s="30" t="s">
        <v>160</v>
      </c>
      <c r="X1920" s="30" t="s">
        <v>38</v>
      </c>
      <c r="Y1920" s="30" t="s">
        <v>39</v>
      </c>
      <c r="Z1920" s="31">
        <v>0.90909090909090906</v>
      </c>
      <c r="AA1920" s="82">
        <v>0.25</v>
      </c>
      <c r="AB1920" s="30" t="s">
        <v>2018</v>
      </c>
      <c r="AC1920" s="30" t="s">
        <v>409</v>
      </c>
      <c r="AD1920" s="30" t="s">
        <v>39</v>
      </c>
      <c r="AE1920" s="31">
        <v>0.970873786407767</v>
      </c>
      <c r="AF1920" s="84">
        <v>0.25</v>
      </c>
      <c r="AG1920" s="31">
        <v>0</v>
      </c>
      <c r="AH1920" t="s">
        <v>44</v>
      </c>
    </row>
    <row r="1921" spans="1:34">
      <c r="A1921" s="15" t="s">
        <v>2021</v>
      </c>
      <c r="B1921" s="12" t="s">
        <v>407</v>
      </c>
      <c r="C1921" s="43" t="s">
        <v>2018</v>
      </c>
      <c r="D1921" t="s">
        <v>409</v>
      </c>
      <c r="E1921" s="30" t="s">
        <v>39</v>
      </c>
      <c r="F1921" s="31">
        <v>0.970873786407767</v>
      </c>
      <c r="G1921" s="82">
        <v>0.5</v>
      </c>
      <c r="H1921" s="43" t="s">
        <v>410</v>
      </c>
      <c r="I1921" s="30" t="s">
        <v>38</v>
      </c>
      <c r="J1921" s="30" t="s">
        <v>42</v>
      </c>
      <c r="K1921" s="31">
        <v>3.2258064516129035</v>
      </c>
      <c r="L1921" s="82">
        <v>0.5</v>
      </c>
      <c r="Q1921" s="84"/>
      <c r="R1921" s="30" t="s">
        <v>411</v>
      </c>
      <c r="S1921" s="30" t="s">
        <v>38</v>
      </c>
      <c r="T1921" s="30" t="s">
        <v>42</v>
      </c>
      <c r="U1921" s="31">
        <v>2.5</v>
      </c>
      <c r="V1921" s="82">
        <v>0.66666666666666663</v>
      </c>
      <c r="W1921" s="26" t="s">
        <v>408</v>
      </c>
      <c r="X1921" s="30" t="s">
        <v>409</v>
      </c>
      <c r="Y1921" s="30" t="s">
        <v>39</v>
      </c>
      <c r="Z1921" s="31">
        <v>0.94339622641509424</v>
      </c>
      <c r="AA1921" s="82">
        <v>0.33333333333333331</v>
      </c>
      <c r="AB1921" s="26"/>
      <c r="AE1921" s="31"/>
      <c r="AF1921" s="84"/>
      <c r="AG1921" s="31">
        <v>0</v>
      </c>
      <c r="AH1921" t="s">
        <v>44</v>
      </c>
    </row>
    <row r="1922" spans="1:34">
      <c r="A1922" s="15" t="s">
        <v>2022</v>
      </c>
      <c r="B1922" s="12" t="s">
        <v>407</v>
      </c>
      <c r="C1922" s="43" t="s">
        <v>2018</v>
      </c>
      <c r="D1922" t="s">
        <v>409</v>
      </c>
      <c r="E1922" s="30" t="s">
        <v>39</v>
      </c>
      <c r="F1922" s="31">
        <v>0.970873786407767</v>
      </c>
      <c r="G1922" s="82">
        <v>0.5</v>
      </c>
      <c r="H1922" s="43" t="s">
        <v>410</v>
      </c>
      <c r="I1922" s="30" t="s">
        <v>38</v>
      </c>
      <c r="J1922" s="30" t="s">
        <v>42</v>
      </c>
      <c r="K1922" s="31">
        <v>3.2258064516129035</v>
      </c>
      <c r="L1922" s="82">
        <v>0.5</v>
      </c>
      <c r="Q1922" s="84"/>
      <c r="R1922" s="30" t="s">
        <v>411</v>
      </c>
      <c r="S1922" s="30" t="s">
        <v>38</v>
      </c>
      <c r="T1922" s="30" t="s">
        <v>42</v>
      </c>
      <c r="U1922" s="31">
        <v>2.5</v>
      </c>
      <c r="V1922" s="82">
        <v>0.66666666666666663</v>
      </c>
      <c r="W1922" s="30" t="s">
        <v>408</v>
      </c>
      <c r="X1922" s="30" t="s">
        <v>409</v>
      </c>
      <c r="Y1922" s="30" t="s">
        <v>39</v>
      </c>
      <c r="Z1922" s="31">
        <v>0.94339622641509424</v>
      </c>
      <c r="AA1922" s="82">
        <v>0.33333333333333331</v>
      </c>
      <c r="AB1922" s="30"/>
      <c r="AE1922" s="31"/>
      <c r="AF1922" s="84"/>
      <c r="AG1922" s="31">
        <v>0</v>
      </c>
      <c r="AH1922" t="s">
        <v>44</v>
      </c>
    </row>
    <row r="1923" spans="1:34">
      <c r="A1923" s="15" t="s">
        <v>2023</v>
      </c>
      <c r="B1923" s="12" t="s">
        <v>407</v>
      </c>
      <c r="C1923" s="43" t="s">
        <v>2018</v>
      </c>
      <c r="D1923" t="s">
        <v>409</v>
      </c>
      <c r="E1923" s="30" t="s">
        <v>39</v>
      </c>
      <c r="F1923" s="31">
        <v>0.970873786407767</v>
      </c>
      <c r="G1923" s="82">
        <v>0.5</v>
      </c>
      <c r="H1923" s="43" t="s">
        <v>410</v>
      </c>
      <c r="I1923" s="30" t="s">
        <v>38</v>
      </c>
      <c r="J1923" s="30" t="s">
        <v>42</v>
      </c>
      <c r="K1923" s="31">
        <v>3.2258064516129035</v>
      </c>
      <c r="L1923" s="82">
        <v>0.5</v>
      </c>
      <c r="Q1923" s="84"/>
      <c r="R1923" s="30" t="s">
        <v>411</v>
      </c>
      <c r="S1923" s="30" t="s">
        <v>38</v>
      </c>
      <c r="T1923" s="30" t="s">
        <v>42</v>
      </c>
      <c r="U1923" s="31">
        <v>2.5</v>
      </c>
      <c r="V1923" s="82">
        <v>0.66666666666666663</v>
      </c>
      <c r="W1923" s="30" t="s">
        <v>408</v>
      </c>
      <c r="X1923" s="30" t="s">
        <v>409</v>
      </c>
      <c r="Y1923" s="30" t="s">
        <v>39</v>
      </c>
      <c r="Z1923" s="31">
        <v>0.94339622641509424</v>
      </c>
      <c r="AA1923" s="82">
        <v>0.33333333333333331</v>
      </c>
      <c r="AB1923" s="30"/>
      <c r="AE1923" s="31"/>
      <c r="AF1923" s="84"/>
      <c r="AG1923" s="31">
        <v>0</v>
      </c>
      <c r="AH1923" t="s">
        <v>44</v>
      </c>
    </row>
    <row r="1924" spans="1:34">
      <c r="A1924" s="15" t="s">
        <v>2024</v>
      </c>
      <c r="B1924" s="12" t="s">
        <v>407</v>
      </c>
      <c r="C1924" s="43" t="s">
        <v>2018</v>
      </c>
      <c r="D1924" t="s">
        <v>409</v>
      </c>
      <c r="E1924" s="30" t="s">
        <v>39</v>
      </c>
      <c r="F1924" s="31">
        <v>0.970873786407767</v>
      </c>
      <c r="G1924" s="82">
        <v>0.5</v>
      </c>
      <c r="H1924" s="43" t="s">
        <v>410</v>
      </c>
      <c r="I1924" s="30" t="s">
        <v>38</v>
      </c>
      <c r="J1924" s="30" t="s">
        <v>42</v>
      </c>
      <c r="K1924" s="31">
        <v>3.2258064516129035</v>
      </c>
      <c r="L1924" s="82">
        <v>0.5</v>
      </c>
      <c r="Q1924" s="84"/>
      <c r="R1924" s="30" t="s">
        <v>411</v>
      </c>
      <c r="S1924" s="30" t="s">
        <v>38</v>
      </c>
      <c r="T1924" s="30" t="s">
        <v>42</v>
      </c>
      <c r="U1924" s="31">
        <v>2.5</v>
      </c>
      <c r="V1924" s="82">
        <v>0.66666666666666663</v>
      </c>
      <c r="W1924" s="30" t="s">
        <v>408</v>
      </c>
      <c r="X1924" s="30" t="s">
        <v>409</v>
      </c>
      <c r="Y1924" s="30" t="s">
        <v>39</v>
      </c>
      <c r="Z1924" s="31">
        <v>0.94339622641509424</v>
      </c>
      <c r="AA1924" s="82">
        <v>0.33333333333333331</v>
      </c>
      <c r="AB1924" s="30"/>
      <c r="AE1924" s="31"/>
      <c r="AF1924" s="84"/>
      <c r="AG1924" s="31">
        <v>0</v>
      </c>
      <c r="AH1924" t="s">
        <v>44</v>
      </c>
    </row>
    <row r="1925" spans="1:34">
      <c r="A1925" s="15" t="s">
        <v>2025</v>
      </c>
      <c r="B1925" s="12" t="s">
        <v>407</v>
      </c>
      <c r="C1925" s="43" t="s">
        <v>2018</v>
      </c>
      <c r="D1925" t="s">
        <v>409</v>
      </c>
      <c r="E1925" s="30" t="s">
        <v>39</v>
      </c>
      <c r="F1925" s="31">
        <v>0.970873786407767</v>
      </c>
      <c r="G1925" s="82">
        <v>0.5</v>
      </c>
      <c r="H1925" s="43" t="s">
        <v>410</v>
      </c>
      <c r="I1925" s="30" t="s">
        <v>38</v>
      </c>
      <c r="J1925" s="30" t="s">
        <v>42</v>
      </c>
      <c r="K1925" s="31">
        <v>3.2258064516129035</v>
      </c>
      <c r="L1925" s="82">
        <v>0.5</v>
      </c>
      <c r="Q1925" s="84"/>
      <c r="R1925" s="30" t="s">
        <v>411</v>
      </c>
      <c r="S1925" s="30" t="s">
        <v>38</v>
      </c>
      <c r="T1925" s="30" t="s">
        <v>42</v>
      </c>
      <c r="U1925" s="31">
        <v>2.5</v>
      </c>
      <c r="V1925" s="82">
        <v>0.66666666666666663</v>
      </c>
      <c r="W1925" s="30" t="s">
        <v>408</v>
      </c>
      <c r="X1925" s="30" t="s">
        <v>409</v>
      </c>
      <c r="Y1925" s="30" t="s">
        <v>39</v>
      </c>
      <c r="Z1925" s="31">
        <v>0.94339622641509424</v>
      </c>
      <c r="AA1925" s="82">
        <v>0.33333333333333331</v>
      </c>
      <c r="AB1925" s="30"/>
      <c r="AE1925" s="31"/>
      <c r="AF1925" s="84"/>
      <c r="AG1925" s="31">
        <v>0</v>
      </c>
      <c r="AH1925" t="s">
        <v>44</v>
      </c>
    </row>
    <row r="1926" spans="1:34">
      <c r="A1926" s="15" t="s">
        <v>2026</v>
      </c>
      <c r="B1926" s="12" t="s">
        <v>407</v>
      </c>
      <c r="C1926" s="43" t="s">
        <v>2018</v>
      </c>
      <c r="D1926" t="s">
        <v>409</v>
      </c>
      <c r="E1926" s="30" t="s">
        <v>39</v>
      </c>
      <c r="F1926" s="31">
        <v>0.970873786407767</v>
      </c>
      <c r="G1926" s="82">
        <v>0.5</v>
      </c>
      <c r="H1926" s="43" t="s">
        <v>410</v>
      </c>
      <c r="I1926" s="30" t="s">
        <v>38</v>
      </c>
      <c r="J1926" s="30" t="s">
        <v>42</v>
      </c>
      <c r="K1926" s="31">
        <v>3.2258064516129035</v>
      </c>
      <c r="L1926" s="82">
        <v>0.5</v>
      </c>
      <c r="Q1926" s="84"/>
      <c r="R1926" s="30" t="s">
        <v>411</v>
      </c>
      <c r="S1926" s="30" t="s">
        <v>38</v>
      </c>
      <c r="T1926" s="30" t="s">
        <v>42</v>
      </c>
      <c r="U1926" s="31">
        <v>2.5</v>
      </c>
      <c r="V1926" s="82">
        <v>0.66666666666666663</v>
      </c>
      <c r="W1926" s="30" t="s">
        <v>408</v>
      </c>
      <c r="X1926" s="30" t="s">
        <v>409</v>
      </c>
      <c r="Y1926" s="30" t="s">
        <v>39</v>
      </c>
      <c r="Z1926" s="31">
        <v>0.94339622641509424</v>
      </c>
      <c r="AA1926" s="82">
        <v>0.33333333333333331</v>
      </c>
      <c r="AB1926" s="30"/>
      <c r="AE1926" s="31"/>
      <c r="AF1926" s="84"/>
      <c r="AG1926" s="31">
        <v>0</v>
      </c>
      <c r="AH1926" t="s">
        <v>44</v>
      </c>
    </row>
    <row r="1927" spans="1:34">
      <c r="A1927" s="15" t="s">
        <v>2027</v>
      </c>
      <c r="B1927" s="12" t="s">
        <v>407</v>
      </c>
      <c r="C1927" s="43" t="s">
        <v>2018</v>
      </c>
      <c r="D1927" t="s">
        <v>409</v>
      </c>
      <c r="E1927" s="30" t="s">
        <v>39</v>
      </c>
      <c r="F1927" s="31">
        <v>0.970873786407767</v>
      </c>
      <c r="G1927" s="82">
        <v>0.5</v>
      </c>
      <c r="H1927" s="43" t="s">
        <v>410</v>
      </c>
      <c r="I1927" s="30" t="s">
        <v>38</v>
      </c>
      <c r="J1927" s="30" t="s">
        <v>42</v>
      </c>
      <c r="K1927" s="31">
        <v>3.2258064516129035</v>
      </c>
      <c r="L1927" s="82">
        <v>0.5</v>
      </c>
      <c r="Q1927" s="84"/>
      <c r="R1927" s="30" t="s">
        <v>411</v>
      </c>
      <c r="S1927" s="30" t="s">
        <v>38</v>
      </c>
      <c r="T1927" s="30" t="s">
        <v>42</v>
      </c>
      <c r="U1927" s="31">
        <v>2.5</v>
      </c>
      <c r="V1927" s="82">
        <v>0.66666666666666663</v>
      </c>
      <c r="W1927" s="30" t="s">
        <v>408</v>
      </c>
      <c r="X1927" s="30" t="s">
        <v>409</v>
      </c>
      <c r="Y1927" s="30" t="s">
        <v>39</v>
      </c>
      <c r="Z1927" s="31">
        <v>0.94339622641509424</v>
      </c>
      <c r="AA1927" s="82">
        <v>0.33333333333333331</v>
      </c>
      <c r="AB1927" s="30"/>
      <c r="AE1927" s="31"/>
      <c r="AF1927" s="84"/>
      <c r="AG1927" s="31">
        <v>0</v>
      </c>
      <c r="AH1927" t="s">
        <v>44</v>
      </c>
    </row>
    <row r="1928" spans="1:34">
      <c r="A1928" s="15" t="s">
        <v>2028</v>
      </c>
      <c r="B1928" s="12" t="s">
        <v>407</v>
      </c>
      <c r="C1928" s="43" t="s">
        <v>2018</v>
      </c>
      <c r="D1928" t="s">
        <v>409</v>
      </c>
      <c r="E1928" s="30" t="s">
        <v>39</v>
      </c>
      <c r="F1928" s="31">
        <v>0.970873786407767</v>
      </c>
      <c r="G1928" s="82">
        <v>0.5</v>
      </c>
      <c r="H1928" s="43" t="s">
        <v>410</v>
      </c>
      <c r="I1928" s="30" t="s">
        <v>38</v>
      </c>
      <c r="J1928" s="30" t="s">
        <v>42</v>
      </c>
      <c r="K1928" s="31">
        <v>3.2258064516129035</v>
      </c>
      <c r="L1928" s="82">
        <v>0.5</v>
      </c>
      <c r="Q1928" s="84"/>
      <c r="R1928" s="30" t="s">
        <v>411</v>
      </c>
      <c r="S1928" s="30" t="s">
        <v>38</v>
      </c>
      <c r="T1928" s="30" t="s">
        <v>42</v>
      </c>
      <c r="U1928" s="31">
        <v>2.5</v>
      </c>
      <c r="V1928" s="82">
        <v>0.66666666666666663</v>
      </c>
      <c r="W1928" s="30" t="s">
        <v>2018</v>
      </c>
      <c r="X1928" s="30" t="s">
        <v>409</v>
      </c>
      <c r="Y1928" s="30" t="s">
        <v>39</v>
      </c>
      <c r="Z1928" s="31">
        <v>0.970873786407767</v>
      </c>
      <c r="AA1928" s="82">
        <v>0.33333333333333331</v>
      </c>
      <c r="AB1928" s="30"/>
      <c r="AE1928" s="31"/>
      <c r="AF1928" s="84"/>
      <c r="AG1928" s="31">
        <v>0</v>
      </c>
      <c r="AH1928" t="s">
        <v>44</v>
      </c>
    </row>
    <row r="1929" spans="1:34">
      <c r="A1929" s="15" t="s">
        <v>2029</v>
      </c>
      <c r="B1929" s="12" t="s">
        <v>407</v>
      </c>
      <c r="C1929" s="43" t="s">
        <v>2018</v>
      </c>
      <c r="D1929" t="s">
        <v>409</v>
      </c>
      <c r="E1929" s="30" t="s">
        <v>39</v>
      </c>
      <c r="F1929" s="31">
        <v>0.970873786407767</v>
      </c>
      <c r="G1929" s="82">
        <v>0.5</v>
      </c>
      <c r="H1929" s="43" t="s">
        <v>410</v>
      </c>
      <c r="I1929" s="30" t="s">
        <v>38</v>
      </c>
      <c r="J1929" s="30" t="s">
        <v>42</v>
      </c>
      <c r="K1929" s="31">
        <v>3.2258064516129035</v>
      </c>
      <c r="L1929" s="82">
        <v>0.5</v>
      </c>
      <c r="Q1929" s="84"/>
      <c r="R1929" s="30" t="s">
        <v>411</v>
      </c>
      <c r="S1929" s="30" t="s">
        <v>38</v>
      </c>
      <c r="T1929" s="30" t="s">
        <v>42</v>
      </c>
      <c r="U1929" s="31">
        <v>2.5</v>
      </c>
      <c r="V1929" s="82">
        <v>0.66666666666666663</v>
      </c>
      <c r="W1929" s="30" t="s">
        <v>2018</v>
      </c>
      <c r="X1929" s="30" t="s">
        <v>409</v>
      </c>
      <c r="Y1929" s="30" t="s">
        <v>39</v>
      </c>
      <c r="Z1929" s="31">
        <v>0.970873786407767</v>
      </c>
      <c r="AA1929" s="82">
        <v>0.33333333333333331</v>
      </c>
      <c r="AB1929" s="30"/>
      <c r="AE1929" s="31"/>
      <c r="AF1929" s="84"/>
      <c r="AG1929" s="31">
        <v>0</v>
      </c>
      <c r="AH1929" t="s">
        <v>44</v>
      </c>
    </row>
    <row r="1930" spans="1:34">
      <c r="A1930" s="15" t="s">
        <v>2030</v>
      </c>
      <c r="B1930" s="12" t="s">
        <v>407</v>
      </c>
      <c r="C1930" s="43" t="s">
        <v>2018</v>
      </c>
      <c r="D1930" t="s">
        <v>409</v>
      </c>
      <c r="E1930" s="30" t="s">
        <v>39</v>
      </c>
      <c r="F1930" s="31">
        <v>0.970873786407767</v>
      </c>
      <c r="G1930" s="82">
        <v>0.5</v>
      </c>
      <c r="H1930" s="43" t="s">
        <v>410</v>
      </c>
      <c r="I1930" s="30" t="s">
        <v>38</v>
      </c>
      <c r="J1930" s="30" t="s">
        <v>42</v>
      </c>
      <c r="K1930" s="31">
        <v>3.2258064516129035</v>
      </c>
      <c r="L1930" s="82">
        <v>0.5</v>
      </c>
      <c r="Q1930" s="84"/>
      <c r="R1930" s="30" t="s">
        <v>411</v>
      </c>
      <c r="S1930" s="30" t="s">
        <v>38</v>
      </c>
      <c r="T1930" s="30" t="s">
        <v>42</v>
      </c>
      <c r="U1930" s="31">
        <v>2.5</v>
      </c>
      <c r="V1930" s="82">
        <v>0.66666666666666663</v>
      </c>
      <c r="W1930" s="30" t="s">
        <v>2018</v>
      </c>
      <c r="X1930" s="30" t="s">
        <v>409</v>
      </c>
      <c r="Y1930" s="30" t="s">
        <v>39</v>
      </c>
      <c r="Z1930" s="31">
        <v>0.970873786407767</v>
      </c>
      <c r="AA1930" s="82">
        <v>0.33333333333333331</v>
      </c>
      <c r="AB1930" s="63"/>
      <c r="AC1930" s="63"/>
      <c r="AD1930" s="63"/>
      <c r="AE1930" s="93"/>
      <c r="AF1930" s="90"/>
      <c r="AG1930" s="31">
        <v>0</v>
      </c>
      <c r="AH1930" t="s">
        <v>44</v>
      </c>
    </row>
    <row r="1931" spans="1:34" s="6" customFormat="1">
      <c r="A1931" s="18" t="s">
        <v>2031</v>
      </c>
      <c r="B1931" s="19" t="s">
        <v>496</v>
      </c>
      <c r="C1931" s="42" t="s">
        <v>2032</v>
      </c>
      <c r="D1931" s="6" t="s">
        <v>38</v>
      </c>
      <c r="E1931" s="28" t="s">
        <v>1879</v>
      </c>
      <c r="F1931" s="29">
        <v>0.9009009009009008</v>
      </c>
      <c r="G1931" s="83">
        <v>0.75</v>
      </c>
      <c r="H1931" s="42" t="s">
        <v>410</v>
      </c>
      <c r="I1931" s="28" t="s">
        <v>38</v>
      </c>
      <c r="J1931" s="28" t="s">
        <v>42</v>
      </c>
      <c r="K1931" s="29">
        <v>3.2258064516129035</v>
      </c>
      <c r="L1931" s="83">
        <v>0.25</v>
      </c>
      <c r="M1931" s="74"/>
      <c r="N1931" s="28"/>
      <c r="O1931" s="28"/>
      <c r="P1931" s="29"/>
      <c r="Q1931" s="85"/>
      <c r="R1931" s="54" t="s">
        <v>1878</v>
      </c>
      <c r="S1931" s="47" t="s">
        <v>38</v>
      </c>
      <c r="T1931" s="47" t="s">
        <v>1879</v>
      </c>
      <c r="U1931" s="48">
        <v>0.84745762711864414</v>
      </c>
      <c r="V1931" s="49">
        <v>0.4</v>
      </c>
      <c r="W1931" s="47" t="s">
        <v>160</v>
      </c>
      <c r="X1931" s="47" t="s">
        <v>38</v>
      </c>
      <c r="Y1931" s="47" t="s">
        <v>39</v>
      </c>
      <c r="Z1931" s="48">
        <v>0.90909090909090906</v>
      </c>
      <c r="AA1931" s="49">
        <v>0.4</v>
      </c>
      <c r="AB1931" s="47" t="s">
        <v>411</v>
      </c>
      <c r="AC1931" s="47" t="s">
        <v>38</v>
      </c>
      <c r="AD1931" s="47" t="s">
        <v>42</v>
      </c>
      <c r="AE1931" s="48">
        <v>2.5</v>
      </c>
      <c r="AF1931" s="49">
        <v>0.2</v>
      </c>
      <c r="AG1931" s="99">
        <v>0</v>
      </c>
      <c r="AH1931" s="6" t="s">
        <v>44</v>
      </c>
    </row>
    <row r="1932" spans="1:34">
      <c r="A1932" s="15" t="s">
        <v>2033</v>
      </c>
      <c r="B1932" s="12" t="s">
        <v>496</v>
      </c>
      <c r="C1932" s="43" t="s">
        <v>2032</v>
      </c>
      <c r="D1932" t="s">
        <v>38</v>
      </c>
      <c r="E1932" s="30" t="s">
        <v>1879</v>
      </c>
      <c r="F1932" s="31">
        <v>0.9009009009009008</v>
      </c>
      <c r="G1932" s="82">
        <v>0.75</v>
      </c>
      <c r="H1932" s="30" t="s">
        <v>410</v>
      </c>
      <c r="I1932" s="30" t="s">
        <v>38</v>
      </c>
      <c r="J1932" s="30" t="s">
        <v>42</v>
      </c>
      <c r="K1932" s="31">
        <v>3.2258064516129035</v>
      </c>
      <c r="L1932" s="82">
        <v>0.25</v>
      </c>
      <c r="Q1932" s="84"/>
      <c r="R1932" s="55" t="s">
        <v>1878</v>
      </c>
      <c r="S1932" s="26" t="s">
        <v>38</v>
      </c>
      <c r="T1932" s="26" t="s">
        <v>1879</v>
      </c>
      <c r="U1932" s="27">
        <v>0.84745762711864414</v>
      </c>
      <c r="V1932" s="33">
        <v>0.4</v>
      </c>
      <c r="W1932" s="26" t="s">
        <v>160</v>
      </c>
      <c r="X1932" s="26" t="s">
        <v>38</v>
      </c>
      <c r="Y1932" s="26" t="s">
        <v>39</v>
      </c>
      <c r="Z1932" s="27">
        <v>0.90909090909090906</v>
      </c>
      <c r="AA1932" s="33">
        <v>0.4</v>
      </c>
      <c r="AB1932" s="73" t="s">
        <v>411</v>
      </c>
      <c r="AC1932" s="30" t="s">
        <v>38</v>
      </c>
      <c r="AD1932" s="30" t="s">
        <v>42</v>
      </c>
      <c r="AE1932" s="27">
        <v>2.5</v>
      </c>
      <c r="AF1932" s="84">
        <v>0.2</v>
      </c>
      <c r="AG1932" s="31">
        <v>0</v>
      </c>
      <c r="AH1932" t="s">
        <v>44</v>
      </c>
    </row>
    <row r="1933" spans="1:34">
      <c r="A1933" s="15" t="s">
        <v>2034</v>
      </c>
      <c r="B1933" s="12" t="s">
        <v>496</v>
      </c>
      <c r="C1933" s="43" t="s">
        <v>2032</v>
      </c>
      <c r="D1933" t="s">
        <v>38</v>
      </c>
      <c r="E1933" s="30" t="s">
        <v>1879</v>
      </c>
      <c r="F1933" s="31">
        <v>0.9009009009009008</v>
      </c>
      <c r="G1933" s="82">
        <v>0.75</v>
      </c>
      <c r="H1933" s="30" t="s">
        <v>410</v>
      </c>
      <c r="I1933" s="30" t="s">
        <v>38</v>
      </c>
      <c r="J1933" s="30" t="s">
        <v>42</v>
      </c>
      <c r="K1933" s="31">
        <v>3.2258064516129035</v>
      </c>
      <c r="L1933" s="82">
        <v>0.25</v>
      </c>
      <c r="Q1933" s="84"/>
      <c r="R1933" s="30" t="s">
        <v>1878</v>
      </c>
      <c r="S1933" s="30" t="s">
        <v>38</v>
      </c>
      <c r="T1933" s="30" t="s">
        <v>1879</v>
      </c>
      <c r="U1933" s="31">
        <v>0.84745762711864414</v>
      </c>
      <c r="V1933" s="82">
        <v>0.4</v>
      </c>
      <c r="W1933" s="30" t="s">
        <v>160</v>
      </c>
      <c r="X1933" s="30" t="s">
        <v>38</v>
      </c>
      <c r="Y1933" s="30" t="s">
        <v>39</v>
      </c>
      <c r="Z1933" s="31">
        <v>0.90909090909090906</v>
      </c>
      <c r="AA1933" s="82">
        <v>0.4</v>
      </c>
      <c r="AB1933" s="73" t="s">
        <v>411</v>
      </c>
      <c r="AC1933" s="30" t="s">
        <v>38</v>
      </c>
      <c r="AD1933" s="30" t="s">
        <v>42</v>
      </c>
      <c r="AE1933" s="27">
        <v>2.5</v>
      </c>
      <c r="AF1933" s="84">
        <v>0.2</v>
      </c>
      <c r="AG1933" s="31">
        <v>0</v>
      </c>
      <c r="AH1933" t="s">
        <v>44</v>
      </c>
    </row>
    <row r="1934" spans="1:34">
      <c r="A1934" s="15" t="s">
        <v>2035</v>
      </c>
      <c r="B1934" s="12" t="s">
        <v>496</v>
      </c>
      <c r="C1934" s="43" t="s">
        <v>2032</v>
      </c>
      <c r="D1934" t="s">
        <v>38</v>
      </c>
      <c r="E1934" s="30" t="s">
        <v>1879</v>
      </c>
      <c r="F1934" s="31">
        <v>0.9009009009009008</v>
      </c>
      <c r="G1934" s="82">
        <v>0.75</v>
      </c>
      <c r="H1934" s="30" t="s">
        <v>410</v>
      </c>
      <c r="I1934" s="30" t="s">
        <v>38</v>
      </c>
      <c r="J1934" s="30" t="s">
        <v>42</v>
      </c>
      <c r="K1934" s="31">
        <v>3.2258064516129035</v>
      </c>
      <c r="L1934" s="82">
        <v>0.25</v>
      </c>
      <c r="Q1934" s="84"/>
      <c r="R1934" s="30" t="s">
        <v>1878</v>
      </c>
      <c r="S1934" s="30" t="s">
        <v>38</v>
      </c>
      <c r="T1934" s="30" t="s">
        <v>1879</v>
      </c>
      <c r="U1934" s="31">
        <v>0.84745762711864414</v>
      </c>
      <c r="V1934" s="82">
        <v>0.4</v>
      </c>
      <c r="W1934" s="30" t="s">
        <v>160</v>
      </c>
      <c r="X1934" s="30" t="s">
        <v>38</v>
      </c>
      <c r="Y1934" s="30" t="s">
        <v>39</v>
      </c>
      <c r="Z1934" s="31">
        <v>0.90909090909090906</v>
      </c>
      <c r="AA1934" s="82">
        <v>0.4</v>
      </c>
      <c r="AB1934" s="73" t="s">
        <v>411</v>
      </c>
      <c r="AC1934" s="30" t="s">
        <v>38</v>
      </c>
      <c r="AD1934" s="30" t="s">
        <v>42</v>
      </c>
      <c r="AE1934" s="27">
        <v>2.5</v>
      </c>
      <c r="AF1934" s="84">
        <v>0.2</v>
      </c>
      <c r="AG1934" s="31">
        <v>0</v>
      </c>
      <c r="AH1934" t="s">
        <v>44</v>
      </c>
    </row>
    <row r="1935" spans="1:34">
      <c r="A1935" s="15" t="s">
        <v>2036</v>
      </c>
      <c r="B1935" s="12" t="s">
        <v>496</v>
      </c>
      <c r="C1935" s="43" t="s">
        <v>2032</v>
      </c>
      <c r="D1935" t="s">
        <v>38</v>
      </c>
      <c r="E1935" s="30" t="s">
        <v>1879</v>
      </c>
      <c r="F1935" s="31">
        <v>0.9009009009009008</v>
      </c>
      <c r="G1935" s="82">
        <v>0.75</v>
      </c>
      <c r="H1935" s="30" t="s">
        <v>410</v>
      </c>
      <c r="I1935" s="30" t="s">
        <v>38</v>
      </c>
      <c r="J1935" s="30" t="s">
        <v>42</v>
      </c>
      <c r="K1935" s="31">
        <v>3.2258064516129035</v>
      </c>
      <c r="L1935" s="82">
        <v>0.25</v>
      </c>
      <c r="Q1935" s="84"/>
      <c r="R1935" s="30" t="s">
        <v>1878</v>
      </c>
      <c r="S1935" s="30" t="s">
        <v>38</v>
      </c>
      <c r="T1935" s="30" t="s">
        <v>1879</v>
      </c>
      <c r="U1935" s="31">
        <v>0.84745762711864414</v>
      </c>
      <c r="V1935" s="82">
        <v>0.4</v>
      </c>
      <c r="W1935" s="30" t="s">
        <v>160</v>
      </c>
      <c r="X1935" s="30" t="s">
        <v>38</v>
      </c>
      <c r="Y1935" s="30" t="s">
        <v>39</v>
      </c>
      <c r="Z1935" s="31">
        <v>0.90909090909090906</v>
      </c>
      <c r="AA1935" s="82">
        <v>0.4</v>
      </c>
      <c r="AB1935" s="73" t="s">
        <v>411</v>
      </c>
      <c r="AC1935" s="30" t="s">
        <v>38</v>
      </c>
      <c r="AD1935" s="30" t="s">
        <v>42</v>
      </c>
      <c r="AE1935" s="27">
        <v>2.5</v>
      </c>
      <c r="AF1935" s="84">
        <v>0.2</v>
      </c>
      <c r="AG1935" s="31">
        <v>0</v>
      </c>
      <c r="AH1935" t="s">
        <v>44</v>
      </c>
    </row>
    <row r="1936" spans="1:34">
      <c r="A1936" s="15" t="s">
        <v>2037</v>
      </c>
      <c r="B1936" s="12" t="s">
        <v>496</v>
      </c>
      <c r="C1936" s="43" t="s">
        <v>2032</v>
      </c>
      <c r="D1936" t="s">
        <v>38</v>
      </c>
      <c r="E1936" s="30" t="s">
        <v>1879</v>
      </c>
      <c r="F1936" s="31">
        <v>0.9009009009009008</v>
      </c>
      <c r="G1936" s="82">
        <v>0.75</v>
      </c>
      <c r="H1936" s="30" t="s">
        <v>410</v>
      </c>
      <c r="I1936" s="30" t="s">
        <v>38</v>
      </c>
      <c r="J1936" s="30" t="s">
        <v>42</v>
      </c>
      <c r="K1936" s="31">
        <v>3.2258064516129035</v>
      </c>
      <c r="L1936" s="82">
        <v>0.25</v>
      </c>
      <c r="Q1936" s="84"/>
      <c r="R1936" s="30" t="s">
        <v>1878</v>
      </c>
      <c r="S1936" s="30" t="s">
        <v>38</v>
      </c>
      <c r="T1936" s="30" t="s">
        <v>1879</v>
      </c>
      <c r="U1936" s="31">
        <v>0.84745762711864414</v>
      </c>
      <c r="V1936" s="82">
        <v>0.4</v>
      </c>
      <c r="W1936" s="30" t="s">
        <v>160</v>
      </c>
      <c r="X1936" s="30" t="s">
        <v>38</v>
      </c>
      <c r="Y1936" s="30" t="s">
        <v>39</v>
      </c>
      <c r="Z1936" s="31">
        <v>0.90909090909090906</v>
      </c>
      <c r="AA1936" s="82">
        <v>0.4</v>
      </c>
      <c r="AB1936" s="73" t="s">
        <v>411</v>
      </c>
      <c r="AC1936" s="30" t="s">
        <v>38</v>
      </c>
      <c r="AD1936" s="30" t="s">
        <v>42</v>
      </c>
      <c r="AE1936" s="27">
        <v>2.5</v>
      </c>
      <c r="AF1936" s="84">
        <v>0.2</v>
      </c>
      <c r="AG1936" s="98">
        <v>0</v>
      </c>
      <c r="AH1936" t="s">
        <v>44</v>
      </c>
    </row>
    <row r="1937" spans="1:34">
      <c r="A1937" s="15" t="s">
        <v>2038</v>
      </c>
      <c r="B1937" s="12" t="s">
        <v>496</v>
      </c>
      <c r="C1937" s="43" t="s">
        <v>2032</v>
      </c>
      <c r="D1937" t="s">
        <v>38</v>
      </c>
      <c r="E1937" s="30" t="s">
        <v>1879</v>
      </c>
      <c r="F1937" s="31">
        <v>0.9009009009009008</v>
      </c>
      <c r="G1937" s="82">
        <v>0.75</v>
      </c>
      <c r="H1937" s="30" t="s">
        <v>410</v>
      </c>
      <c r="I1937" s="30" t="s">
        <v>38</v>
      </c>
      <c r="J1937" s="30" t="s">
        <v>42</v>
      </c>
      <c r="K1937" s="31">
        <v>3.2258064516129035</v>
      </c>
      <c r="L1937" s="82">
        <v>0.25</v>
      </c>
      <c r="Q1937" s="84"/>
      <c r="R1937" s="30" t="s">
        <v>1878</v>
      </c>
      <c r="S1937" s="30" t="s">
        <v>38</v>
      </c>
      <c r="T1937" s="30" t="s">
        <v>1879</v>
      </c>
      <c r="U1937" s="31">
        <v>0.84745762711864414</v>
      </c>
      <c r="V1937" s="82">
        <v>0.4</v>
      </c>
      <c r="W1937" s="30" t="s">
        <v>160</v>
      </c>
      <c r="X1937" s="30" t="s">
        <v>38</v>
      </c>
      <c r="Y1937" s="30" t="s">
        <v>39</v>
      </c>
      <c r="Z1937" s="31">
        <v>0.90909090909090906</v>
      </c>
      <c r="AA1937" s="82">
        <v>0.4</v>
      </c>
      <c r="AB1937" s="73" t="s">
        <v>411</v>
      </c>
      <c r="AC1937" s="30" t="s">
        <v>38</v>
      </c>
      <c r="AD1937" s="30" t="s">
        <v>42</v>
      </c>
      <c r="AE1937" s="27">
        <v>2.5</v>
      </c>
      <c r="AF1937" s="84">
        <v>0.2</v>
      </c>
      <c r="AG1937" s="31">
        <v>0</v>
      </c>
      <c r="AH1937" t="s">
        <v>44</v>
      </c>
    </row>
    <row r="1938" spans="1:34">
      <c r="A1938" s="15" t="s">
        <v>2039</v>
      </c>
      <c r="B1938" s="12" t="s">
        <v>496</v>
      </c>
      <c r="C1938" s="43" t="s">
        <v>2032</v>
      </c>
      <c r="D1938" t="s">
        <v>38</v>
      </c>
      <c r="E1938" s="30" t="s">
        <v>1879</v>
      </c>
      <c r="F1938" s="31">
        <v>0.9009009009009008</v>
      </c>
      <c r="G1938" s="82">
        <v>0.75</v>
      </c>
      <c r="H1938" s="30" t="s">
        <v>410</v>
      </c>
      <c r="I1938" s="30" t="s">
        <v>38</v>
      </c>
      <c r="J1938" s="30" t="s">
        <v>42</v>
      </c>
      <c r="K1938" s="31">
        <v>3.2258064516129035</v>
      </c>
      <c r="L1938" s="82">
        <v>0.25</v>
      </c>
      <c r="Q1938" s="84"/>
      <c r="R1938" s="30" t="s">
        <v>1878</v>
      </c>
      <c r="S1938" s="30" t="s">
        <v>38</v>
      </c>
      <c r="T1938" s="30" t="s">
        <v>1879</v>
      </c>
      <c r="U1938" s="31">
        <v>0.84745762711864414</v>
      </c>
      <c r="V1938" s="82">
        <v>0.4</v>
      </c>
      <c r="W1938" s="30" t="s">
        <v>160</v>
      </c>
      <c r="X1938" s="30" t="s">
        <v>38</v>
      </c>
      <c r="Y1938" s="30" t="s">
        <v>39</v>
      </c>
      <c r="Z1938" s="31">
        <v>0.90909090909090906</v>
      </c>
      <c r="AA1938" s="82">
        <v>0.4</v>
      </c>
      <c r="AB1938" s="73" t="s">
        <v>411</v>
      </c>
      <c r="AC1938" s="30" t="s">
        <v>38</v>
      </c>
      <c r="AD1938" s="30" t="s">
        <v>42</v>
      </c>
      <c r="AE1938" s="27">
        <v>2.5</v>
      </c>
      <c r="AF1938" s="84">
        <v>0.2</v>
      </c>
      <c r="AG1938" s="31">
        <v>0</v>
      </c>
      <c r="AH1938" t="s">
        <v>44</v>
      </c>
    </row>
    <row r="1939" spans="1:34">
      <c r="A1939" s="15" t="s">
        <v>2040</v>
      </c>
      <c r="B1939" s="12" t="s">
        <v>496</v>
      </c>
      <c r="C1939" s="43" t="s">
        <v>2032</v>
      </c>
      <c r="D1939" t="s">
        <v>38</v>
      </c>
      <c r="E1939" s="30" t="s">
        <v>1879</v>
      </c>
      <c r="F1939" s="31">
        <v>0.9009009009009008</v>
      </c>
      <c r="G1939" s="82">
        <v>0.75</v>
      </c>
      <c r="H1939" s="30" t="s">
        <v>410</v>
      </c>
      <c r="I1939" s="30" t="s">
        <v>38</v>
      </c>
      <c r="J1939" s="30" t="s">
        <v>42</v>
      </c>
      <c r="K1939" s="31">
        <v>3.2258064516129035</v>
      </c>
      <c r="L1939" s="82">
        <v>0.25</v>
      </c>
      <c r="Q1939" s="84"/>
      <c r="R1939" s="30" t="s">
        <v>1878</v>
      </c>
      <c r="S1939" s="30" t="s">
        <v>38</v>
      </c>
      <c r="T1939" s="30" t="s">
        <v>1879</v>
      </c>
      <c r="U1939" s="31">
        <v>0.84745762711864414</v>
      </c>
      <c r="V1939" s="82">
        <v>0.4</v>
      </c>
      <c r="W1939" s="30" t="s">
        <v>160</v>
      </c>
      <c r="X1939" s="30" t="s">
        <v>38</v>
      </c>
      <c r="Y1939" s="30" t="s">
        <v>39</v>
      </c>
      <c r="Z1939" s="31">
        <v>0.90909090909090906</v>
      </c>
      <c r="AA1939" s="82">
        <v>0.4</v>
      </c>
      <c r="AB1939" s="73" t="s">
        <v>411</v>
      </c>
      <c r="AC1939" s="30" t="s">
        <v>38</v>
      </c>
      <c r="AD1939" s="30" t="s">
        <v>42</v>
      </c>
      <c r="AE1939" s="27">
        <v>2.5</v>
      </c>
      <c r="AF1939" s="84">
        <v>0.2</v>
      </c>
      <c r="AG1939" s="31">
        <v>0</v>
      </c>
      <c r="AH1939" t="s">
        <v>44</v>
      </c>
    </row>
    <row r="1940" spans="1:34">
      <c r="A1940" s="15" t="s">
        <v>2041</v>
      </c>
      <c r="B1940" s="12" t="s">
        <v>496</v>
      </c>
      <c r="C1940" s="43" t="s">
        <v>2032</v>
      </c>
      <c r="D1940" t="s">
        <v>38</v>
      </c>
      <c r="E1940" s="30" t="s">
        <v>1879</v>
      </c>
      <c r="F1940" s="31">
        <v>0.9009009009009008</v>
      </c>
      <c r="G1940" s="82">
        <v>0.75</v>
      </c>
      <c r="H1940" s="30" t="s">
        <v>410</v>
      </c>
      <c r="I1940" s="30" t="s">
        <v>38</v>
      </c>
      <c r="J1940" s="30" t="s">
        <v>42</v>
      </c>
      <c r="K1940" s="31">
        <v>3.2258064516129035</v>
      </c>
      <c r="L1940" s="82">
        <v>0.25</v>
      </c>
      <c r="Q1940" s="84"/>
      <c r="R1940" s="30" t="s">
        <v>1878</v>
      </c>
      <c r="S1940" s="30" t="s">
        <v>38</v>
      </c>
      <c r="T1940" s="30" t="s">
        <v>1879</v>
      </c>
      <c r="U1940" s="31">
        <v>0.84745762711864414</v>
      </c>
      <c r="V1940" s="82">
        <v>0.4</v>
      </c>
      <c r="W1940" s="30" t="s">
        <v>160</v>
      </c>
      <c r="X1940" s="30" t="s">
        <v>38</v>
      </c>
      <c r="Y1940" s="30" t="s">
        <v>39</v>
      </c>
      <c r="Z1940" s="31">
        <v>0.90909090909090906</v>
      </c>
      <c r="AA1940" s="82">
        <v>0.4</v>
      </c>
      <c r="AB1940" s="73" t="s">
        <v>411</v>
      </c>
      <c r="AC1940" s="30" t="s">
        <v>38</v>
      </c>
      <c r="AD1940" s="30" t="s">
        <v>42</v>
      </c>
      <c r="AE1940" s="61">
        <v>2.5</v>
      </c>
      <c r="AF1940" s="84">
        <v>0.2</v>
      </c>
      <c r="AG1940" s="31">
        <v>0</v>
      </c>
      <c r="AH1940" t="s">
        <v>44</v>
      </c>
    </row>
    <row r="1941" spans="1:34" s="6" customFormat="1">
      <c r="A1941" s="18" t="s">
        <v>2042</v>
      </c>
      <c r="B1941" s="19" t="s">
        <v>581</v>
      </c>
      <c r="C1941" s="42" t="s">
        <v>1878</v>
      </c>
      <c r="D1941" s="6" t="s">
        <v>38</v>
      </c>
      <c r="E1941" s="28" t="s">
        <v>1879</v>
      </c>
      <c r="F1941" s="29">
        <v>0.75187969924812026</v>
      </c>
      <c r="G1941" s="83">
        <v>1</v>
      </c>
      <c r="H1941" s="28"/>
      <c r="I1941" s="28"/>
      <c r="J1941" s="28"/>
      <c r="K1941" s="29"/>
      <c r="L1941" s="83"/>
      <c r="M1941" s="74"/>
      <c r="N1941" s="28"/>
      <c r="O1941" s="28"/>
      <c r="P1941" s="29"/>
      <c r="Q1941" s="85"/>
      <c r="R1941" s="54" t="s">
        <v>1929</v>
      </c>
      <c r="S1941" s="47" t="s">
        <v>41</v>
      </c>
      <c r="T1941" s="47" t="s">
        <v>42</v>
      </c>
      <c r="U1941" s="48">
        <v>0.970873786407767</v>
      </c>
      <c r="V1941" s="49">
        <v>1</v>
      </c>
      <c r="W1941" s="28"/>
      <c r="X1941" s="28"/>
      <c r="Y1941" s="28"/>
      <c r="Z1941" s="29"/>
      <c r="AA1941" s="83"/>
      <c r="AB1941" s="74"/>
      <c r="AC1941" s="28"/>
      <c r="AD1941" s="28"/>
      <c r="AE1941" s="28"/>
      <c r="AF1941" s="85"/>
      <c r="AG1941" s="97">
        <v>0</v>
      </c>
      <c r="AH1941" s="6" t="s">
        <v>44</v>
      </c>
    </row>
    <row r="1942" spans="1:34">
      <c r="A1942" s="15" t="s">
        <v>2043</v>
      </c>
      <c r="B1942" s="12" t="s">
        <v>581</v>
      </c>
      <c r="C1942" s="43" t="s">
        <v>1878</v>
      </c>
      <c r="D1942" t="s">
        <v>38</v>
      </c>
      <c r="E1942" s="30" t="s">
        <v>1879</v>
      </c>
      <c r="F1942" s="31">
        <v>0.75187969924812026</v>
      </c>
      <c r="G1942" s="82">
        <v>1</v>
      </c>
      <c r="L1942" s="82"/>
      <c r="Q1942" s="84"/>
      <c r="R1942" s="55" t="s">
        <v>1929</v>
      </c>
      <c r="S1942" s="26" t="s">
        <v>41</v>
      </c>
      <c r="T1942" s="26" t="s">
        <v>42</v>
      </c>
      <c r="U1942" s="27">
        <v>0.970873786407767</v>
      </c>
      <c r="V1942" s="33">
        <v>1</v>
      </c>
      <c r="AA1942" s="82"/>
      <c r="AF1942" s="84"/>
      <c r="AG1942" s="31">
        <v>0</v>
      </c>
      <c r="AH1942" t="s">
        <v>44</v>
      </c>
    </row>
    <row r="1943" spans="1:34">
      <c r="A1943" s="15" t="s">
        <v>2044</v>
      </c>
      <c r="B1943" s="12" t="s">
        <v>581</v>
      </c>
      <c r="C1943" s="43" t="s">
        <v>1878</v>
      </c>
      <c r="D1943" t="s">
        <v>38</v>
      </c>
      <c r="E1943" s="30" t="s">
        <v>1879</v>
      </c>
      <c r="F1943" s="31">
        <v>0.75187969924812026</v>
      </c>
      <c r="G1943" s="82">
        <v>1</v>
      </c>
      <c r="L1943" s="82"/>
      <c r="Q1943" s="84"/>
      <c r="R1943" s="30" t="s">
        <v>1929</v>
      </c>
      <c r="S1943" s="30" t="s">
        <v>41</v>
      </c>
      <c r="T1943" s="30" t="s">
        <v>42</v>
      </c>
      <c r="U1943" s="31">
        <v>0.970873786407767</v>
      </c>
      <c r="V1943" s="82">
        <v>1</v>
      </c>
      <c r="AA1943" s="82"/>
      <c r="AF1943" s="84"/>
      <c r="AG1943" s="31">
        <v>0</v>
      </c>
      <c r="AH1943" t="s">
        <v>44</v>
      </c>
    </row>
    <row r="1944" spans="1:34">
      <c r="A1944" s="15" t="s">
        <v>2045</v>
      </c>
      <c r="B1944" s="12" t="s">
        <v>581</v>
      </c>
      <c r="C1944" s="43" t="s">
        <v>1878</v>
      </c>
      <c r="D1944" t="s">
        <v>38</v>
      </c>
      <c r="E1944" s="30" t="s">
        <v>1879</v>
      </c>
      <c r="F1944" s="31">
        <v>0.75187969924812026</v>
      </c>
      <c r="G1944" s="82">
        <v>1</v>
      </c>
      <c r="L1944" s="82"/>
      <c r="Q1944" s="84"/>
      <c r="R1944" s="92" t="s">
        <v>1878</v>
      </c>
      <c r="S1944" s="30" t="s">
        <v>38</v>
      </c>
      <c r="T1944" s="30" t="s">
        <v>1879</v>
      </c>
      <c r="U1944" s="31">
        <v>0.87719298245614041</v>
      </c>
      <c r="V1944" s="82">
        <v>0.5</v>
      </c>
      <c r="W1944" s="30" t="s">
        <v>1949</v>
      </c>
      <c r="X1944" s="30" t="s">
        <v>41</v>
      </c>
      <c r="Y1944" s="30" t="s">
        <v>1950</v>
      </c>
      <c r="Z1944" s="31">
        <v>0.68</v>
      </c>
      <c r="AA1944" s="82">
        <v>0.5</v>
      </c>
      <c r="AF1944" s="84"/>
      <c r="AG1944" s="31">
        <v>0</v>
      </c>
      <c r="AH1944" t="s">
        <v>44</v>
      </c>
    </row>
    <row r="1945" spans="1:34">
      <c r="A1945" s="15" t="s">
        <v>2046</v>
      </c>
      <c r="B1945" s="12" t="s">
        <v>581</v>
      </c>
      <c r="C1945" s="43" t="s">
        <v>1878</v>
      </c>
      <c r="D1945" t="s">
        <v>38</v>
      </c>
      <c r="E1945" s="30" t="s">
        <v>1879</v>
      </c>
      <c r="F1945" s="31">
        <v>0.75187969924812026</v>
      </c>
      <c r="G1945" s="82">
        <v>1</v>
      </c>
      <c r="L1945" s="82"/>
      <c r="Q1945" s="84"/>
      <c r="R1945" s="55" t="s">
        <v>1929</v>
      </c>
      <c r="S1945" s="30" t="s">
        <v>41</v>
      </c>
      <c r="T1945" s="30" t="s">
        <v>42</v>
      </c>
      <c r="U1945" s="31">
        <v>0.970873786407767</v>
      </c>
      <c r="V1945" s="82">
        <v>1</v>
      </c>
      <c r="AA1945" s="82"/>
      <c r="AF1945" s="84"/>
      <c r="AG1945" s="31">
        <v>0</v>
      </c>
      <c r="AH1945" t="s">
        <v>44</v>
      </c>
    </row>
    <row r="1946" spans="1:34">
      <c r="A1946" s="15" t="s">
        <v>2047</v>
      </c>
      <c r="B1946" s="12" t="s">
        <v>581</v>
      </c>
      <c r="C1946" s="43" t="s">
        <v>1878</v>
      </c>
      <c r="D1946" t="s">
        <v>38</v>
      </c>
      <c r="E1946" s="30" t="s">
        <v>1879</v>
      </c>
      <c r="F1946" s="31">
        <v>0.75187969924812026</v>
      </c>
      <c r="G1946" s="82">
        <v>1</v>
      </c>
      <c r="L1946" s="82"/>
      <c r="Q1946" s="84"/>
      <c r="R1946" s="55" t="s">
        <v>1929</v>
      </c>
      <c r="S1946" s="30" t="s">
        <v>41</v>
      </c>
      <c r="T1946" s="30" t="s">
        <v>42</v>
      </c>
      <c r="U1946" s="31">
        <v>0.970873786407767</v>
      </c>
      <c r="V1946" s="82">
        <v>0.75</v>
      </c>
      <c r="W1946" s="30" t="s">
        <v>1949</v>
      </c>
      <c r="X1946" s="30" t="s">
        <v>41</v>
      </c>
      <c r="Y1946" s="30" t="s">
        <v>1950</v>
      </c>
      <c r="Z1946" s="31">
        <v>0.68</v>
      </c>
      <c r="AA1946" s="82">
        <v>0.25</v>
      </c>
      <c r="AF1946" s="84"/>
      <c r="AG1946" s="31">
        <v>0</v>
      </c>
      <c r="AH1946" t="s">
        <v>44</v>
      </c>
    </row>
    <row r="1947" spans="1:34">
      <c r="A1947" s="15" t="s">
        <v>2048</v>
      </c>
      <c r="B1947" s="12" t="s">
        <v>581</v>
      </c>
      <c r="C1947" s="43" t="s">
        <v>1878</v>
      </c>
      <c r="D1947" t="s">
        <v>38</v>
      </c>
      <c r="E1947" s="30" t="s">
        <v>1879</v>
      </c>
      <c r="F1947" s="31">
        <v>0.75187969924812026</v>
      </c>
      <c r="G1947" s="82">
        <v>1</v>
      </c>
      <c r="L1947" s="82"/>
      <c r="Q1947" s="84"/>
      <c r="R1947" s="30" t="s">
        <v>1929</v>
      </c>
      <c r="S1947" s="30" t="s">
        <v>41</v>
      </c>
      <c r="T1947" s="30" t="s">
        <v>42</v>
      </c>
      <c r="U1947" s="31">
        <v>0.970873786407767</v>
      </c>
      <c r="V1947" s="82">
        <v>0.75</v>
      </c>
      <c r="W1947" s="30" t="s">
        <v>1949</v>
      </c>
      <c r="X1947" s="30" t="s">
        <v>41</v>
      </c>
      <c r="Y1947" s="30" t="s">
        <v>1950</v>
      </c>
      <c r="Z1947" s="31">
        <v>0.68</v>
      </c>
      <c r="AA1947" s="82">
        <v>0.25</v>
      </c>
      <c r="AF1947" s="84"/>
      <c r="AG1947" s="31">
        <v>0</v>
      </c>
      <c r="AH1947" t="s">
        <v>44</v>
      </c>
    </row>
    <row r="1948" spans="1:34">
      <c r="A1948" s="15" t="s">
        <v>2049</v>
      </c>
      <c r="B1948" s="12" t="s">
        <v>581</v>
      </c>
      <c r="C1948" s="43" t="s">
        <v>1878</v>
      </c>
      <c r="D1948" t="s">
        <v>38</v>
      </c>
      <c r="E1948" s="30" t="s">
        <v>1879</v>
      </c>
      <c r="F1948" s="31">
        <v>0.75187969924812026</v>
      </c>
      <c r="G1948" s="82">
        <v>1</v>
      </c>
      <c r="L1948" s="82"/>
      <c r="Q1948" s="84"/>
      <c r="R1948" s="30" t="s">
        <v>1878</v>
      </c>
      <c r="S1948" s="30" t="s">
        <v>38</v>
      </c>
      <c r="T1948" s="30" t="s">
        <v>1879</v>
      </c>
      <c r="U1948" s="31">
        <v>0.87719298245614041</v>
      </c>
      <c r="V1948" s="82">
        <v>0.5</v>
      </c>
      <c r="W1948" s="30" t="s">
        <v>1949</v>
      </c>
      <c r="X1948" s="30" t="s">
        <v>41</v>
      </c>
      <c r="Y1948" s="30" t="s">
        <v>1950</v>
      </c>
      <c r="Z1948" s="31">
        <v>0.68</v>
      </c>
      <c r="AA1948" s="82">
        <v>0.5</v>
      </c>
      <c r="AF1948" s="84"/>
      <c r="AG1948" s="31">
        <v>0</v>
      </c>
      <c r="AH1948" t="s">
        <v>44</v>
      </c>
    </row>
    <row r="1949" spans="1:34" s="6" customFormat="1">
      <c r="A1949" s="18" t="s">
        <v>2050</v>
      </c>
      <c r="B1949" s="19" t="s">
        <v>666</v>
      </c>
      <c r="C1949" s="42" t="s">
        <v>2051</v>
      </c>
      <c r="D1949" s="6" t="s">
        <v>38</v>
      </c>
      <c r="E1949" s="28" t="s">
        <v>39</v>
      </c>
      <c r="F1949" s="29">
        <v>0.63694267515923564</v>
      </c>
      <c r="G1949" s="83">
        <v>1</v>
      </c>
      <c r="H1949" s="28"/>
      <c r="I1949" s="28"/>
      <c r="J1949" s="28"/>
      <c r="K1949" s="29"/>
      <c r="L1949" s="83"/>
      <c r="M1949" s="74"/>
      <c r="N1949" s="28"/>
      <c r="O1949" s="28"/>
      <c r="P1949" s="29"/>
      <c r="Q1949" s="85"/>
      <c r="R1949" s="54" t="s">
        <v>160</v>
      </c>
      <c r="S1949" s="47" t="s">
        <v>38</v>
      </c>
      <c r="T1949" s="47" t="s">
        <v>39</v>
      </c>
      <c r="U1949" s="48">
        <v>0.69930069930069938</v>
      </c>
      <c r="V1949" s="49">
        <v>1</v>
      </c>
      <c r="W1949" s="28"/>
      <c r="X1949" s="28"/>
      <c r="Y1949" s="28"/>
      <c r="Z1949" s="29"/>
      <c r="AA1949" s="83"/>
      <c r="AB1949" s="74"/>
      <c r="AC1949" s="28"/>
      <c r="AD1949" s="28"/>
      <c r="AE1949" s="28"/>
      <c r="AF1949" s="85"/>
      <c r="AG1949" s="97">
        <v>0</v>
      </c>
      <c r="AH1949" s="6" t="s">
        <v>44</v>
      </c>
    </row>
    <row r="1950" spans="1:34">
      <c r="A1950" s="15" t="s">
        <v>2052</v>
      </c>
      <c r="B1950" s="12" t="s">
        <v>666</v>
      </c>
      <c r="C1950" s="43" t="s">
        <v>2051</v>
      </c>
      <c r="D1950" t="s">
        <v>38</v>
      </c>
      <c r="E1950" s="30" t="s">
        <v>39</v>
      </c>
      <c r="F1950" s="31">
        <v>0.63694267515923564</v>
      </c>
      <c r="G1950" s="82">
        <v>1</v>
      </c>
      <c r="L1950" s="82"/>
      <c r="Q1950" s="84"/>
      <c r="R1950" s="55" t="s">
        <v>160</v>
      </c>
      <c r="S1950" s="26" t="s">
        <v>38</v>
      </c>
      <c r="T1950" s="26" t="s">
        <v>39</v>
      </c>
      <c r="U1950" s="27">
        <v>0.69930069930069938</v>
      </c>
      <c r="V1950" s="33">
        <v>1</v>
      </c>
      <c r="AA1950" s="82"/>
      <c r="AF1950" s="84"/>
      <c r="AG1950" s="31">
        <v>0</v>
      </c>
      <c r="AH1950" t="s">
        <v>44</v>
      </c>
    </row>
    <row r="1951" spans="1:34">
      <c r="A1951" s="15" t="s">
        <v>2053</v>
      </c>
      <c r="B1951" s="12" t="s">
        <v>666</v>
      </c>
      <c r="C1951" s="43" t="s">
        <v>2051</v>
      </c>
      <c r="D1951" t="s">
        <v>38</v>
      </c>
      <c r="E1951" s="30" t="s">
        <v>39</v>
      </c>
      <c r="F1951" s="31">
        <v>0.63694267515923564</v>
      </c>
      <c r="G1951" s="82">
        <v>1</v>
      </c>
      <c r="L1951" s="82"/>
      <c r="Q1951" s="84"/>
      <c r="R1951" s="30" t="s">
        <v>160</v>
      </c>
      <c r="S1951" s="30" t="s">
        <v>38</v>
      </c>
      <c r="T1951" s="30" t="s">
        <v>39</v>
      </c>
      <c r="U1951" s="31">
        <v>0.69930069930069938</v>
      </c>
      <c r="V1951" s="82">
        <v>1</v>
      </c>
      <c r="AA1951" s="82"/>
      <c r="AF1951" s="84"/>
      <c r="AG1951" s="31">
        <v>0</v>
      </c>
      <c r="AH1951" t="s">
        <v>44</v>
      </c>
    </row>
    <row r="1952" spans="1:34">
      <c r="A1952" s="15" t="s">
        <v>2054</v>
      </c>
      <c r="B1952" s="12" t="s">
        <v>666</v>
      </c>
      <c r="C1952" s="43" t="s">
        <v>2051</v>
      </c>
      <c r="D1952" t="s">
        <v>38</v>
      </c>
      <c r="E1952" s="30" t="s">
        <v>39</v>
      </c>
      <c r="F1952" s="31">
        <v>0.63694267515923564</v>
      </c>
      <c r="G1952" s="82">
        <v>1</v>
      </c>
      <c r="L1952" s="82"/>
      <c r="Q1952" s="84"/>
      <c r="R1952" s="30" t="s">
        <v>160</v>
      </c>
      <c r="S1952" s="30" t="s">
        <v>38</v>
      </c>
      <c r="T1952" s="30" t="s">
        <v>39</v>
      </c>
      <c r="U1952" s="31">
        <v>0.69930069930069938</v>
      </c>
      <c r="V1952" s="82">
        <v>1</v>
      </c>
      <c r="AA1952" s="82"/>
      <c r="AF1952" s="84"/>
      <c r="AG1952" s="31">
        <v>0</v>
      </c>
      <c r="AH1952" t="s">
        <v>44</v>
      </c>
    </row>
    <row r="1953" spans="1:34">
      <c r="A1953" s="15" t="s">
        <v>2055</v>
      </c>
      <c r="B1953" s="12" t="s">
        <v>666</v>
      </c>
      <c r="C1953" s="43" t="s">
        <v>2051</v>
      </c>
      <c r="D1953" t="s">
        <v>38</v>
      </c>
      <c r="E1953" s="30" t="s">
        <v>39</v>
      </c>
      <c r="F1953" s="31">
        <v>0.63694267515923564</v>
      </c>
      <c r="G1953" s="82">
        <v>0.6</v>
      </c>
      <c r="H1953" s="43" t="s">
        <v>1952</v>
      </c>
      <c r="I1953" t="s">
        <v>38</v>
      </c>
      <c r="J1953" s="30" t="s">
        <v>39</v>
      </c>
      <c r="K1953" s="31">
        <v>0.84033613445378152</v>
      </c>
      <c r="L1953" s="82">
        <v>0.4</v>
      </c>
      <c r="Q1953" s="84"/>
      <c r="R1953" s="92" t="s">
        <v>160</v>
      </c>
      <c r="S1953" s="30" t="s">
        <v>38</v>
      </c>
      <c r="T1953" s="30" t="s">
        <v>39</v>
      </c>
      <c r="U1953" s="31">
        <v>0.69930069930069938</v>
      </c>
      <c r="V1953" s="82">
        <v>1</v>
      </c>
      <c r="AA1953" s="82"/>
      <c r="AF1953" s="84"/>
      <c r="AG1953" s="31">
        <v>0</v>
      </c>
      <c r="AH1953" t="s">
        <v>44</v>
      </c>
    </row>
    <row r="1954" spans="1:34">
      <c r="A1954" s="15" t="s">
        <v>2056</v>
      </c>
      <c r="B1954" s="12" t="s">
        <v>666</v>
      </c>
      <c r="C1954" s="43" t="s">
        <v>1952</v>
      </c>
      <c r="D1954" t="s">
        <v>38</v>
      </c>
      <c r="E1954" s="30" t="s">
        <v>39</v>
      </c>
      <c r="F1954" s="31">
        <v>0.84033613445378152</v>
      </c>
      <c r="G1954" s="82">
        <v>1</v>
      </c>
      <c r="L1954" s="82"/>
      <c r="Q1954" s="84"/>
      <c r="R1954" s="92" t="s">
        <v>160</v>
      </c>
      <c r="S1954" s="30" t="s">
        <v>38</v>
      </c>
      <c r="T1954" s="30" t="s">
        <v>39</v>
      </c>
      <c r="U1954" s="31">
        <v>0.69930069930069938</v>
      </c>
      <c r="V1954" s="82">
        <v>0.6</v>
      </c>
      <c r="W1954" s="30" t="s">
        <v>1949</v>
      </c>
      <c r="X1954" s="30" t="s">
        <v>41</v>
      </c>
      <c r="Y1954" s="30" t="s">
        <v>1950</v>
      </c>
      <c r="Z1954" s="31">
        <v>0.68</v>
      </c>
      <c r="AA1954" s="82">
        <v>0.4</v>
      </c>
      <c r="AF1954" s="84"/>
      <c r="AG1954" s="31">
        <v>0</v>
      </c>
      <c r="AH1954" t="s">
        <v>44</v>
      </c>
    </row>
    <row r="1955" spans="1:34">
      <c r="A1955" s="15" t="s">
        <v>2057</v>
      </c>
      <c r="B1955" s="12" t="s">
        <v>666</v>
      </c>
      <c r="C1955" s="43" t="s">
        <v>2051</v>
      </c>
      <c r="D1955" t="s">
        <v>38</v>
      </c>
      <c r="E1955" s="30" t="s">
        <v>39</v>
      </c>
      <c r="F1955" s="31">
        <v>0.63694267515923564</v>
      </c>
      <c r="G1955" s="82">
        <v>1</v>
      </c>
      <c r="L1955" s="82"/>
      <c r="Q1955" s="84"/>
      <c r="R1955" s="55" t="s">
        <v>160</v>
      </c>
      <c r="S1955" s="26" t="s">
        <v>38</v>
      </c>
      <c r="T1955" s="26" t="s">
        <v>39</v>
      </c>
      <c r="U1955" s="27">
        <v>0.69930069930069938</v>
      </c>
      <c r="V1955" s="33">
        <v>1</v>
      </c>
      <c r="AA1955" s="82"/>
      <c r="AF1955" s="84"/>
      <c r="AG1955" s="31">
        <v>0</v>
      </c>
      <c r="AH1955" t="s">
        <v>44</v>
      </c>
    </row>
    <row r="1956" spans="1:34">
      <c r="A1956" s="15" t="s">
        <v>2058</v>
      </c>
      <c r="B1956" s="12" t="s">
        <v>666</v>
      </c>
      <c r="C1956" s="43" t="s">
        <v>2051</v>
      </c>
      <c r="D1956" t="s">
        <v>38</v>
      </c>
      <c r="E1956" s="30" t="s">
        <v>39</v>
      </c>
      <c r="F1956" s="31">
        <v>0.63694267515923564</v>
      </c>
      <c r="G1956" s="82">
        <v>1</v>
      </c>
      <c r="L1956" s="82"/>
      <c r="Q1956" s="84"/>
      <c r="R1956" s="55" t="s">
        <v>160</v>
      </c>
      <c r="S1956" s="26" t="s">
        <v>38</v>
      </c>
      <c r="T1956" s="26" t="s">
        <v>39</v>
      </c>
      <c r="U1956" s="27">
        <v>0.69930069930069938</v>
      </c>
      <c r="V1956" s="33">
        <v>1</v>
      </c>
      <c r="AA1956" s="82"/>
      <c r="AF1956" s="84"/>
      <c r="AG1956" s="31">
        <v>0</v>
      </c>
      <c r="AH1956" t="s">
        <v>44</v>
      </c>
    </row>
    <row r="1957" spans="1:34">
      <c r="A1957" s="15" t="s">
        <v>2059</v>
      </c>
      <c r="B1957" s="12" t="s">
        <v>666</v>
      </c>
      <c r="C1957" s="43" t="s">
        <v>2051</v>
      </c>
      <c r="D1957" t="s">
        <v>38</v>
      </c>
      <c r="E1957" s="30" t="s">
        <v>39</v>
      </c>
      <c r="F1957" s="31">
        <v>0.63694267515923564</v>
      </c>
      <c r="G1957" s="82">
        <v>1</v>
      </c>
      <c r="L1957" s="82"/>
      <c r="Q1957" s="84"/>
      <c r="R1957" s="92" t="s">
        <v>160</v>
      </c>
      <c r="S1957" s="30" t="s">
        <v>38</v>
      </c>
      <c r="T1957" s="30" t="s">
        <v>39</v>
      </c>
      <c r="U1957" s="31">
        <v>0.69930069930069938</v>
      </c>
      <c r="V1957" s="82">
        <v>1</v>
      </c>
      <c r="AA1957" s="82"/>
      <c r="AF1957" s="84"/>
      <c r="AG1957" s="31">
        <v>0</v>
      </c>
      <c r="AH1957" t="s">
        <v>44</v>
      </c>
    </row>
    <row r="1958" spans="1:34">
      <c r="A1958" s="15" t="s">
        <v>2060</v>
      </c>
      <c r="B1958" s="12" t="s">
        <v>666</v>
      </c>
      <c r="C1958" s="43" t="s">
        <v>2051</v>
      </c>
      <c r="D1958" t="s">
        <v>38</v>
      </c>
      <c r="E1958" s="30" t="s">
        <v>39</v>
      </c>
      <c r="F1958" s="31">
        <v>0.63694267515923564</v>
      </c>
      <c r="G1958" s="82">
        <v>1</v>
      </c>
      <c r="L1958" s="82"/>
      <c r="Q1958" s="84"/>
      <c r="R1958" s="92" t="s">
        <v>160</v>
      </c>
      <c r="S1958" s="30" t="s">
        <v>38</v>
      </c>
      <c r="T1958" s="30" t="s">
        <v>39</v>
      </c>
      <c r="U1958" s="31">
        <v>0.69930069930069938</v>
      </c>
      <c r="V1958" s="82">
        <v>1</v>
      </c>
      <c r="AA1958" s="82"/>
      <c r="AF1958" s="84"/>
      <c r="AG1958" s="31">
        <v>0</v>
      </c>
      <c r="AH1958" t="s">
        <v>44</v>
      </c>
    </row>
    <row r="1959" spans="1:34">
      <c r="A1959" s="15" t="s">
        <v>2061</v>
      </c>
      <c r="B1959" s="12" t="s">
        <v>666</v>
      </c>
      <c r="C1959" s="43" t="s">
        <v>2051</v>
      </c>
      <c r="D1959" t="s">
        <v>38</v>
      </c>
      <c r="E1959" s="30" t="s">
        <v>39</v>
      </c>
      <c r="F1959" s="31">
        <v>0.63694267515923564</v>
      </c>
      <c r="G1959" s="82">
        <v>0.6</v>
      </c>
      <c r="H1959" s="43" t="s">
        <v>1952</v>
      </c>
      <c r="I1959" t="s">
        <v>38</v>
      </c>
      <c r="J1959" s="30" t="s">
        <v>39</v>
      </c>
      <c r="K1959" s="31">
        <v>0.84033613445378152</v>
      </c>
      <c r="L1959" s="82">
        <v>0.4</v>
      </c>
      <c r="Q1959" s="84"/>
      <c r="R1959" s="92" t="s">
        <v>160</v>
      </c>
      <c r="S1959" s="30" t="s">
        <v>38</v>
      </c>
      <c r="T1959" s="30" t="s">
        <v>39</v>
      </c>
      <c r="U1959" s="31">
        <v>0.69930069930069938</v>
      </c>
      <c r="V1959" s="82">
        <v>1</v>
      </c>
      <c r="AA1959" s="82"/>
      <c r="AF1959" s="84"/>
      <c r="AG1959" s="31">
        <v>0</v>
      </c>
      <c r="AH1959" t="s">
        <v>44</v>
      </c>
    </row>
    <row r="1960" spans="1:34">
      <c r="A1960" s="15" t="s">
        <v>2062</v>
      </c>
      <c r="B1960" s="12" t="s">
        <v>666</v>
      </c>
      <c r="C1960" s="43" t="s">
        <v>1952</v>
      </c>
      <c r="D1960" t="s">
        <v>38</v>
      </c>
      <c r="E1960" s="30" t="s">
        <v>39</v>
      </c>
      <c r="F1960" s="31">
        <v>0.84033613445378152</v>
      </c>
      <c r="G1960" s="82">
        <v>1</v>
      </c>
      <c r="L1960" s="82"/>
      <c r="Q1960" s="84"/>
      <c r="R1960" s="92" t="s">
        <v>160</v>
      </c>
      <c r="S1960" s="30" t="s">
        <v>38</v>
      </c>
      <c r="T1960" s="30" t="s">
        <v>39</v>
      </c>
      <c r="U1960" s="31">
        <v>0.69930069930069938</v>
      </c>
      <c r="V1960" s="82">
        <v>0.6</v>
      </c>
      <c r="W1960" s="30" t="s">
        <v>1949</v>
      </c>
      <c r="X1960" s="30" t="s">
        <v>41</v>
      </c>
      <c r="Y1960" s="30" t="s">
        <v>1950</v>
      </c>
      <c r="Z1960" s="31">
        <v>0.68</v>
      </c>
      <c r="AA1960" s="82">
        <v>0.4</v>
      </c>
      <c r="AF1960" s="84"/>
      <c r="AG1960" s="31">
        <v>0</v>
      </c>
      <c r="AH1960" t="s">
        <v>44</v>
      </c>
    </row>
    <row r="1961" spans="1:34">
      <c r="A1961" s="15" t="s">
        <v>2063</v>
      </c>
      <c r="B1961" s="12" t="s">
        <v>666</v>
      </c>
      <c r="C1961" s="43" t="s">
        <v>2051</v>
      </c>
      <c r="D1961" t="s">
        <v>38</v>
      </c>
      <c r="E1961" s="30" t="s">
        <v>39</v>
      </c>
      <c r="F1961" s="31">
        <v>0.63694267515923564</v>
      </c>
      <c r="G1961" s="82">
        <v>1</v>
      </c>
      <c r="L1961" s="82"/>
      <c r="Q1961" s="84"/>
      <c r="R1961" s="55" t="s">
        <v>160</v>
      </c>
      <c r="S1961" s="26" t="s">
        <v>38</v>
      </c>
      <c r="T1961" s="26" t="s">
        <v>39</v>
      </c>
      <c r="U1961" s="27">
        <v>0.69930069930069938</v>
      </c>
      <c r="V1961" s="33">
        <v>1</v>
      </c>
      <c r="AA1961" s="82"/>
      <c r="AF1961" s="84"/>
      <c r="AG1961" s="31">
        <v>0</v>
      </c>
      <c r="AH1961" t="s">
        <v>44</v>
      </c>
    </row>
    <row r="1962" spans="1:34">
      <c r="A1962" s="15" t="s">
        <v>2064</v>
      </c>
      <c r="B1962" s="12" t="s">
        <v>666</v>
      </c>
      <c r="C1962" s="43" t="s">
        <v>2051</v>
      </c>
      <c r="D1962" t="s">
        <v>38</v>
      </c>
      <c r="E1962" s="30" t="s">
        <v>39</v>
      </c>
      <c r="F1962" s="31">
        <v>0.63694267515923564</v>
      </c>
      <c r="G1962" s="82">
        <v>1</v>
      </c>
      <c r="L1962" s="82"/>
      <c r="Q1962" s="84"/>
      <c r="R1962" s="55" t="s">
        <v>160</v>
      </c>
      <c r="S1962" s="26" t="s">
        <v>38</v>
      </c>
      <c r="T1962" s="26" t="s">
        <v>39</v>
      </c>
      <c r="U1962" s="27">
        <v>0.69930069930069938</v>
      </c>
      <c r="V1962" s="33">
        <v>1</v>
      </c>
      <c r="AA1962" s="82"/>
      <c r="AF1962" s="84"/>
      <c r="AG1962" s="31">
        <v>0</v>
      </c>
      <c r="AH1962" t="s">
        <v>44</v>
      </c>
    </row>
    <row r="1963" spans="1:34">
      <c r="A1963" s="15" t="s">
        <v>2065</v>
      </c>
      <c r="B1963" s="12" t="s">
        <v>666</v>
      </c>
      <c r="C1963" s="43" t="s">
        <v>2051</v>
      </c>
      <c r="D1963" t="s">
        <v>38</v>
      </c>
      <c r="E1963" s="30" t="s">
        <v>39</v>
      </c>
      <c r="F1963" s="31">
        <v>0.63694267515923564</v>
      </c>
      <c r="G1963" s="82">
        <v>1</v>
      </c>
      <c r="L1963" s="82"/>
      <c r="Q1963" s="84"/>
      <c r="R1963" s="92" t="s">
        <v>160</v>
      </c>
      <c r="S1963" s="30" t="s">
        <v>38</v>
      </c>
      <c r="T1963" s="30" t="s">
        <v>39</v>
      </c>
      <c r="U1963" s="31">
        <v>0.69930069930069938</v>
      </c>
      <c r="V1963" s="82">
        <v>1</v>
      </c>
      <c r="AA1963" s="82"/>
      <c r="AF1963" s="84"/>
      <c r="AG1963" s="31">
        <v>0</v>
      </c>
      <c r="AH1963" t="s">
        <v>44</v>
      </c>
    </row>
    <row r="1964" spans="1:34">
      <c r="A1964" s="15" t="s">
        <v>2066</v>
      </c>
      <c r="B1964" s="12" t="s">
        <v>666</v>
      </c>
      <c r="C1964" s="43" t="s">
        <v>2051</v>
      </c>
      <c r="D1964" t="s">
        <v>38</v>
      </c>
      <c r="E1964" s="30" t="s">
        <v>39</v>
      </c>
      <c r="F1964" s="31">
        <v>0.63694267515923564</v>
      </c>
      <c r="G1964" s="82">
        <v>1</v>
      </c>
      <c r="L1964" s="82"/>
      <c r="Q1964" s="84"/>
      <c r="R1964" s="92" t="s">
        <v>160</v>
      </c>
      <c r="S1964" s="30" t="s">
        <v>38</v>
      </c>
      <c r="T1964" s="30" t="s">
        <v>39</v>
      </c>
      <c r="U1964" s="31">
        <v>0.69930069930069938</v>
      </c>
      <c r="V1964" s="82">
        <v>1</v>
      </c>
      <c r="AA1964" s="82"/>
      <c r="AF1964" s="84"/>
      <c r="AG1964" s="31">
        <v>0</v>
      </c>
      <c r="AH1964" t="s">
        <v>44</v>
      </c>
    </row>
    <row r="1965" spans="1:34">
      <c r="A1965" s="15" t="s">
        <v>2067</v>
      </c>
      <c r="B1965" s="12" t="s">
        <v>666</v>
      </c>
      <c r="C1965" s="43" t="s">
        <v>2051</v>
      </c>
      <c r="D1965" t="s">
        <v>38</v>
      </c>
      <c r="E1965" s="30" t="s">
        <v>39</v>
      </c>
      <c r="F1965" s="31">
        <v>0.63694267515923564</v>
      </c>
      <c r="G1965" s="82">
        <v>0.6</v>
      </c>
      <c r="H1965" s="43" t="s">
        <v>1952</v>
      </c>
      <c r="I1965" t="s">
        <v>38</v>
      </c>
      <c r="J1965" s="30" t="s">
        <v>39</v>
      </c>
      <c r="K1965" s="31">
        <v>0.84033613445378152</v>
      </c>
      <c r="L1965" s="82">
        <v>0.4</v>
      </c>
      <c r="Q1965" s="84"/>
      <c r="R1965" s="92" t="s">
        <v>160</v>
      </c>
      <c r="S1965" s="30" t="s">
        <v>38</v>
      </c>
      <c r="T1965" s="30" t="s">
        <v>39</v>
      </c>
      <c r="U1965" s="31">
        <v>0.69930069930069938</v>
      </c>
      <c r="V1965" s="82">
        <v>1</v>
      </c>
      <c r="AA1965" s="82"/>
      <c r="AF1965" s="84"/>
      <c r="AG1965" s="31">
        <v>0</v>
      </c>
      <c r="AH1965" t="s">
        <v>44</v>
      </c>
    </row>
    <row r="1966" spans="1:34">
      <c r="A1966" s="15" t="s">
        <v>2068</v>
      </c>
      <c r="B1966" s="12" t="s">
        <v>666</v>
      </c>
      <c r="C1966" s="43" t="s">
        <v>1952</v>
      </c>
      <c r="D1966" t="s">
        <v>38</v>
      </c>
      <c r="E1966" s="30" t="s">
        <v>39</v>
      </c>
      <c r="F1966" s="31">
        <v>0.84033613445378152</v>
      </c>
      <c r="G1966" s="82">
        <v>1</v>
      </c>
      <c r="L1966" s="82"/>
      <c r="Q1966" s="84"/>
      <c r="R1966" s="94" t="s">
        <v>160</v>
      </c>
      <c r="S1966" s="63" t="s">
        <v>38</v>
      </c>
      <c r="T1966" s="63" t="s">
        <v>39</v>
      </c>
      <c r="U1966" s="93">
        <v>0.69930069930069938</v>
      </c>
      <c r="V1966" s="95">
        <v>0.6</v>
      </c>
      <c r="W1966" s="63" t="s">
        <v>1949</v>
      </c>
      <c r="X1966" s="63" t="s">
        <v>41</v>
      </c>
      <c r="Y1966" s="63" t="s">
        <v>1950</v>
      </c>
      <c r="Z1966" s="93">
        <v>0.68</v>
      </c>
      <c r="AA1966" s="95">
        <v>0.4</v>
      </c>
      <c r="AF1966" s="84"/>
      <c r="AG1966" s="31">
        <v>0</v>
      </c>
      <c r="AH1966" t="s">
        <v>44</v>
      </c>
    </row>
    <row r="1967" spans="1:34" s="6" customFormat="1">
      <c r="A1967" s="18" t="s">
        <v>2069</v>
      </c>
      <c r="B1967" s="19" t="s">
        <v>751</v>
      </c>
      <c r="C1967" s="42" t="s">
        <v>410</v>
      </c>
      <c r="D1967" s="6" t="s">
        <v>38</v>
      </c>
      <c r="E1967" s="28" t="s">
        <v>42</v>
      </c>
      <c r="F1967" s="29">
        <v>3.2258064516129035</v>
      </c>
      <c r="G1967" s="83">
        <v>0.66666666666666663</v>
      </c>
      <c r="H1967" s="42" t="s">
        <v>2032</v>
      </c>
      <c r="I1967" s="28" t="s">
        <v>38</v>
      </c>
      <c r="J1967" s="28" t="s">
        <v>1879</v>
      </c>
      <c r="K1967" s="29">
        <v>0.9009009009009008</v>
      </c>
      <c r="L1967" s="83">
        <v>0.33333333333333331</v>
      </c>
      <c r="M1967" s="74"/>
      <c r="N1967" s="28"/>
      <c r="O1967" s="28"/>
      <c r="P1967" s="29"/>
      <c r="Q1967" s="85"/>
      <c r="R1967" s="47" t="s">
        <v>411</v>
      </c>
      <c r="S1967" s="47" t="s">
        <v>38</v>
      </c>
      <c r="T1967" s="47" t="s">
        <v>42</v>
      </c>
      <c r="U1967" s="48">
        <v>2.5</v>
      </c>
      <c r="V1967" s="49">
        <v>0.66666666666666663</v>
      </c>
      <c r="W1967" s="47" t="s">
        <v>160</v>
      </c>
      <c r="X1967" s="47" t="s">
        <v>38</v>
      </c>
      <c r="Y1967" s="47" t="s">
        <v>39</v>
      </c>
      <c r="Z1967" s="48">
        <v>0.90909090909090906</v>
      </c>
      <c r="AA1967" s="49">
        <v>0.33333333333333331</v>
      </c>
      <c r="AB1967" s="74"/>
      <c r="AC1967" s="28"/>
      <c r="AD1967" s="28"/>
      <c r="AE1967" s="28"/>
      <c r="AF1967" s="85"/>
      <c r="AG1967" s="97">
        <v>0</v>
      </c>
      <c r="AH1967" s="6" t="s">
        <v>44</v>
      </c>
    </row>
    <row r="1968" spans="1:34">
      <c r="A1968" s="15" t="s">
        <v>2070</v>
      </c>
      <c r="B1968" s="12" t="s">
        <v>751</v>
      </c>
      <c r="C1968" s="43" t="s">
        <v>410</v>
      </c>
      <c r="D1968" t="s">
        <v>38</v>
      </c>
      <c r="E1968" s="30" t="s">
        <v>42</v>
      </c>
      <c r="F1968" s="31">
        <v>3.2258064516129035</v>
      </c>
      <c r="G1968" s="82">
        <v>0.66666666666666663</v>
      </c>
      <c r="H1968" s="30" t="s">
        <v>2032</v>
      </c>
      <c r="I1968" s="30" t="s">
        <v>38</v>
      </c>
      <c r="J1968" s="30" t="s">
        <v>1879</v>
      </c>
      <c r="K1968" s="31">
        <v>0.9009009009009008</v>
      </c>
      <c r="L1968" s="82">
        <v>0.33333333333333331</v>
      </c>
      <c r="Q1968" s="84"/>
      <c r="R1968" s="26" t="s">
        <v>411</v>
      </c>
      <c r="S1968" s="26" t="s">
        <v>38</v>
      </c>
      <c r="T1968" s="26" t="s">
        <v>42</v>
      </c>
      <c r="U1968" s="27">
        <v>2.5</v>
      </c>
      <c r="V1968" s="33">
        <v>0.66666666666666663</v>
      </c>
      <c r="W1968" s="26" t="s">
        <v>160</v>
      </c>
      <c r="X1968" s="26" t="s">
        <v>38</v>
      </c>
      <c r="Y1968" s="26" t="s">
        <v>39</v>
      </c>
      <c r="Z1968" s="27">
        <v>0.90909090909090906</v>
      </c>
      <c r="AA1968" s="33">
        <v>0.33333333333333331</v>
      </c>
      <c r="AF1968" s="84"/>
      <c r="AG1968" s="31">
        <v>0</v>
      </c>
      <c r="AH1968" t="s">
        <v>44</v>
      </c>
    </row>
    <row r="1969" spans="1:34">
      <c r="A1969" s="15" t="s">
        <v>2071</v>
      </c>
      <c r="B1969" s="12" t="s">
        <v>751</v>
      </c>
      <c r="C1969" s="43" t="s">
        <v>410</v>
      </c>
      <c r="D1969" t="s">
        <v>38</v>
      </c>
      <c r="E1969" s="30" t="s">
        <v>42</v>
      </c>
      <c r="F1969" s="31">
        <v>3.2258064516129035</v>
      </c>
      <c r="G1969" s="82">
        <v>0.66666666666666663</v>
      </c>
      <c r="H1969" s="30" t="s">
        <v>2032</v>
      </c>
      <c r="I1969" s="30" t="s">
        <v>38</v>
      </c>
      <c r="J1969" s="30" t="s">
        <v>1879</v>
      </c>
      <c r="K1969" s="31">
        <v>0.9009009009009008</v>
      </c>
      <c r="L1969" s="82">
        <v>0.33333333333333331</v>
      </c>
      <c r="Q1969" s="84"/>
      <c r="R1969" s="30" t="s">
        <v>411</v>
      </c>
      <c r="S1969" s="30" t="s">
        <v>38</v>
      </c>
      <c r="T1969" s="30" t="s">
        <v>42</v>
      </c>
      <c r="U1969" s="31">
        <v>2.5</v>
      </c>
      <c r="V1969" s="82">
        <v>0.66666666666666663</v>
      </c>
      <c r="W1969" s="30" t="s">
        <v>160</v>
      </c>
      <c r="X1969" s="30" t="s">
        <v>38</v>
      </c>
      <c r="Y1969" s="30" t="s">
        <v>39</v>
      </c>
      <c r="Z1969" s="31">
        <v>0.90909090909090906</v>
      </c>
      <c r="AA1969" s="82">
        <v>0.33333333333333331</v>
      </c>
      <c r="AF1969" s="84"/>
      <c r="AG1969" s="31">
        <v>0</v>
      </c>
      <c r="AH1969" t="s">
        <v>44</v>
      </c>
    </row>
    <row r="1970" spans="1:34">
      <c r="A1970" s="15" t="s">
        <v>2072</v>
      </c>
      <c r="B1970" s="12" t="s">
        <v>751</v>
      </c>
      <c r="C1970" s="43" t="s">
        <v>410</v>
      </c>
      <c r="D1970" t="s">
        <v>38</v>
      </c>
      <c r="E1970" s="30" t="s">
        <v>42</v>
      </c>
      <c r="F1970" s="31">
        <v>3.2258064516129035</v>
      </c>
      <c r="G1970" s="82">
        <v>0.66666666666666663</v>
      </c>
      <c r="H1970" s="30" t="s">
        <v>2032</v>
      </c>
      <c r="I1970" s="30" t="s">
        <v>38</v>
      </c>
      <c r="J1970" s="30" t="s">
        <v>1879</v>
      </c>
      <c r="K1970" s="31">
        <v>0.9009009009009008</v>
      </c>
      <c r="L1970" s="82">
        <v>0.33333333333333331</v>
      </c>
      <c r="Q1970" s="84"/>
      <c r="R1970" s="30" t="s">
        <v>411</v>
      </c>
      <c r="S1970" s="30" t="s">
        <v>38</v>
      </c>
      <c r="T1970" s="30" t="s">
        <v>42</v>
      </c>
      <c r="U1970" s="31">
        <v>2.5</v>
      </c>
      <c r="V1970" s="82">
        <v>0.66666666666666663</v>
      </c>
      <c r="W1970" s="30" t="s">
        <v>160</v>
      </c>
      <c r="X1970" s="30" t="s">
        <v>38</v>
      </c>
      <c r="Y1970" s="30" t="s">
        <v>39</v>
      </c>
      <c r="Z1970" s="31">
        <v>0.90909090909090906</v>
      </c>
      <c r="AA1970" s="82">
        <v>0.33333333333333331</v>
      </c>
      <c r="AF1970" s="84"/>
      <c r="AG1970" s="31">
        <v>0</v>
      </c>
      <c r="AH1970" t="s">
        <v>44</v>
      </c>
    </row>
    <row r="1971" spans="1:34">
      <c r="A1971" s="15" t="s">
        <v>2073</v>
      </c>
      <c r="B1971" s="12" t="s">
        <v>751</v>
      </c>
      <c r="C1971" s="43" t="s">
        <v>410</v>
      </c>
      <c r="D1971" t="s">
        <v>38</v>
      </c>
      <c r="E1971" s="30" t="s">
        <v>42</v>
      </c>
      <c r="F1971" s="31">
        <v>3.2258064516129035</v>
      </c>
      <c r="G1971" s="82">
        <v>0.66666666666666663</v>
      </c>
      <c r="H1971" s="30" t="s">
        <v>2032</v>
      </c>
      <c r="I1971" s="30" t="s">
        <v>38</v>
      </c>
      <c r="J1971" s="30" t="s">
        <v>1879</v>
      </c>
      <c r="K1971" s="31">
        <v>0.9009009009009008</v>
      </c>
      <c r="L1971" s="82">
        <v>0.33333333333333331</v>
      </c>
      <c r="Q1971" s="84"/>
      <c r="R1971" s="30" t="s">
        <v>411</v>
      </c>
      <c r="S1971" s="30" t="s">
        <v>38</v>
      </c>
      <c r="T1971" s="30" t="s">
        <v>42</v>
      </c>
      <c r="U1971" s="31">
        <v>2.5</v>
      </c>
      <c r="V1971" s="82">
        <v>0.66666666666666663</v>
      </c>
      <c r="W1971" s="30" t="s">
        <v>160</v>
      </c>
      <c r="X1971" s="30" t="s">
        <v>38</v>
      </c>
      <c r="Y1971" s="30" t="s">
        <v>39</v>
      </c>
      <c r="Z1971" s="31">
        <v>0.90909090909090906</v>
      </c>
      <c r="AA1971" s="82">
        <v>0.33333333333333331</v>
      </c>
      <c r="AF1971" s="84"/>
      <c r="AG1971" s="31">
        <v>0</v>
      </c>
      <c r="AH1971" t="s">
        <v>44</v>
      </c>
    </row>
    <row r="1972" spans="1:34">
      <c r="A1972" s="15" t="s">
        <v>2074</v>
      </c>
      <c r="B1972" s="12" t="s">
        <v>751</v>
      </c>
      <c r="C1972" s="43" t="s">
        <v>410</v>
      </c>
      <c r="D1972" t="s">
        <v>38</v>
      </c>
      <c r="E1972" s="30" t="s">
        <v>42</v>
      </c>
      <c r="F1972" s="31">
        <v>3.2258064516129035</v>
      </c>
      <c r="G1972" s="82">
        <v>0.66666666666666663</v>
      </c>
      <c r="H1972" s="30" t="s">
        <v>2032</v>
      </c>
      <c r="I1972" s="30" t="s">
        <v>38</v>
      </c>
      <c r="J1972" s="30" t="s">
        <v>1879</v>
      </c>
      <c r="K1972" s="31">
        <v>0.9009009009009008</v>
      </c>
      <c r="L1972" s="82">
        <v>0.33333333333333331</v>
      </c>
      <c r="Q1972" s="84"/>
      <c r="R1972" s="30" t="s">
        <v>411</v>
      </c>
      <c r="S1972" s="30" t="s">
        <v>38</v>
      </c>
      <c r="T1972" s="30" t="s">
        <v>42</v>
      </c>
      <c r="U1972" s="31">
        <v>2.5</v>
      </c>
      <c r="V1972" s="82">
        <v>0.66666666666666663</v>
      </c>
      <c r="W1972" s="30" t="s">
        <v>160</v>
      </c>
      <c r="X1972" s="30" t="s">
        <v>38</v>
      </c>
      <c r="Y1972" s="30" t="s">
        <v>39</v>
      </c>
      <c r="Z1972" s="31">
        <v>0.90909090909090906</v>
      </c>
      <c r="AA1972" s="82">
        <v>0.33333333333333331</v>
      </c>
      <c r="AF1972" s="84"/>
      <c r="AG1972" s="31">
        <v>0</v>
      </c>
      <c r="AH1972" t="s">
        <v>44</v>
      </c>
    </row>
    <row r="1973" spans="1:34">
      <c r="A1973" s="15" t="s">
        <v>2075</v>
      </c>
      <c r="B1973" s="12" t="s">
        <v>751</v>
      </c>
      <c r="C1973" s="43" t="s">
        <v>410</v>
      </c>
      <c r="D1973" t="s">
        <v>38</v>
      </c>
      <c r="E1973" s="30" t="s">
        <v>42</v>
      </c>
      <c r="F1973" s="31">
        <v>3.2258064516129035</v>
      </c>
      <c r="G1973" s="82">
        <v>0.66666666666666663</v>
      </c>
      <c r="H1973" s="30" t="s">
        <v>2032</v>
      </c>
      <c r="I1973" s="30" t="s">
        <v>38</v>
      </c>
      <c r="J1973" s="30" t="s">
        <v>1879</v>
      </c>
      <c r="K1973" s="31">
        <v>0.9009009009009008</v>
      </c>
      <c r="L1973" s="82">
        <v>0.33333333333333331</v>
      </c>
      <c r="Q1973" s="84"/>
      <c r="R1973" s="30" t="s">
        <v>411</v>
      </c>
      <c r="S1973" s="30" t="s">
        <v>38</v>
      </c>
      <c r="T1973" s="30" t="s">
        <v>42</v>
      </c>
      <c r="U1973" s="31">
        <v>2.5</v>
      </c>
      <c r="V1973" s="82">
        <v>0.66666666666666663</v>
      </c>
      <c r="W1973" s="30" t="s">
        <v>160</v>
      </c>
      <c r="X1973" s="30" t="s">
        <v>38</v>
      </c>
      <c r="Y1973" s="30" t="s">
        <v>39</v>
      </c>
      <c r="Z1973" s="31">
        <v>0.90909090909090906</v>
      </c>
      <c r="AA1973" s="82">
        <v>0.33333333333333331</v>
      </c>
      <c r="AF1973" s="84"/>
      <c r="AG1973" s="31">
        <v>0</v>
      </c>
      <c r="AH1973" t="s">
        <v>44</v>
      </c>
    </row>
    <row r="1974" spans="1:34">
      <c r="A1974" s="15" t="s">
        <v>2076</v>
      </c>
      <c r="B1974" s="12" t="s">
        <v>751</v>
      </c>
      <c r="C1974" s="43" t="s">
        <v>410</v>
      </c>
      <c r="D1974" t="s">
        <v>38</v>
      </c>
      <c r="E1974" s="30" t="s">
        <v>42</v>
      </c>
      <c r="F1974" s="31">
        <v>3.2258064516129035</v>
      </c>
      <c r="G1974" s="82">
        <v>0.66666666666666663</v>
      </c>
      <c r="H1974" s="30" t="s">
        <v>2032</v>
      </c>
      <c r="I1974" s="30" t="s">
        <v>38</v>
      </c>
      <c r="J1974" s="30" t="s">
        <v>1879</v>
      </c>
      <c r="K1974" s="31">
        <v>0.9009009009009008</v>
      </c>
      <c r="L1974" s="82">
        <v>0.33333333333333331</v>
      </c>
      <c r="Q1974" s="84"/>
      <c r="R1974" s="30" t="s">
        <v>411</v>
      </c>
      <c r="S1974" s="30" t="s">
        <v>38</v>
      </c>
      <c r="T1974" s="30" t="s">
        <v>42</v>
      </c>
      <c r="U1974" s="31">
        <v>2.5</v>
      </c>
      <c r="V1974" s="82">
        <v>0.66666666666666663</v>
      </c>
      <c r="W1974" s="30" t="s">
        <v>160</v>
      </c>
      <c r="X1974" s="30" t="s">
        <v>38</v>
      </c>
      <c r="Y1974" s="30" t="s">
        <v>39</v>
      </c>
      <c r="Z1974" s="31">
        <v>0.90909090909090906</v>
      </c>
      <c r="AA1974" s="82">
        <v>0.33333333333333331</v>
      </c>
      <c r="AF1974" s="84"/>
      <c r="AG1974" s="31">
        <v>0</v>
      </c>
      <c r="AH1974" t="s">
        <v>44</v>
      </c>
    </row>
    <row r="1975" spans="1:34">
      <c r="A1975" s="15" t="s">
        <v>2077</v>
      </c>
      <c r="B1975" s="12" t="s">
        <v>751</v>
      </c>
      <c r="C1975" s="43" t="s">
        <v>410</v>
      </c>
      <c r="D1975" t="s">
        <v>38</v>
      </c>
      <c r="E1975" s="30" t="s">
        <v>42</v>
      </c>
      <c r="F1975" s="31">
        <v>3.2258064516129035</v>
      </c>
      <c r="G1975" s="82">
        <v>0.66666666666666663</v>
      </c>
      <c r="H1975" s="30" t="s">
        <v>2032</v>
      </c>
      <c r="I1975" s="30" t="s">
        <v>38</v>
      </c>
      <c r="J1975" s="30" t="s">
        <v>1879</v>
      </c>
      <c r="K1975" s="31">
        <v>0.9009009009009008</v>
      </c>
      <c r="L1975" s="82">
        <v>0.33333333333333331</v>
      </c>
      <c r="Q1975" s="84"/>
      <c r="R1975" s="30" t="s">
        <v>411</v>
      </c>
      <c r="S1975" s="30" t="s">
        <v>38</v>
      </c>
      <c r="T1975" s="30" t="s">
        <v>42</v>
      </c>
      <c r="U1975" s="31">
        <v>2.5</v>
      </c>
      <c r="V1975" s="82">
        <v>0.66666666666666663</v>
      </c>
      <c r="W1975" s="30" t="s">
        <v>160</v>
      </c>
      <c r="X1975" s="30" t="s">
        <v>38</v>
      </c>
      <c r="Y1975" s="30" t="s">
        <v>39</v>
      </c>
      <c r="Z1975" s="31">
        <v>0.90909090909090906</v>
      </c>
      <c r="AA1975" s="82">
        <v>0.33333333333333331</v>
      </c>
      <c r="AF1975" s="84"/>
      <c r="AG1975" s="31">
        <v>0</v>
      </c>
      <c r="AH1975" t="s">
        <v>44</v>
      </c>
    </row>
    <row r="1976" spans="1:34">
      <c r="A1976" s="15" t="s">
        <v>2078</v>
      </c>
      <c r="B1976" s="12" t="s">
        <v>751</v>
      </c>
      <c r="C1976" s="43" t="s">
        <v>410</v>
      </c>
      <c r="D1976" t="s">
        <v>38</v>
      </c>
      <c r="E1976" s="30" t="s">
        <v>42</v>
      </c>
      <c r="F1976" s="31">
        <v>3.2258064516129035</v>
      </c>
      <c r="G1976" s="82">
        <v>0.66666666666666663</v>
      </c>
      <c r="H1976" s="30" t="s">
        <v>2032</v>
      </c>
      <c r="I1976" s="30" t="s">
        <v>38</v>
      </c>
      <c r="J1976" s="30" t="s">
        <v>1879</v>
      </c>
      <c r="K1976" s="31">
        <v>0.9009009009009008</v>
      </c>
      <c r="L1976" s="82">
        <v>0.33333333333333331</v>
      </c>
      <c r="Q1976" s="84"/>
      <c r="R1976" s="30" t="s">
        <v>411</v>
      </c>
      <c r="S1976" s="30" t="s">
        <v>38</v>
      </c>
      <c r="T1976" s="30" t="s">
        <v>42</v>
      </c>
      <c r="U1976" s="31">
        <v>2.5</v>
      </c>
      <c r="V1976" s="82">
        <v>0.66666666666666663</v>
      </c>
      <c r="W1976" s="30" t="s">
        <v>160</v>
      </c>
      <c r="X1976" s="30" t="s">
        <v>38</v>
      </c>
      <c r="Y1976" s="30" t="s">
        <v>39</v>
      </c>
      <c r="Z1976" s="31">
        <v>0.90909090909090906</v>
      </c>
      <c r="AA1976" s="82">
        <v>0.33333333333333331</v>
      </c>
      <c r="AF1976" s="84"/>
      <c r="AG1976" s="31">
        <v>0</v>
      </c>
      <c r="AH1976" t="s">
        <v>44</v>
      </c>
    </row>
    <row r="1977" spans="1:34" s="6" customFormat="1">
      <c r="A1977" s="18" t="s">
        <v>2079</v>
      </c>
      <c r="B1977" s="19" t="s">
        <v>836</v>
      </c>
      <c r="C1977" s="42" t="s">
        <v>1905</v>
      </c>
      <c r="D1977" s="6" t="s">
        <v>41</v>
      </c>
      <c r="E1977" s="28" t="s">
        <v>1879</v>
      </c>
      <c r="F1977" s="29">
        <v>0.51020408163265307</v>
      </c>
      <c r="G1977" s="83">
        <v>1</v>
      </c>
      <c r="H1977" s="42"/>
      <c r="J1977" s="28"/>
      <c r="K1977" s="29"/>
      <c r="L1977" s="83"/>
      <c r="M1977" s="74"/>
      <c r="N1977" s="28"/>
      <c r="O1977" s="28"/>
      <c r="P1977" s="29"/>
      <c r="Q1977" s="85"/>
      <c r="R1977" s="91" t="s">
        <v>212</v>
      </c>
      <c r="S1977" s="28" t="s">
        <v>41</v>
      </c>
      <c r="T1977" s="28" t="s">
        <v>39</v>
      </c>
      <c r="U1977" s="29">
        <v>0.92592592592592582</v>
      </c>
      <c r="V1977" s="83">
        <v>1</v>
      </c>
      <c r="W1977" s="28"/>
      <c r="X1977" s="28"/>
      <c r="Y1977" s="28"/>
      <c r="Z1977" s="29"/>
      <c r="AA1977" s="83"/>
      <c r="AB1977" s="74"/>
      <c r="AC1977" s="28"/>
      <c r="AD1977" s="28"/>
      <c r="AE1977" s="28"/>
      <c r="AF1977" s="85"/>
      <c r="AG1977" s="97">
        <v>0</v>
      </c>
      <c r="AH1977" s="6" t="s">
        <v>44</v>
      </c>
    </row>
    <row r="1978" spans="1:34">
      <c r="A1978" s="15" t="s">
        <v>2080</v>
      </c>
      <c r="B1978" s="12" t="s">
        <v>836</v>
      </c>
      <c r="C1978" s="43" t="s">
        <v>1905</v>
      </c>
      <c r="D1978" t="s">
        <v>41</v>
      </c>
      <c r="E1978" s="30" t="s">
        <v>1879</v>
      </c>
      <c r="F1978" s="31">
        <v>0.51020408163265307</v>
      </c>
      <c r="G1978" s="82">
        <v>1</v>
      </c>
      <c r="Q1978" s="84"/>
      <c r="R1978" s="92" t="s">
        <v>212</v>
      </c>
      <c r="S1978" s="30" t="s">
        <v>41</v>
      </c>
      <c r="T1978" s="30" t="s">
        <v>39</v>
      </c>
      <c r="U1978" s="31">
        <v>0.92592592592592582</v>
      </c>
      <c r="V1978" s="82">
        <v>1</v>
      </c>
      <c r="AA1978" s="82"/>
      <c r="AF1978" s="84"/>
      <c r="AG1978" s="31">
        <v>0</v>
      </c>
      <c r="AH1978" t="s">
        <v>44</v>
      </c>
    </row>
    <row r="1979" spans="1:34">
      <c r="A1979" s="15" t="s">
        <v>2081</v>
      </c>
      <c r="B1979" s="12" t="s">
        <v>836</v>
      </c>
      <c r="C1979" s="43" t="s">
        <v>1878</v>
      </c>
      <c r="D1979" t="s">
        <v>38</v>
      </c>
      <c r="E1979" s="30" t="s">
        <v>1879</v>
      </c>
      <c r="F1979" s="31">
        <v>0.81300813008130079</v>
      </c>
      <c r="G1979" s="82">
        <v>1</v>
      </c>
      <c r="L1979" s="82"/>
      <c r="Q1979" s="84"/>
      <c r="R1979" s="92" t="s">
        <v>1906</v>
      </c>
      <c r="S1979" s="30" t="s">
        <v>41</v>
      </c>
      <c r="T1979" s="30" t="s">
        <v>42</v>
      </c>
      <c r="U1979" s="31">
        <v>0.9009009009009008</v>
      </c>
      <c r="V1979" s="82">
        <v>1</v>
      </c>
      <c r="AA1979" s="82"/>
      <c r="AF1979" s="84"/>
      <c r="AG1979" s="31">
        <v>0</v>
      </c>
      <c r="AH1979" t="s">
        <v>44</v>
      </c>
    </row>
    <row r="1980" spans="1:34">
      <c r="A1980" s="15" t="s">
        <v>2082</v>
      </c>
      <c r="B1980" s="12" t="s">
        <v>836</v>
      </c>
      <c r="C1980" s="43" t="s">
        <v>1878</v>
      </c>
      <c r="D1980" t="s">
        <v>38</v>
      </c>
      <c r="E1980" s="30" t="s">
        <v>1879</v>
      </c>
      <c r="F1980" s="31">
        <v>0.81300813008130079</v>
      </c>
      <c r="G1980" s="82">
        <v>1</v>
      </c>
      <c r="L1980" s="82"/>
      <c r="Q1980" s="84"/>
      <c r="R1980" s="30" t="s">
        <v>1906</v>
      </c>
      <c r="S1980" s="30" t="s">
        <v>41</v>
      </c>
      <c r="T1980" s="30" t="s">
        <v>42</v>
      </c>
      <c r="U1980" s="31">
        <v>0.9009009009009008</v>
      </c>
      <c r="V1980" s="82">
        <v>1</v>
      </c>
      <c r="AA1980" s="82"/>
      <c r="AF1980" s="84"/>
      <c r="AG1980" s="31">
        <v>0</v>
      </c>
      <c r="AH1980" t="s">
        <v>44</v>
      </c>
    </row>
    <row r="1981" spans="1:34">
      <c r="A1981" s="15" t="s">
        <v>2083</v>
      </c>
      <c r="B1981" s="12" t="s">
        <v>836</v>
      </c>
      <c r="C1981" s="43" t="s">
        <v>1878</v>
      </c>
      <c r="D1981" t="s">
        <v>38</v>
      </c>
      <c r="E1981" s="30" t="s">
        <v>1879</v>
      </c>
      <c r="F1981" s="31">
        <v>0.81300813008130079</v>
      </c>
      <c r="G1981" s="82">
        <v>1</v>
      </c>
      <c r="L1981" s="82"/>
      <c r="Q1981" s="84"/>
      <c r="R1981" s="30" t="s">
        <v>1906</v>
      </c>
      <c r="S1981" s="30" t="s">
        <v>41</v>
      </c>
      <c r="T1981" s="30" t="s">
        <v>42</v>
      </c>
      <c r="U1981" s="31">
        <v>0.9009009009009008</v>
      </c>
      <c r="V1981" s="82">
        <v>1</v>
      </c>
      <c r="AA1981" s="82"/>
      <c r="AF1981" s="84"/>
      <c r="AG1981" s="31">
        <v>0</v>
      </c>
      <c r="AH1981" t="s">
        <v>44</v>
      </c>
    </row>
    <row r="1982" spans="1:34">
      <c r="A1982" s="15" t="s">
        <v>2084</v>
      </c>
      <c r="B1982" s="12" t="s">
        <v>836</v>
      </c>
      <c r="C1982" s="43" t="s">
        <v>2085</v>
      </c>
      <c r="D1982" t="s">
        <v>41</v>
      </c>
      <c r="E1982" s="30" t="s">
        <v>2086</v>
      </c>
      <c r="F1982" s="31">
        <v>0.58823529411764708</v>
      </c>
      <c r="G1982" s="82">
        <v>0.5</v>
      </c>
      <c r="H1982" s="43" t="s">
        <v>1916</v>
      </c>
      <c r="I1982" t="s">
        <v>41</v>
      </c>
      <c r="J1982" s="30" t="s">
        <v>39</v>
      </c>
      <c r="K1982" s="31">
        <v>0.71942446043165476</v>
      </c>
      <c r="L1982" s="82">
        <v>0.5</v>
      </c>
      <c r="Q1982" s="84"/>
      <c r="R1982" s="30" t="s">
        <v>1906</v>
      </c>
      <c r="S1982" s="30" t="s">
        <v>41</v>
      </c>
      <c r="T1982" s="30" t="s">
        <v>42</v>
      </c>
      <c r="U1982" s="31">
        <v>0.9009009009009008</v>
      </c>
      <c r="V1982" s="82">
        <v>1</v>
      </c>
      <c r="AA1982" s="82"/>
      <c r="AF1982" s="84"/>
      <c r="AG1982" s="31">
        <v>0</v>
      </c>
      <c r="AH1982" t="s">
        <v>44</v>
      </c>
    </row>
    <row r="1983" spans="1:34">
      <c r="A1983" s="15" t="s">
        <v>2087</v>
      </c>
      <c r="B1983" s="12" t="s">
        <v>836</v>
      </c>
      <c r="C1983" s="43" t="s">
        <v>2085</v>
      </c>
      <c r="D1983" t="s">
        <v>41</v>
      </c>
      <c r="E1983" s="30" t="s">
        <v>2086</v>
      </c>
      <c r="F1983" s="31">
        <v>0.58823529411764708</v>
      </c>
      <c r="G1983" s="82">
        <v>1</v>
      </c>
      <c r="L1983" s="82"/>
      <c r="Q1983" s="84"/>
      <c r="R1983" s="30" t="s">
        <v>2088</v>
      </c>
      <c r="S1983" s="30" t="s">
        <v>41</v>
      </c>
      <c r="T1983" s="30" t="s">
        <v>42</v>
      </c>
      <c r="U1983" s="31">
        <v>1.1904761904761905</v>
      </c>
      <c r="V1983" s="82">
        <v>1</v>
      </c>
      <c r="AA1983" s="82"/>
      <c r="AF1983" s="84"/>
      <c r="AG1983" s="31">
        <v>0</v>
      </c>
      <c r="AH1983" t="s">
        <v>44</v>
      </c>
    </row>
    <row r="1984" spans="1:34">
      <c r="A1984" s="15" t="s">
        <v>2089</v>
      </c>
      <c r="B1984" s="12" t="s">
        <v>836</v>
      </c>
      <c r="C1984" s="43" t="s">
        <v>227</v>
      </c>
      <c r="D1984" t="s">
        <v>41</v>
      </c>
      <c r="E1984" s="30" t="s">
        <v>42</v>
      </c>
      <c r="F1984" s="31">
        <v>0.94339622641509424</v>
      </c>
      <c r="G1984" s="82">
        <v>1</v>
      </c>
      <c r="L1984" s="82"/>
      <c r="Q1984" s="84"/>
      <c r="R1984" s="30" t="s">
        <v>2088</v>
      </c>
      <c r="S1984" s="30" t="s">
        <v>41</v>
      </c>
      <c r="T1984" s="30" t="s">
        <v>42</v>
      </c>
      <c r="U1984" s="31">
        <v>1.1904761904761905</v>
      </c>
      <c r="V1984" s="82">
        <v>1</v>
      </c>
      <c r="AA1984" s="82"/>
      <c r="AF1984" s="84"/>
      <c r="AG1984" s="31">
        <v>1</v>
      </c>
      <c r="AH1984" t="s">
        <v>73</v>
      </c>
    </row>
    <row r="1985" spans="1:34">
      <c r="A1985" s="15" t="s">
        <v>2090</v>
      </c>
      <c r="B1985" s="12" t="s">
        <v>836</v>
      </c>
      <c r="C1985" s="43" t="s">
        <v>227</v>
      </c>
      <c r="D1985" t="s">
        <v>41</v>
      </c>
      <c r="E1985" s="30" t="s">
        <v>42</v>
      </c>
      <c r="F1985" s="31">
        <v>0.94339622641509424</v>
      </c>
      <c r="G1985" s="82">
        <v>1</v>
      </c>
      <c r="L1985" s="82"/>
      <c r="Q1985" s="84"/>
      <c r="R1985" s="30" t="s">
        <v>2088</v>
      </c>
      <c r="S1985" s="30" t="s">
        <v>41</v>
      </c>
      <c r="T1985" s="30" t="s">
        <v>42</v>
      </c>
      <c r="U1985" s="31">
        <v>1.1904761904761905</v>
      </c>
      <c r="V1985" s="82">
        <v>1</v>
      </c>
      <c r="AA1985" s="82"/>
      <c r="AF1985" s="84"/>
      <c r="AG1985" s="98">
        <v>1</v>
      </c>
      <c r="AH1985" t="s">
        <v>73</v>
      </c>
    </row>
    <row r="1986" spans="1:34">
      <c r="A1986" s="15" t="s">
        <v>2091</v>
      </c>
      <c r="B1986" s="12" t="s">
        <v>836</v>
      </c>
      <c r="C1986" s="43" t="s">
        <v>40</v>
      </c>
      <c r="D1986" t="s">
        <v>41</v>
      </c>
      <c r="E1986" s="30" t="s">
        <v>42</v>
      </c>
      <c r="F1986" s="31">
        <v>2.3255813953488373</v>
      </c>
      <c r="G1986" s="82">
        <v>1</v>
      </c>
      <c r="L1986" s="82"/>
      <c r="Q1986" s="84"/>
      <c r="R1986" s="30" t="s">
        <v>2088</v>
      </c>
      <c r="S1986" s="30" t="s">
        <v>41</v>
      </c>
      <c r="T1986" s="30" t="s">
        <v>42</v>
      </c>
      <c r="U1986" s="31">
        <v>1.1904761904761905</v>
      </c>
      <c r="V1986" s="82">
        <v>1</v>
      </c>
      <c r="AA1986" s="82"/>
      <c r="AF1986" s="84"/>
      <c r="AG1986" s="31">
        <v>1</v>
      </c>
      <c r="AH1986" t="s">
        <v>73</v>
      </c>
    </row>
    <row r="1987" spans="1:34">
      <c r="A1987" s="15" t="s">
        <v>2092</v>
      </c>
      <c r="B1987" s="12" t="s">
        <v>836</v>
      </c>
      <c r="C1987" s="43" t="s">
        <v>161</v>
      </c>
      <c r="D1987" t="s">
        <v>38</v>
      </c>
      <c r="E1987" s="30" t="s">
        <v>39</v>
      </c>
      <c r="F1987" s="31">
        <v>0.81300813008130079</v>
      </c>
      <c r="G1987" s="82">
        <v>1</v>
      </c>
      <c r="L1987" s="82"/>
      <c r="Q1987" s="84"/>
      <c r="R1987" s="30" t="s">
        <v>1908</v>
      </c>
      <c r="S1987" s="30" t="s">
        <v>41</v>
      </c>
      <c r="T1987" s="30" t="s">
        <v>39</v>
      </c>
      <c r="U1987" s="31">
        <v>0.7407407407407407</v>
      </c>
      <c r="V1987" s="82">
        <v>1</v>
      </c>
      <c r="AA1987" s="82"/>
      <c r="AF1987" s="84"/>
      <c r="AG1987" s="31">
        <v>0</v>
      </c>
      <c r="AH1987" t="s">
        <v>44</v>
      </c>
    </row>
    <row r="1988" spans="1:34">
      <c r="A1988" s="15" t="s">
        <v>2093</v>
      </c>
      <c r="B1988" s="12" t="s">
        <v>836</v>
      </c>
      <c r="C1988" s="43" t="s">
        <v>161</v>
      </c>
      <c r="D1988" t="s">
        <v>38</v>
      </c>
      <c r="E1988" s="30" t="s">
        <v>39</v>
      </c>
      <c r="F1988" s="31">
        <v>0.81300813008130079</v>
      </c>
      <c r="G1988" s="82">
        <v>1</v>
      </c>
      <c r="L1988" s="82"/>
      <c r="Q1988" s="84"/>
      <c r="R1988" s="30" t="s">
        <v>1908</v>
      </c>
      <c r="S1988" s="30" t="s">
        <v>41</v>
      </c>
      <c r="T1988" s="30" t="s">
        <v>39</v>
      </c>
      <c r="U1988" s="31">
        <v>0.7407407407407407</v>
      </c>
      <c r="V1988" s="82">
        <v>1</v>
      </c>
      <c r="AA1988" s="82"/>
      <c r="AF1988" s="84"/>
      <c r="AG1988" s="31">
        <v>0</v>
      </c>
      <c r="AH1988" t="s">
        <v>44</v>
      </c>
    </row>
    <row r="1989" spans="1:34">
      <c r="A1989" s="15" t="s">
        <v>2094</v>
      </c>
      <c r="B1989" s="12" t="s">
        <v>836</v>
      </c>
      <c r="C1989" s="43" t="s">
        <v>161</v>
      </c>
      <c r="D1989" t="s">
        <v>38</v>
      </c>
      <c r="E1989" s="30" t="s">
        <v>39</v>
      </c>
      <c r="F1989" s="31">
        <v>0.81300813008130079</v>
      </c>
      <c r="G1989" s="82">
        <v>1</v>
      </c>
      <c r="L1989" s="82"/>
      <c r="Q1989" s="84"/>
      <c r="R1989" s="30" t="s">
        <v>1906</v>
      </c>
      <c r="S1989" s="30" t="s">
        <v>41</v>
      </c>
      <c r="T1989" s="30" t="s">
        <v>42</v>
      </c>
      <c r="U1989" s="31">
        <v>0.9009009009009008</v>
      </c>
      <c r="V1989" s="82">
        <v>1</v>
      </c>
      <c r="AA1989" s="82"/>
      <c r="AF1989" s="84"/>
      <c r="AG1989" s="31">
        <v>0</v>
      </c>
      <c r="AH1989" t="s">
        <v>44</v>
      </c>
    </row>
    <row r="1990" spans="1:34">
      <c r="A1990" s="15" t="s">
        <v>2095</v>
      </c>
      <c r="B1990" s="12" t="s">
        <v>836</v>
      </c>
      <c r="C1990" s="43" t="s">
        <v>1878</v>
      </c>
      <c r="D1990" t="s">
        <v>38</v>
      </c>
      <c r="E1990" s="30" t="s">
        <v>1879</v>
      </c>
      <c r="F1990" s="31">
        <v>0.81300813008130079</v>
      </c>
      <c r="G1990" s="82">
        <v>1</v>
      </c>
      <c r="L1990" s="82"/>
      <c r="Q1990" s="84"/>
      <c r="R1990" s="30" t="s">
        <v>1906</v>
      </c>
      <c r="S1990" s="30" t="s">
        <v>41</v>
      </c>
      <c r="T1990" s="30" t="s">
        <v>42</v>
      </c>
      <c r="U1990" s="31">
        <v>0.9009009009009008</v>
      </c>
      <c r="V1990" s="82">
        <v>1</v>
      </c>
      <c r="AA1990" s="82"/>
      <c r="AF1990" s="84"/>
      <c r="AG1990" s="31">
        <v>0</v>
      </c>
      <c r="AH1990" t="s">
        <v>44</v>
      </c>
    </row>
    <row r="1991" spans="1:34">
      <c r="A1991" s="15" t="s">
        <v>2096</v>
      </c>
      <c r="B1991" s="12" t="s">
        <v>836</v>
      </c>
      <c r="C1991" s="43" t="s">
        <v>1878</v>
      </c>
      <c r="D1991" t="s">
        <v>38</v>
      </c>
      <c r="E1991" s="30" t="s">
        <v>1879</v>
      </c>
      <c r="F1991" s="31">
        <v>0.81300813008130079</v>
      </c>
      <c r="G1991" s="82">
        <v>1</v>
      </c>
      <c r="L1991" s="82"/>
      <c r="Q1991" s="84"/>
      <c r="R1991" s="30" t="s">
        <v>1906</v>
      </c>
      <c r="S1991" s="30" t="s">
        <v>41</v>
      </c>
      <c r="T1991" s="30" t="s">
        <v>42</v>
      </c>
      <c r="U1991" s="31">
        <v>0.9009009009009008</v>
      </c>
      <c r="V1991" s="82">
        <v>1</v>
      </c>
      <c r="AA1991" s="82"/>
      <c r="AF1991" s="84"/>
      <c r="AG1991" s="31">
        <v>0</v>
      </c>
      <c r="AH1991" t="s">
        <v>44</v>
      </c>
    </row>
    <row r="1992" spans="1:34">
      <c r="A1992" s="15" t="s">
        <v>2097</v>
      </c>
      <c r="B1992" s="12" t="s">
        <v>836</v>
      </c>
      <c r="C1992" s="43" t="s">
        <v>1911</v>
      </c>
      <c r="D1992" t="s">
        <v>41</v>
      </c>
      <c r="E1992" s="30" t="s">
        <v>39</v>
      </c>
      <c r="F1992" s="31">
        <v>0.77519379844961234</v>
      </c>
      <c r="G1992" s="82">
        <v>0.5</v>
      </c>
      <c r="H1992" s="43" t="s">
        <v>37</v>
      </c>
      <c r="I1992" t="s">
        <v>38</v>
      </c>
      <c r="J1992" s="30" t="s">
        <v>39</v>
      </c>
      <c r="K1992" s="31">
        <v>0.94339622641509424</v>
      </c>
      <c r="L1992" s="82">
        <v>0.5</v>
      </c>
      <c r="Q1992" s="84"/>
      <c r="R1992" s="30" t="s">
        <v>1906</v>
      </c>
      <c r="S1992" s="30" t="s">
        <v>41</v>
      </c>
      <c r="T1992" s="30" t="s">
        <v>42</v>
      </c>
      <c r="U1992" s="31">
        <v>0.9009009009009008</v>
      </c>
      <c r="V1992" s="82">
        <v>1</v>
      </c>
      <c r="AA1992" s="82"/>
      <c r="AF1992" s="84"/>
      <c r="AG1992" s="31">
        <v>0</v>
      </c>
      <c r="AH1992" t="s">
        <v>44</v>
      </c>
    </row>
    <row r="1993" spans="1:34">
      <c r="A1993" s="15" t="s">
        <v>2098</v>
      </c>
      <c r="B1993" s="12" t="s">
        <v>836</v>
      </c>
      <c r="C1993" s="43" t="s">
        <v>227</v>
      </c>
      <c r="D1993" t="s">
        <v>41</v>
      </c>
      <c r="E1993" s="30" t="s">
        <v>42</v>
      </c>
      <c r="F1993" s="31">
        <v>0.94339622641509424</v>
      </c>
      <c r="G1993" s="82">
        <v>0.5</v>
      </c>
      <c r="H1993" s="43" t="s">
        <v>1911</v>
      </c>
      <c r="I1993" t="s">
        <v>41</v>
      </c>
      <c r="J1993" s="30" t="s">
        <v>39</v>
      </c>
      <c r="K1993" s="31">
        <v>0.77519379844961234</v>
      </c>
      <c r="L1993" s="82">
        <v>0.5</v>
      </c>
      <c r="Q1993" s="84"/>
      <c r="R1993" s="30" t="s">
        <v>1906</v>
      </c>
      <c r="S1993" s="30" t="s">
        <v>41</v>
      </c>
      <c r="T1993" s="30" t="s">
        <v>42</v>
      </c>
      <c r="U1993" s="31">
        <v>0.9009009009009008</v>
      </c>
      <c r="V1993" s="82">
        <v>1</v>
      </c>
      <c r="AA1993" s="82"/>
      <c r="AF1993" s="84"/>
      <c r="AG1993" s="31">
        <v>0</v>
      </c>
      <c r="AH1993" t="s">
        <v>44</v>
      </c>
    </row>
    <row r="1994" spans="1:34">
      <c r="A1994" s="15" t="s">
        <v>2099</v>
      </c>
      <c r="B1994" s="12" t="s">
        <v>836</v>
      </c>
      <c r="C1994" s="43" t="s">
        <v>161</v>
      </c>
      <c r="D1994" t="s">
        <v>38</v>
      </c>
      <c r="E1994" s="30" t="s">
        <v>39</v>
      </c>
      <c r="F1994" s="31">
        <v>0.81300813008130079</v>
      </c>
      <c r="G1994" s="82">
        <v>1</v>
      </c>
      <c r="L1994" s="82"/>
      <c r="Q1994" s="84"/>
      <c r="R1994" s="30" t="s">
        <v>1906</v>
      </c>
      <c r="S1994" s="30" t="s">
        <v>41</v>
      </c>
      <c r="T1994" s="30" t="s">
        <v>42</v>
      </c>
      <c r="U1994" s="31">
        <v>0.9009009009009008</v>
      </c>
      <c r="V1994" s="82">
        <v>1</v>
      </c>
      <c r="AA1994" s="82"/>
      <c r="AF1994" s="84"/>
      <c r="AG1994" s="31">
        <v>0</v>
      </c>
      <c r="AH1994" t="s">
        <v>44</v>
      </c>
    </row>
    <row r="1995" spans="1:34">
      <c r="A1995" s="15" t="s">
        <v>2100</v>
      </c>
      <c r="B1995" s="12" t="s">
        <v>836</v>
      </c>
      <c r="C1995" s="43" t="s">
        <v>161</v>
      </c>
      <c r="D1995" t="s">
        <v>38</v>
      </c>
      <c r="E1995" s="30" t="s">
        <v>39</v>
      </c>
      <c r="F1995" s="31">
        <v>0.81300813008130079</v>
      </c>
      <c r="G1995" s="82">
        <v>1</v>
      </c>
      <c r="L1995" s="82"/>
      <c r="Q1995" s="84"/>
      <c r="R1995" s="30" t="s">
        <v>1906</v>
      </c>
      <c r="S1995" s="30" t="s">
        <v>41</v>
      </c>
      <c r="T1995" s="30" t="s">
        <v>42</v>
      </c>
      <c r="U1995" s="31">
        <v>0.9009009009009008</v>
      </c>
      <c r="V1995" s="82">
        <v>1</v>
      </c>
      <c r="AA1995" s="82"/>
      <c r="AF1995" s="84"/>
      <c r="AG1995" s="31">
        <v>0</v>
      </c>
      <c r="AH1995" t="s">
        <v>44</v>
      </c>
    </row>
    <row r="1996" spans="1:34">
      <c r="A1996" s="15" t="s">
        <v>2101</v>
      </c>
      <c r="B1996" s="12" t="s">
        <v>836</v>
      </c>
      <c r="C1996" s="43" t="s">
        <v>37</v>
      </c>
      <c r="D1996" t="s">
        <v>38</v>
      </c>
      <c r="E1996" s="30" t="s">
        <v>39</v>
      </c>
      <c r="F1996" s="31">
        <v>0.94339622641509424</v>
      </c>
      <c r="G1996" s="82">
        <v>1</v>
      </c>
      <c r="L1996" s="82"/>
      <c r="Q1996" s="84"/>
      <c r="R1996" s="30" t="s">
        <v>1906</v>
      </c>
      <c r="S1996" s="30" t="s">
        <v>41</v>
      </c>
      <c r="T1996" s="30" t="s">
        <v>42</v>
      </c>
      <c r="U1996" s="31">
        <v>0.9009009009009008</v>
      </c>
      <c r="V1996" s="82">
        <v>1</v>
      </c>
      <c r="AA1996" s="82"/>
      <c r="AF1996" s="84"/>
      <c r="AG1996" s="31">
        <v>0</v>
      </c>
      <c r="AH1996" t="s">
        <v>44</v>
      </c>
    </row>
    <row r="1997" spans="1:34">
      <c r="A1997" s="15" t="s">
        <v>2102</v>
      </c>
      <c r="B1997" s="12" t="s">
        <v>836</v>
      </c>
      <c r="C1997" s="43" t="s">
        <v>1911</v>
      </c>
      <c r="D1997" t="s">
        <v>41</v>
      </c>
      <c r="E1997" s="30" t="s">
        <v>39</v>
      </c>
      <c r="F1997" s="31">
        <v>0.77519379844961234</v>
      </c>
      <c r="G1997" s="82">
        <v>1</v>
      </c>
      <c r="L1997" s="82"/>
      <c r="Q1997" s="84"/>
      <c r="R1997" s="30" t="s">
        <v>1908</v>
      </c>
      <c r="S1997" s="30" t="s">
        <v>41</v>
      </c>
      <c r="T1997" s="30" t="s">
        <v>39</v>
      </c>
      <c r="U1997" s="31">
        <v>0.7407407407407407</v>
      </c>
      <c r="V1997" s="82">
        <v>1</v>
      </c>
      <c r="AA1997" s="82"/>
      <c r="AF1997" s="84"/>
      <c r="AG1997" s="31">
        <v>0</v>
      </c>
      <c r="AH1997" t="s">
        <v>44</v>
      </c>
    </row>
    <row r="1998" spans="1:34">
      <c r="A1998" s="15" t="s">
        <v>2103</v>
      </c>
      <c r="B1998" s="12" t="s">
        <v>836</v>
      </c>
      <c r="C1998" s="43" t="s">
        <v>1911</v>
      </c>
      <c r="D1998" t="s">
        <v>41</v>
      </c>
      <c r="E1998" s="30" t="s">
        <v>39</v>
      </c>
      <c r="F1998" s="31">
        <v>0.77519379844961234</v>
      </c>
      <c r="G1998" s="82">
        <v>1</v>
      </c>
      <c r="L1998" s="82"/>
      <c r="Q1998" s="84"/>
      <c r="R1998" s="30" t="s">
        <v>1908</v>
      </c>
      <c r="S1998" s="30" t="s">
        <v>41</v>
      </c>
      <c r="T1998" s="30" t="s">
        <v>39</v>
      </c>
      <c r="U1998" s="31">
        <v>0.7407407407407407</v>
      </c>
      <c r="V1998" s="82">
        <v>1</v>
      </c>
      <c r="AA1998" s="82"/>
      <c r="AF1998" s="84"/>
      <c r="AG1998" s="31">
        <v>0</v>
      </c>
      <c r="AH1998" t="s">
        <v>44</v>
      </c>
    </row>
    <row r="1999" spans="1:34">
      <c r="A1999" s="15" t="s">
        <v>2104</v>
      </c>
      <c r="B1999" s="12" t="s">
        <v>836</v>
      </c>
      <c r="C1999" s="43" t="s">
        <v>1911</v>
      </c>
      <c r="D1999" t="s">
        <v>41</v>
      </c>
      <c r="E1999" s="30" t="s">
        <v>39</v>
      </c>
      <c r="F1999" s="31">
        <v>0.77519379844961234</v>
      </c>
      <c r="G1999" s="82">
        <v>1</v>
      </c>
      <c r="L1999" s="82"/>
      <c r="Q1999" s="84"/>
      <c r="R1999" s="30" t="s">
        <v>1908</v>
      </c>
      <c r="S1999" s="30" t="s">
        <v>41</v>
      </c>
      <c r="T1999" s="30" t="s">
        <v>39</v>
      </c>
      <c r="U1999" s="31">
        <v>0.7407407407407407</v>
      </c>
      <c r="V1999" s="82">
        <v>1</v>
      </c>
      <c r="AA1999" s="82"/>
      <c r="AF1999" s="84"/>
      <c r="AG1999" s="31">
        <v>0</v>
      </c>
      <c r="AH1999" t="s">
        <v>44</v>
      </c>
    </row>
    <row r="2000" spans="1:34">
      <c r="A2000" s="15" t="s">
        <v>2105</v>
      </c>
      <c r="B2000" s="12" t="s">
        <v>836</v>
      </c>
      <c r="C2000" s="43" t="s">
        <v>1878</v>
      </c>
      <c r="D2000" t="s">
        <v>38</v>
      </c>
      <c r="E2000" s="30" t="s">
        <v>1879</v>
      </c>
      <c r="F2000" s="31">
        <v>0.81300813008130079</v>
      </c>
      <c r="G2000" s="82">
        <v>1</v>
      </c>
      <c r="L2000" s="82"/>
      <c r="Q2000" s="84"/>
      <c r="R2000" s="30" t="s">
        <v>1906</v>
      </c>
      <c r="S2000" s="30" t="s">
        <v>41</v>
      </c>
      <c r="T2000" s="30" t="s">
        <v>42</v>
      </c>
      <c r="U2000" s="31">
        <v>0.9009009009009008</v>
      </c>
      <c r="V2000" s="82">
        <v>0.66666666666666663</v>
      </c>
      <c r="W2000" s="30" t="s">
        <v>1908</v>
      </c>
      <c r="X2000" s="30" t="s">
        <v>41</v>
      </c>
      <c r="Y2000" s="30" t="s">
        <v>39</v>
      </c>
      <c r="Z2000" s="31">
        <v>0.7407407407407407</v>
      </c>
      <c r="AA2000" s="82">
        <v>0.33333333333333331</v>
      </c>
      <c r="AF2000" s="84"/>
      <c r="AG2000" s="31">
        <v>0</v>
      </c>
      <c r="AH2000" t="s">
        <v>44</v>
      </c>
    </row>
    <row r="2001" spans="1:34">
      <c r="A2001" s="15" t="s">
        <v>2106</v>
      </c>
      <c r="B2001" s="12" t="s">
        <v>836</v>
      </c>
      <c r="C2001" s="43" t="s">
        <v>1878</v>
      </c>
      <c r="D2001" t="s">
        <v>38</v>
      </c>
      <c r="E2001" s="30" t="s">
        <v>1879</v>
      </c>
      <c r="F2001" s="31">
        <v>0.81300813008130079</v>
      </c>
      <c r="G2001" s="82">
        <v>1</v>
      </c>
      <c r="L2001" s="82"/>
      <c r="Q2001" s="84"/>
      <c r="R2001" s="30" t="s">
        <v>1906</v>
      </c>
      <c r="S2001" s="30" t="s">
        <v>41</v>
      </c>
      <c r="T2001" s="30" t="s">
        <v>42</v>
      </c>
      <c r="U2001" s="31">
        <v>0.9009009009009008</v>
      </c>
      <c r="V2001" s="82">
        <v>1</v>
      </c>
      <c r="AA2001" s="82"/>
      <c r="AF2001" s="84"/>
      <c r="AG2001" s="31">
        <v>0</v>
      </c>
      <c r="AH2001" t="s">
        <v>44</v>
      </c>
    </row>
    <row r="2002" spans="1:34">
      <c r="A2002" s="15" t="s">
        <v>2107</v>
      </c>
      <c r="B2002" s="12" t="s">
        <v>836</v>
      </c>
      <c r="C2002" s="43" t="s">
        <v>212</v>
      </c>
      <c r="D2002" t="s">
        <v>41</v>
      </c>
      <c r="E2002" s="30" t="s">
        <v>39</v>
      </c>
      <c r="F2002" s="31">
        <v>0.92592592592592582</v>
      </c>
      <c r="G2002" s="82">
        <v>1</v>
      </c>
      <c r="L2002" s="82"/>
      <c r="Q2002" s="84"/>
      <c r="R2002" s="30" t="s">
        <v>1908</v>
      </c>
      <c r="S2002" s="30" t="s">
        <v>41</v>
      </c>
      <c r="T2002" s="30" t="s">
        <v>39</v>
      </c>
      <c r="U2002" s="31">
        <v>0.7407407407407407</v>
      </c>
      <c r="V2002" s="82">
        <v>1</v>
      </c>
      <c r="AA2002" s="82"/>
      <c r="AF2002" s="84"/>
      <c r="AG2002" s="31">
        <v>0</v>
      </c>
      <c r="AH2002" t="s">
        <v>44</v>
      </c>
    </row>
    <row r="2003" spans="1:34">
      <c r="A2003" s="15" t="s">
        <v>2108</v>
      </c>
      <c r="B2003" s="12" t="s">
        <v>836</v>
      </c>
      <c r="C2003" s="43" t="s">
        <v>212</v>
      </c>
      <c r="D2003" t="s">
        <v>41</v>
      </c>
      <c r="E2003" s="30" t="s">
        <v>39</v>
      </c>
      <c r="F2003" s="31">
        <v>0.92592592592592582</v>
      </c>
      <c r="G2003" s="82">
        <v>1</v>
      </c>
      <c r="L2003" s="82"/>
      <c r="Q2003" s="84"/>
      <c r="R2003" s="30" t="s">
        <v>1908</v>
      </c>
      <c r="S2003" s="30" t="s">
        <v>41</v>
      </c>
      <c r="T2003" s="30" t="s">
        <v>39</v>
      </c>
      <c r="U2003" s="31">
        <v>0.7407407407407407</v>
      </c>
      <c r="V2003" s="82">
        <v>1</v>
      </c>
      <c r="AA2003" s="82"/>
      <c r="AF2003" s="84"/>
      <c r="AG2003" s="31">
        <v>0</v>
      </c>
      <c r="AH2003" t="s">
        <v>44</v>
      </c>
    </row>
    <row r="2004" spans="1:34">
      <c r="A2004" s="15" t="s">
        <v>2109</v>
      </c>
      <c r="B2004" s="12" t="s">
        <v>836</v>
      </c>
      <c r="C2004" s="43" t="s">
        <v>212</v>
      </c>
      <c r="D2004" t="s">
        <v>41</v>
      </c>
      <c r="E2004" s="30" t="s">
        <v>39</v>
      </c>
      <c r="F2004" s="31">
        <v>0.92592592592592582</v>
      </c>
      <c r="G2004" s="82">
        <v>1</v>
      </c>
      <c r="L2004" s="82"/>
      <c r="Q2004" s="84"/>
      <c r="R2004" s="30" t="s">
        <v>1908</v>
      </c>
      <c r="S2004" s="30" t="s">
        <v>41</v>
      </c>
      <c r="T2004" s="30" t="s">
        <v>39</v>
      </c>
      <c r="U2004" s="31">
        <v>0.7407407407407407</v>
      </c>
      <c r="V2004" s="82">
        <v>1</v>
      </c>
      <c r="AA2004" s="82"/>
      <c r="AF2004" s="84"/>
      <c r="AG2004" s="31">
        <v>0</v>
      </c>
      <c r="AH2004" t="s">
        <v>44</v>
      </c>
    </row>
    <row r="2005" spans="1:34">
      <c r="A2005" s="15" t="s">
        <v>2110</v>
      </c>
      <c r="B2005" s="12" t="s">
        <v>836</v>
      </c>
      <c r="C2005" s="43" t="s">
        <v>212</v>
      </c>
      <c r="D2005" t="s">
        <v>41</v>
      </c>
      <c r="E2005" s="30" t="s">
        <v>39</v>
      </c>
      <c r="F2005" s="31">
        <v>0.92592592592592582</v>
      </c>
      <c r="G2005" s="82">
        <v>1</v>
      </c>
      <c r="L2005" s="82"/>
      <c r="Q2005" s="84"/>
      <c r="R2005" s="30" t="s">
        <v>1908</v>
      </c>
      <c r="S2005" s="30" t="s">
        <v>41</v>
      </c>
      <c r="T2005" s="30" t="s">
        <v>39</v>
      </c>
      <c r="U2005" s="31">
        <v>0.7407407407407407</v>
      </c>
      <c r="V2005" s="82">
        <v>0.66666666666666663</v>
      </c>
      <c r="W2005" s="30" t="s">
        <v>43</v>
      </c>
      <c r="X2005" s="30" t="s">
        <v>38</v>
      </c>
      <c r="Y2005" s="30" t="s">
        <v>39</v>
      </c>
      <c r="Z2005" s="31">
        <v>0.84745762711864414</v>
      </c>
      <c r="AA2005" s="82">
        <v>0.33333333333333331</v>
      </c>
      <c r="AF2005" s="84"/>
      <c r="AG2005" s="31">
        <v>0</v>
      </c>
      <c r="AH2005" t="s">
        <v>44</v>
      </c>
    </row>
    <row r="2006" spans="1:34">
      <c r="A2006" s="15" t="s">
        <v>2111</v>
      </c>
      <c r="B2006" s="12" t="s">
        <v>836</v>
      </c>
      <c r="C2006" s="43" t="s">
        <v>212</v>
      </c>
      <c r="D2006" t="s">
        <v>41</v>
      </c>
      <c r="E2006" s="30" t="s">
        <v>39</v>
      </c>
      <c r="F2006" s="31">
        <v>0.92592592592592582</v>
      </c>
      <c r="G2006" s="82">
        <v>1</v>
      </c>
      <c r="L2006" s="82"/>
      <c r="Q2006" s="84"/>
      <c r="R2006" s="30" t="s">
        <v>43</v>
      </c>
      <c r="S2006" s="30" t="s">
        <v>38</v>
      </c>
      <c r="T2006" s="30" t="s">
        <v>39</v>
      </c>
      <c r="U2006" s="31">
        <v>0.84745762711864414</v>
      </c>
      <c r="V2006" s="82">
        <v>1</v>
      </c>
      <c r="AA2006" s="82"/>
      <c r="AF2006" s="84"/>
      <c r="AG2006" s="31">
        <v>0</v>
      </c>
      <c r="AH2006" t="s">
        <v>44</v>
      </c>
    </row>
    <row r="2007" spans="1:34" s="6" customFormat="1">
      <c r="A2007" s="18" t="s">
        <v>2112</v>
      </c>
      <c r="B2007" s="19" t="s">
        <v>893</v>
      </c>
      <c r="C2007" s="42" t="s">
        <v>2113</v>
      </c>
      <c r="D2007" s="6" t="s">
        <v>38</v>
      </c>
      <c r="E2007" s="28" t="s">
        <v>2086</v>
      </c>
      <c r="F2007" s="29">
        <v>0.5</v>
      </c>
      <c r="G2007" s="83">
        <v>1</v>
      </c>
      <c r="H2007" s="28"/>
      <c r="I2007" s="28"/>
      <c r="J2007" s="28"/>
      <c r="K2007" s="29"/>
      <c r="L2007" s="83"/>
      <c r="M2007" s="74"/>
      <c r="N2007" s="28"/>
      <c r="O2007" s="28"/>
      <c r="P2007" s="29"/>
      <c r="Q2007" s="85"/>
      <c r="R2007" s="54" t="s">
        <v>1929</v>
      </c>
      <c r="S2007" s="28" t="s">
        <v>41</v>
      </c>
      <c r="T2007" s="28" t="s">
        <v>42</v>
      </c>
      <c r="U2007" s="29">
        <v>1</v>
      </c>
      <c r="V2007" s="83">
        <v>1</v>
      </c>
      <c r="W2007" s="28"/>
      <c r="X2007" s="28"/>
      <c r="Y2007" s="28"/>
      <c r="Z2007" s="29"/>
      <c r="AA2007" s="83"/>
      <c r="AB2007" s="74"/>
      <c r="AC2007" s="28"/>
      <c r="AD2007" s="28"/>
      <c r="AE2007" s="28"/>
      <c r="AF2007" s="85"/>
      <c r="AG2007" s="97">
        <v>0</v>
      </c>
      <c r="AH2007" s="6" t="s">
        <v>44</v>
      </c>
    </row>
    <row r="2008" spans="1:34">
      <c r="A2008" s="15" t="s">
        <v>2114</v>
      </c>
      <c r="B2008" s="12" t="s">
        <v>893</v>
      </c>
      <c r="C2008" s="43" t="s">
        <v>2113</v>
      </c>
      <c r="D2008" t="s">
        <v>38</v>
      </c>
      <c r="E2008" s="30" t="s">
        <v>2086</v>
      </c>
      <c r="F2008" s="31">
        <v>0.5</v>
      </c>
      <c r="G2008" s="82">
        <v>1</v>
      </c>
      <c r="L2008" s="82"/>
      <c r="Q2008" s="84"/>
      <c r="R2008" s="30" t="s">
        <v>1929</v>
      </c>
      <c r="S2008" s="30" t="s">
        <v>41</v>
      </c>
      <c r="T2008" s="30" t="s">
        <v>42</v>
      </c>
      <c r="U2008" s="31">
        <v>1</v>
      </c>
      <c r="V2008" s="82">
        <v>1</v>
      </c>
      <c r="AA2008" s="82"/>
      <c r="AF2008" s="84"/>
      <c r="AG2008" s="31">
        <v>0</v>
      </c>
      <c r="AH2008" t="s">
        <v>44</v>
      </c>
    </row>
    <row r="2009" spans="1:34">
      <c r="A2009" s="15" t="s">
        <v>2115</v>
      </c>
      <c r="B2009" s="12" t="s">
        <v>893</v>
      </c>
      <c r="C2009" s="43" t="s">
        <v>2113</v>
      </c>
      <c r="D2009" t="s">
        <v>38</v>
      </c>
      <c r="E2009" s="30" t="s">
        <v>2086</v>
      </c>
      <c r="F2009" s="31">
        <v>0.5</v>
      </c>
      <c r="G2009" s="82">
        <v>1</v>
      </c>
      <c r="L2009" s="82"/>
      <c r="Q2009" s="84"/>
      <c r="R2009" s="92" t="s">
        <v>1929</v>
      </c>
      <c r="S2009" s="30" t="s">
        <v>41</v>
      </c>
      <c r="T2009" s="30" t="s">
        <v>42</v>
      </c>
      <c r="U2009" s="31">
        <v>1</v>
      </c>
      <c r="V2009" s="82">
        <v>1</v>
      </c>
      <c r="AA2009" s="82"/>
      <c r="AF2009" s="84"/>
      <c r="AG2009" s="31">
        <v>0</v>
      </c>
      <c r="AH2009" t="s">
        <v>44</v>
      </c>
    </row>
    <row r="2010" spans="1:34">
      <c r="A2010" s="15" t="s">
        <v>2116</v>
      </c>
      <c r="B2010" s="12" t="s">
        <v>893</v>
      </c>
      <c r="C2010" s="43" t="s">
        <v>2113</v>
      </c>
      <c r="D2010" t="s">
        <v>38</v>
      </c>
      <c r="E2010" s="30" t="s">
        <v>2086</v>
      </c>
      <c r="F2010" s="31">
        <v>0.5</v>
      </c>
      <c r="G2010" s="82">
        <v>0.5</v>
      </c>
      <c r="H2010" s="43" t="s">
        <v>2117</v>
      </c>
      <c r="I2010" t="s">
        <v>38</v>
      </c>
      <c r="J2010" s="30" t="s">
        <v>2086</v>
      </c>
      <c r="K2010" s="31">
        <v>0.71942446043165476</v>
      </c>
      <c r="L2010" s="82">
        <v>0.5</v>
      </c>
      <c r="Q2010" s="84"/>
      <c r="R2010" s="92" t="s">
        <v>1929</v>
      </c>
      <c r="S2010" s="30" t="s">
        <v>41</v>
      </c>
      <c r="T2010" s="30" t="s">
        <v>42</v>
      </c>
      <c r="U2010" s="31">
        <v>1</v>
      </c>
      <c r="V2010" s="82">
        <v>1</v>
      </c>
      <c r="AA2010" s="82"/>
      <c r="AF2010" s="84"/>
      <c r="AG2010" s="31">
        <v>0</v>
      </c>
      <c r="AH2010" t="s">
        <v>44</v>
      </c>
    </row>
    <row r="2011" spans="1:34">
      <c r="A2011" s="15" t="s">
        <v>2118</v>
      </c>
      <c r="B2011" s="12" t="s">
        <v>893</v>
      </c>
      <c r="C2011" s="43" t="s">
        <v>160</v>
      </c>
      <c r="D2011" t="s">
        <v>38</v>
      </c>
      <c r="E2011" s="30" t="s">
        <v>39</v>
      </c>
      <c r="F2011" s="31">
        <v>0.81300813008130079</v>
      </c>
      <c r="G2011" s="82">
        <v>1</v>
      </c>
      <c r="L2011" s="82"/>
      <c r="Q2011" s="84"/>
      <c r="R2011" s="92" t="s">
        <v>161</v>
      </c>
      <c r="S2011" s="30" t="s">
        <v>38</v>
      </c>
      <c r="T2011" s="30" t="s">
        <v>39</v>
      </c>
      <c r="U2011" s="31">
        <v>0.83333333333333337</v>
      </c>
      <c r="V2011" s="82">
        <v>1</v>
      </c>
      <c r="AA2011" s="82"/>
      <c r="AF2011" s="84"/>
      <c r="AG2011" s="31">
        <v>0</v>
      </c>
      <c r="AH2011" t="s">
        <v>44</v>
      </c>
    </row>
    <row r="2012" spans="1:34">
      <c r="A2012" s="15" t="s">
        <v>2119</v>
      </c>
      <c r="B2012" s="12" t="s">
        <v>893</v>
      </c>
      <c r="C2012" s="43" t="s">
        <v>160</v>
      </c>
      <c r="D2012" t="s">
        <v>38</v>
      </c>
      <c r="E2012" s="30" t="s">
        <v>39</v>
      </c>
      <c r="F2012" s="31">
        <v>0.81300813008130079</v>
      </c>
      <c r="G2012" s="82">
        <v>1</v>
      </c>
      <c r="L2012" s="82"/>
      <c r="Q2012" s="84"/>
      <c r="R2012" s="92" t="s">
        <v>161</v>
      </c>
      <c r="S2012" s="30" t="s">
        <v>38</v>
      </c>
      <c r="T2012" s="30" t="s">
        <v>39</v>
      </c>
      <c r="U2012" s="31">
        <v>0.83333333333333337</v>
      </c>
      <c r="V2012" s="82">
        <v>1</v>
      </c>
      <c r="AA2012" s="82"/>
      <c r="AF2012" s="84"/>
      <c r="AG2012" s="31">
        <v>0</v>
      </c>
      <c r="AH2012" t="s">
        <v>44</v>
      </c>
    </row>
    <row r="2013" spans="1:34">
      <c r="A2013" s="15" t="s">
        <v>2120</v>
      </c>
      <c r="B2013" s="12" t="s">
        <v>893</v>
      </c>
      <c r="C2013" s="43" t="s">
        <v>2121</v>
      </c>
      <c r="D2013" t="s">
        <v>38</v>
      </c>
      <c r="E2013" s="30" t="s">
        <v>1879</v>
      </c>
      <c r="F2013" s="31">
        <v>0.7407407407407407</v>
      </c>
      <c r="G2013" s="82">
        <v>1</v>
      </c>
      <c r="L2013" s="82"/>
      <c r="Q2013" s="84"/>
      <c r="R2013" s="55" t="s">
        <v>1929</v>
      </c>
      <c r="S2013" s="30" t="s">
        <v>41</v>
      </c>
      <c r="T2013" s="30" t="s">
        <v>42</v>
      </c>
      <c r="U2013" s="31">
        <v>1</v>
      </c>
      <c r="V2013" s="82">
        <v>1</v>
      </c>
      <c r="AA2013" s="82"/>
      <c r="AF2013" s="84"/>
      <c r="AG2013" s="31">
        <v>0</v>
      </c>
      <c r="AH2013" t="s">
        <v>44</v>
      </c>
    </row>
    <row r="2014" spans="1:34">
      <c r="A2014" s="15" t="s">
        <v>2122</v>
      </c>
      <c r="B2014" s="12" t="s">
        <v>893</v>
      </c>
      <c r="C2014" s="43" t="s">
        <v>2121</v>
      </c>
      <c r="D2014" t="s">
        <v>38</v>
      </c>
      <c r="E2014" s="30" t="s">
        <v>1879</v>
      </c>
      <c r="F2014" s="31">
        <v>0.7407407407407407</v>
      </c>
      <c r="G2014" s="82">
        <v>1</v>
      </c>
      <c r="L2014" s="82"/>
      <c r="Q2014" s="84"/>
      <c r="R2014" s="92" t="s">
        <v>1929</v>
      </c>
      <c r="S2014" s="30" t="s">
        <v>41</v>
      </c>
      <c r="T2014" s="30" t="s">
        <v>42</v>
      </c>
      <c r="U2014" s="31">
        <v>1</v>
      </c>
      <c r="V2014" s="82">
        <v>1</v>
      </c>
      <c r="AA2014" s="82"/>
      <c r="AF2014" s="84"/>
      <c r="AG2014" s="31">
        <v>0</v>
      </c>
      <c r="AH2014" t="s">
        <v>44</v>
      </c>
    </row>
    <row r="2015" spans="1:34">
      <c r="A2015" s="15" t="s">
        <v>2123</v>
      </c>
      <c r="B2015" s="12" t="s">
        <v>893</v>
      </c>
      <c r="C2015" s="43" t="s">
        <v>2121</v>
      </c>
      <c r="D2015" t="s">
        <v>38</v>
      </c>
      <c r="E2015" s="30" t="s">
        <v>1879</v>
      </c>
      <c r="F2015" s="31">
        <v>0.7407407407407407</v>
      </c>
      <c r="G2015" s="82">
        <v>1</v>
      </c>
      <c r="L2015" s="82"/>
      <c r="Q2015" s="84"/>
      <c r="R2015" s="92" t="s">
        <v>1929</v>
      </c>
      <c r="S2015" s="30" t="s">
        <v>41</v>
      </c>
      <c r="T2015" s="30" t="s">
        <v>42</v>
      </c>
      <c r="U2015" s="31">
        <v>1</v>
      </c>
      <c r="V2015" s="82">
        <v>1</v>
      </c>
      <c r="AA2015" s="82"/>
      <c r="AF2015" s="84"/>
      <c r="AG2015" s="31">
        <v>0</v>
      </c>
      <c r="AH2015" t="s">
        <v>44</v>
      </c>
    </row>
    <row r="2016" spans="1:34">
      <c r="A2016" s="15" t="s">
        <v>2124</v>
      </c>
      <c r="B2016" s="12" t="s">
        <v>893</v>
      </c>
      <c r="C2016" s="43" t="s">
        <v>2121</v>
      </c>
      <c r="D2016" t="s">
        <v>38</v>
      </c>
      <c r="E2016" s="30" t="s">
        <v>1879</v>
      </c>
      <c r="F2016" s="31">
        <v>0.7407407407407407</v>
      </c>
      <c r="G2016" s="82">
        <v>1</v>
      </c>
      <c r="L2016" s="82"/>
      <c r="Q2016" s="84"/>
      <c r="R2016" s="92" t="s">
        <v>1929</v>
      </c>
      <c r="S2016" s="30" t="s">
        <v>41</v>
      </c>
      <c r="T2016" s="30" t="s">
        <v>42</v>
      </c>
      <c r="U2016" s="31">
        <v>1</v>
      </c>
      <c r="V2016" s="82">
        <v>1</v>
      </c>
      <c r="AA2016" s="82"/>
      <c r="AF2016" s="84"/>
      <c r="AG2016" s="31">
        <v>0</v>
      </c>
      <c r="AH2016" t="s">
        <v>44</v>
      </c>
    </row>
    <row r="2017" spans="1:34">
      <c r="A2017" s="15" t="s">
        <v>2125</v>
      </c>
      <c r="B2017" s="12" t="s">
        <v>893</v>
      </c>
      <c r="C2017" s="43" t="s">
        <v>160</v>
      </c>
      <c r="D2017" t="s">
        <v>38</v>
      </c>
      <c r="E2017" s="30" t="s">
        <v>39</v>
      </c>
      <c r="F2017" s="31">
        <v>0.81300813008130079</v>
      </c>
      <c r="G2017" s="82">
        <v>1</v>
      </c>
      <c r="L2017" s="82"/>
      <c r="Q2017" s="84"/>
      <c r="R2017" s="92" t="s">
        <v>161</v>
      </c>
      <c r="S2017" s="30" t="s">
        <v>38</v>
      </c>
      <c r="T2017" s="30" t="s">
        <v>39</v>
      </c>
      <c r="U2017" s="31">
        <v>0.83333333333333337</v>
      </c>
      <c r="V2017" s="82">
        <v>1</v>
      </c>
      <c r="AA2017" s="82"/>
      <c r="AF2017" s="84"/>
      <c r="AG2017" s="98">
        <v>0</v>
      </c>
      <c r="AH2017" t="s">
        <v>44</v>
      </c>
    </row>
    <row r="2018" spans="1:34">
      <c r="A2018" s="15" t="s">
        <v>2126</v>
      </c>
      <c r="B2018" s="12" t="s">
        <v>893</v>
      </c>
      <c r="C2018" s="43" t="s">
        <v>160</v>
      </c>
      <c r="D2018" t="s">
        <v>38</v>
      </c>
      <c r="E2018" s="30" t="s">
        <v>39</v>
      </c>
      <c r="F2018" s="31">
        <v>0.81300813008130079</v>
      </c>
      <c r="G2018" s="82">
        <v>1</v>
      </c>
      <c r="L2018" s="82"/>
      <c r="Q2018" s="84"/>
      <c r="R2018" s="92" t="s">
        <v>161</v>
      </c>
      <c r="S2018" s="30" t="s">
        <v>38</v>
      </c>
      <c r="T2018" s="30" t="s">
        <v>39</v>
      </c>
      <c r="U2018" s="31">
        <v>0.83333333333333337</v>
      </c>
      <c r="V2018" s="82">
        <v>1</v>
      </c>
      <c r="AA2018" s="82"/>
      <c r="AF2018" s="84"/>
      <c r="AG2018" s="31">
        <v>0</v>
      </c>
      <c r="AH2018" t="s">
        <v>44</v>
      </c>
    </row>
    <row r="2019" spans="1:34">
      <c r="A2019" s="15" t="s">
        <v>2127</v>
      </c>
      <c r="B2019" s="12" t="s">
        <v>893</v>
      </c>
      <c r="C2019" s="43" t="s">
        <v>2121</v>
      </c>
      <c r="D2019" t="s">
        <v>38</v>
      </c>
      <c r="E2019" s="30" t="s">
        <v>1879</v>
      </c>
      <c r="F2019" s="31">
        <v>0.7407407407407407</v>
      </c>
      <c r="G2019" s="82">
        <v>1</v>
      </c>
      <c r="L2019" s="82"/>
      <c r="Q2019" s="84"/>
      <c r="R2019" s="55" t="s">
        <v>1929</v>
      </c>
      <c r="S2019" s="30" t="s">
        <v>41</v>
      </c>
      <c r="T2019" s="30" t="s">
        <v>42</v>
      </c>
      <c r="U2019" s="31">
        <v>1</v>
      </c>
      <c r="V2019" s="82">
        <v>1</v>
      </c>
      <c r="AA2019" s="82"/>
      <c r="AF2019" s="84"/>
      <c r="AG2019" s="31">
        <v>0</v>
      </c>
      <c r="AH2019" t="s">
        <v>44</v>
      </c>
    </row>
    <row r="2020" spans="1:34">
      <c r="A2020" s="15" t="s">
        <v>2128</v>
      </c>
      <c r="B2020" s="12" t="s">
        <v>893</v>
      </c>
      <c r="C2020" s="43" t="s">
        <v>2121</v>
      </c>
      <c r="D2020" t="s">
        <v>38</v>
      </c>
      <c r="E2020" s="30" t="s">
        <v>1879</v>
      </c>
      <c r="F2020" s="31">
        <v>0.7407407407407407</v>
      </c>
      <c r="G2020" s="82">
        <v>1</v>
      </c>
      <c r="L2020" s="82"/>
      <c r="Q2020" s="84"/>
      <c r="R2020" s="92" t="s">
        <v>1929</v>
      </c>
      <c r="S2020" s="30" t="s">
        <v>41</v>
      </c>
      <c r="T2020" s="30" t="s">
        <v>42</v>
      </c>
      <c r="U2020" s="31">
        <v>1</v>
      </c>
      <c r="V2020" s="82">
        <v>1</v>
      </c>
      <c r="AA2020" s="82"/>
      <c r="AF2020" s="84"/>
      <c r="AG2020" s="31">
        <v>0</v>
      </c>
      <c r="AH2020" t="s">
        <v>44</v>
      </c>
    </row>
    <row r="2021" spans="1:34">
      <c r="A2021" s="15" t="s">
        <v>2129</v>
      </c>
      <c r="B2021" s="12" t="s">
        <v>893</v>
      </c>
      <c r="C2021" s="43" t="s">
        <v>2121</v>
      </c>
      <c r="D2021" t="s">
        <v>38</v>
      </c>
      <c r="E2021" s="30" t="s">
        <v>1879</v>
      </c>
      <c r="F2021" s="31">
        <v>0.7407407407407407</v>
      </c>
      <c r="G2021" s="82">
        <v>1</v>
      </c>
      <c r="L2021" s="82"/>
      <c r="Q2021" s="84"/>
      <c r="R2021" s="92" t="s">
        <v>1929</v>
      </c>
      <c r="S2021" s="30" t="s">
        <v>41</v>
      </c>
      <c r="T2021" s="30" t="s">
        <v>42</v>
      </c>
      <c r="U2021" s="31">
        <v>1</v>
      </c>
      <c r="V2021" s="82">
        <v>1</v>
      </c>
      <c r="AA2021" s="82"/>
      <c r="AF2021" s="84"/>
      <c r="AG2021" s="31">
        <v>0</v>
      </c>
      <c r="AH2021" t="s">
        <v>44</v>
      </c>
    </row>
    <row r="2022" spans="1:34">
      <c r="A2022" s="15" t="s">
        <v>2130</v>
      </c>
      <c r="B2022" s="12" t="s">
        <v>893</v>
      </c>
      <c r="C2022" s="43" t="s">
        <v>2121</v>
      </c>
      <c r="D2022" t="s">
        <v>38</v>
      </c>
      <c r="E2022" s="30" t="s">
        <v>1879</v>
      </c>
      <c r="F2022" s="31">
        <v>0.7407407407407407</v>
      </c>
      <c r="G2022" s="82">
        <v>1</v>
      </c>
      <c r="L2022" s="82"/>
      <c r="Q2022" s="84"/>
      <c r="R2022" s="92" t="s">
        <v>1929</v>
      </c>
      <c r="S2022" s="30" t="s">
        <v>41</v>
      </c>
      <c r="T2022" s="30" t="s">
        <v>42</v>
      </c>
      <c r="U2022" s="31">
        <v>1</v>
      </c>
      <c r="V2022" s="82">
        <v>1</v>
      </c>
      <c r="AA2022" s="82"/>
      <c r="AF2022" s="84"/>
      <c r="AG2022" s="31">
        <v>0</v>
      </c>
      <c r="AH2022" t="s">
        <v>44</v>
      </c>
    </row>
    <row r="2023" spans="1:34">
      <c r="A2023" s="15" t="s">
        <v>2131</v>
      </c>
      <c r="B2023" s="12" t="s">
        <v>893</v>
      </c>
      <c r="C2023" s="43" t="s">
        <v>160</v>
      </c>
      <c r="D2023" t="s">
        <v>38</v>
      </c>
      <c r="E2023" s="30" t="s">
        <v>39</v>
      </c>
      <c r="F2023" s="31">
        <v>0.81300813008130079</v>
      </c>
      <c r="G2023" s="82">
        <v>1</v>
      </c>
      <c r="L2023" s="82"/>
      <c r="Q2023" s="84"/>
      <c r="R2023" s="92" t="s">
        <v>161</v>
      </c>
      <c r="S2023" s="30" t="s">
        <v>38</v>
      </c>
      <c r="T2023" s="30" t="s">
        <v>39</v>
      </c>
      <c r="U2023" s="31">
        <v>0.83333333333333337</v>
      </c>
      <c r="V2023" s="82">
        <v>1</v>
      </c>
      <c r="AA2023" s="82"/>
      <c r="AF2023" s="84"/>
      <c r="AG2023" s="31">
        <v>0</v>
      </c>
      <c r="AH2023" t="s">
        <v>44</v>
      </c>
    </row>
    <row r="2024" spans="1:34">
      <c r="A2024" s="15" t="s">
        <v>2132</v>
      </c>
      <c r="B2024" s="12" t="s">
        <v>893</v>
      </c>
      <c r="C2024" s="43" t="s">
        <v>160</v>
      </c>
      <c r="D2024" t="s">
        <v>38</v>
      </c>
      <c r="E2024" s="30" t="s">
        <v>39</v>
      </c>
      <c r="F2024" s="31">
        <v>0.81300813008130079</v>
      </c>
      <c r="G2024" s="82">
        <v>1</v>
      </c>
      <c r="L2024" s="82"/>
      <c r="Q2024" s="84"/>
      <c r="R2024" s="30" t="s">
        <v>161</v>
      </c>
      <c r="S2024" s="30" t="s">
        <v>38</v>
      </c>
      <c r="T2024" s="30" t="s">
        <v>39</v>
      </c>
      <c r="U2024" s="31">
        <v>0.83333333333333337</v>
      </c>
      <c r="V2024" s="82">
        <v>1</v>
      </c>
      <c r="AA2024" s="82"/>
      <c r="AF2024" s="84"/>
      <c r="AG2024" s="31">
        <v>0</v>
      </c>
      <c r="AH2024" t="s">
        <v>44</v>
      </c>
    </row>
    <row r="2025" spans="1:34" s="6" customFormat="1">
      <c r="A2025" s="18" t="s">
        <v>2133</v>
      </c>
      <c r="B2025" s="19" t="s">
        <v>943</v>
      </c>
      <c r="C2025" s="42" t="s">
        <v>1948</v>
      </c>
      <c r="D2025" s="6" t="s">
        <v>41</v>
      </c>
      <c r="E2025" s="28" t="s">
        <v>39</v>
      </c>
      <c r="F2025" s="29">
        <v>0.86206896551724144</v>
      </c>
      <c r="G2025" s="83">
        <v>1</v>
      </c>
      <c r="H2025" s="28"/>
      <c r="I2025" s="28"/>
      <c r="J2025" s="28"/>
      <c r="K2025" s="29"/>
      <c r="L2025" s="83"/>
      <c r="M2025" s="74"/>
      <c r="N2025" s="28"/>
      <c r="O2025" s="28"/>
      <c r="P2025" s="29"/>
      <c r="Q2025" s="85"/>
      <c r="R2025" s="54" t="s">
        <v>2134</v>
      </c>
      <c r="S2025" s="28" t="s">
        <v>41</v>
      </c>
      <c r="T2025" s="28" t="s">
        <v>39</v>
      </c>
      <c r="U2025" s="29">
        <v>0.64935064935064934</v>
      </c>
      <c r="V2025" s="83">
        <v>1</v>
      </c>
      <c r="W2025" s="28"/>
      <c r="X2025" s="28"/>
      <c r="Y2025" s="28"/>
      <c r="Z2025" s="29"/>
      <c r="AA2025" s="83"/>
      <c r="AB2025" s="74"/>
      <c r="AC2025" s="28"/>
      <c r="AD2025" s="28"/>
      <c r="AE2025" s="28"/>
      <c r="AF2025" s="85"/>
      <c r="AG2025" s="97">
        <v>0</v>
      </c>
      <c r="AH2025" s="6" t="s">
        <v>44</v>
      </c>
    </row>
    <row r="2026" spans="1:34">
      <c r="A2026" s="15" t="s">
        <v>2135</v>
      </c>
      <c r="B2026" s="12" t="s">
        <v>943</v>
      </c>
      <c r="C2026" s="43" t="s">
        <v>1948</v>
      </c>
      <c r="D2026" t="s">
        <v>41</v>
      </c>
      <c r="E2026" s="30" t="s">
        <v>39</v>
      </c>
      <c r="F2026" s="31">
        <v>0.86206896551724144</v>
      </c>
      <c r="G2026" s="82">
        <v>1</v>
      </c>
      <c r="L2026" s="82"/>
      <c r="Q2026" s="84"/>
      <c r="R2026" s="30" t="s">
        <v>2134</v>
      </c>
      <c r="S2026" s="30" t="s">
        <v>41</v>
      </c>
      <c r="T2026" s="30" t="s">
        <v>39</v>
      </c>
      <c r="U2026" s="31">
        <v>0.64935064935064934</v>
      </c>
      <c r="V2026" s="82">
        <v>1</v>
      </c>
      <c r="AA2026" s="82"/>
      <c r="AF2026" s="84"/>
      <c r="AG2026" s="31">
        <v>0</v>
      </c>
      <c r="AH2026" t="s">
        <v>44</v>
      </c>
    </row>
    <row r="2027" spans="1:34">
      <c r="A2027" s="15" t="s">
        <v>2136</v>
      </c>
      <c r="B2027" s="12" t="s">
        <v>943</v>
      </c>
      <c r="C2027" s="43" t="s">
        <v>1948</v>
      </c>
      <c r="D2027" t="s">
        <v>41</v>
      </c>
      <c r="E2027" s="30" t="s">
        <v>39</v>
      </c>
      <c r="F2027" s="31">
        <v>0.86206896551724144</v>
      </c>
      <c r="G2027" s="82">
        <v>1</v>
      </c>
      <c r="L2027" s="82"/>
      <c r="Q2027" s="84"/>
      <c r="R2027" s="92" t="s">
        <v>2134</v>
      </c>
      <c r="S2027" s="30" t="s">
        <v>41</v>
      </c>
      <c r="T2027" s="30" t="s">
        <v>39</v>
      </c>
      <c r="U2027" s="31">
        <v>0.64935064935064934</v>
      </c>
      <c r="V2027" s="82">
        <v>1</v>
      </c>
      <c r="AA2027" s="82"/>
      <c r="AF2027" s="84"/>
      <c r="AG2027" s="31">
        <v>0</v>
      </c>
      <c r="AH2027" t="s">
        <v>44</v>
      </c>
    </row>
    <row r="2028" spans="1:34">
      <c r="A2028" s="15" t="s">
        <v>2137</v>
      </c>
      <c r="B2028" s="12" t="s">
        <v>943</v>
      </c>
      <c r="C2028" s="43" t="s">
        <v>1948</v>
      </c>
      <c r="D2028" t="s">
        <v>41</v>
      </c>
      <c r="E2028" s="30" t="s">
        <v>39</v>
      </c>
      <c r="F2028" s="31">
        <v>0.86206896551724144</v>
      </c>
      <c r="G2028" s="82">
        <v>1</v>
      </c>
      <c r="L2028" s="82"/>
      <c r="Q2028" s="84"/>
      <c r="R2028" s="92" t="s">
        <v>2134</v>
      </c>
      <c r="S2028" s="30" t="s">
        <v>41</v>
      </c>
      <c r="T2028" s="30" t="s">
        <v>39</v>
      </c>
      <c r="U2028" s="31">
        <v>0.64935064935064934</v>
      </c>
      <c r="V2028" s="82">
        <v>1</v>
      </c>
      <c r="AA2028" s="82"/>
      <c r="AF2028" s="84"/>
      <c r="AG2028" s="31">
        <v>0</v>
      </c>
      <c r="AH2028" t="s">
        <v>44</v>
      </c>
    </row>
    <row r="2029" spans="1:34">
      <c r="A2029" s="15" t="s">
        <v>2138</v>
      </c>
      <c r="B2029" s="12" t="s">
        <v>943</v>
      </c>
      <c r="C2029" s="43" t="s">
        <v>1948</v>
      </c>
      <c r="D2029" t="s">
        <v>41</v>
      </c>
      <c r="E2029" s="30" t="s">
        <v>39</v>
      </c>
      <c r="F2029" s="31">
        <v>0.86206896551724144</v>
      </c>
      <c r="G2029" s="82">
        <v>1</v>
      </c>
      <c r="L2029" s="82"/>
      <c r="Q2029" s="84"/>
      <c r="R2029" s="30" t="s">
        <v>2134</v>
      </c>
      <c r="S2029" s="30" t="s">
        <v>41</v>
      </c>
      <c r="T2029" s="30" t="s">
        <v>39</v>
      </c>
      <c r="U2029" s="31">
        <v>0.64935064935064934</v>
      </c>
      <c r="V2029" s="82">
        <v>1</v>
      </c>
      <c r="AA2029" s="82"/>
      <c r="AF2029" s="84"/>
      <c r="AG2029" s="31">
        <v>0</v>
      </c>
      <c r="AH2029" t="s">
        <v>44</v>
      </c>
    </row>
    <row r="2030" spans="1:34">
      <c r="A2030" s="15" t="s">
        <v>2139</v>
      </c>
      <c r="B2030" s="12" t="s">
        <v>943</v>
      </c>
      <c r="C2030" s="43" t="s">
        <v>1948</v>
      </c>
      <c r="D2030" t="s">
        <v>41</v>
      </c>
      <c r="E2030" s="30" t="s">
        <v>39</v>
      </c>
      <c r="F2030" s="31">
        <v>0.86206896551724144</v>
      </c>
      <c r="G2030" s="82">
        <v>1</v>
      </c>
      <c r="L2030" s="82"/>
      <c r="Q2030" s="84"/>
      <c r="R2030" s="30" t="s">
        <v>2134</v>
      </c>
      <c r="S2030" s="30" t="s">
        <v>41</v>
      </c>
      <c r="T2030" s="30" t="s">
        <v>39</v>
      </c>
      <c r="U2030" s="31">
        <v>0.64935064935064934</v>
      </c>
      <c r="V2030" s="82">
        <v>1</v>
      </c>
      <c r="AA2030" s="82"/>
      <c r="AF2030" s="84"/>
      <c r="AG2030" s="31">
        <v>0</v>
      </c>
      <c r="AH2030" t="s">
        <v>44</v>
      </c>
    </row>
    <row r="2031" spans="1:34">
      <c r="A2031" s="15" t="s">
        <v>2140</v>
      </c>
      <c r="B2031" s="12" t="s">
        <v>943</v>
      </c>
      <c r="C2031" s="43" t="s">
        <v>1948</v>
      </c>
      <c r="D2031" t="s">
        <v>41</v>
      </c>
      <c r="E2031" s="30" t="s">
        <v>39</v>
      </c>
      <c r="F2031" s="31">
        <v>0.86206896551724144</v>
      </c>
      <c r="G2031" s="82">
        <v>1</v>
      </c>
      <c r="L2031" s="82"/>
      <c r="Q2031" s="84"/>
      <c r="R2031" s="30" t="s">
        <v>2134</v>
      </c>
      <c r="S2031" s="30" t="s">
        <v>41</v>
      </c>
      <c r="T2031" s="30" t="s">
        <v>39</v>
      </c>
      <c r="U2031" s="31">
        <v>0.64935064935064934</v>
      </c>
      <c r="V2031" s="82">
        <v>1</v>
      </c>
      <c r="AA2031" s="82"/>
      <c r="AF2031" s="84"/>
      <c r="AG2031" s="31">
        <v>0</v>
      </c>
      <c r="AH2031" t="s">
        <v>44</v>
      </c>
    </row>
    <row r="2032" spans="1:34">
      <c r="A2032" s="15" t="s">
        <v>2141</v>
      </c>
      <c r="B2032" s="12" t="s">
        <v>943</v>
      </c>
      <c r="C2032" s="43" t="s">
        <v>1948</v>
      </c>
      <c r="D2032" t="s">
        <v>41</v>
      </c>
      <c r="E2032" s="30" t="s">
        <v>39</v>
      </c>
      <c r="F2032" s="31">
        <v>0.86206896551724144</v>
      </c>
      <c r="G2032" s="82">
        <v>1</v>
      </c>
      <c r="L2032" s="82"/>
      <c r="Q2032" s="84"/>
      <c r="R2032" s="30" t="s">
        <v>2134</v>
      </c>
      <c r="S2032" s="30" t="s">
        <v>41</v>
      </c>
      <c r="T2032" s="30" t="s">
        <v>39</v>
      </c>
      <c r="U2032" s="31">
        <v>0.64935064935064934</v>
      </c>
      <c r="V2032" s="82">
        <v>1</v>
      </c>
      <c r="AA2032" s="82"/>
      <c r="AF2032" s="84"/>
      <c r="AG2032" s="31">
        <v>0</v>
      </c>
      <c r="AH2032" t="s">
        <v>44</v>
      </c>
    </row>
    <row r="2033" spans="1:34">
      <c r="A2033" s="15" t="s">
        <v>2142</v>
      </c>
      <c r="B2033" s="12" t="s">
        <v>943</v>
      </c>
      <c r="C2033" s="43" t="s">
        <v>1948</v>
      </c>
      <c r="D2033" t="s">
        <v>41</v>
      </c>
      <c r="E2033" s="30" t="s">
        <v>39</v>
      </c>
      <c r="F2033" s="31">
        <v>0.86206896551724144</v>
      </c>
      <c r="G2033" s="82">
        <v>1</v>
      </c>
      <c r="L2033" s="82"/>
      <c r="Q2033" s="84"/>
      <c r="R2033" s="30" t="s">
        <v>2134</v>
      </c>
      <c r="S2033" s="30" t="s">
        <v>41</v>
      </c>
      <c r="T2033" s="30" t="s">
        <v>39</v>
      </c>
      <c r="U2033" s="31">
        <v>0.64935064935064934</v>
      </c>
      <c r="V2033" s="82">
        <v>1</v>
      </c>
      <c r="AA2033" s="82"/>
      <c r="AF2033" s="84"/>
      <c r="AG2033" s="31">
        <v>0</v>
      </c>
      <c r="AH2033" t="s">
        <v>44</v>
      </c>
    </row>
    <row r="2034" spans="1:34">
      <c r="A2034" s="15" t="s">
        <v>2143</v>
      </c>
      <c r="B2034" s="12" t="s">
        <v>943</v>
      </c>
      <c r="C2034" s="43" t="s">
        <v>1948</v>
      </c>
      <c r="D2034" t="s">
        <v>41</v>
      </c>
      <c r="E2034" s="30" t="s">
        <v>39</v>
      </c>
      <c r="F2034" s="31">
        <v>0.86206896551724144</v>
      </c>
      <c r="G2034" s="82">
        <v>1</v>
      </c>
      <c r="L2034" s="82"/>
      <c r="Q2034" s="84"/>
      <c r="R2034" s="30" t="s">
        <v>2134</v>
      </c>
      <c r="S2034" s="30" t="s">
        <v>41</v>
      </c>
      <c r="T2034" s="30" t="s">
        <v>39</v>
      </c>
      <c r="U2034" s="31">
        <v>0.64935064935064934</v>
      </c>
      <c r="V2034" s="82">
        <v>1</v>
      </c>
      <c r="AA2034" s="82"/>
      <c r="AF2034" s="84"/>
      <c r="AG2034" s="96">
        <v>0</v>
      </c>
      <c r="AH2034" t="s">
        <v>44</v>
      </c>
    </row>
    <row r="2035" spans="1:34" s="6" customFormat="1">
      <c r="A2035" s="18" t="s">
        <v>2144</v>
      </c>
      <c r="B2035" s="19" t="s">
        <v>993</v>
      </c>
      <c r="C2035" s="42" t="s">
        <v>1878</v>
      </c>
      <c r="D2035" s="6" t="s">
        <v>38</v>
      </c>
      <c r="E2035" s="28" t="s">
        <v>1879</v>
      </c>
      <c r="F2035" s="29">
        <v>0.81300813008130079</v>
      </c>
      <c r="G2035" s="83">
        <v>1</v>
      </c>
      <c r="H2035" s="28"/>
      <c r="I2035" s="28"/>
      <c r="J2035" s="28"/>
      <c r="K2035" s="29"/>
      <c r="L2035" s="83"/>
      <c r="M2035" s="74"/>
      <c r="N2035" s="28"/>
      <c r="O2035" s="28"/>
      <c r="P2035" s="29"/>
      <c r="Q2035" s="85"/>
      <c r="R2035" s="91" t="s">
        <v>1878</v>
      </c>
      <c r="S2035" s="28" t="s">
        <v>38</v>
      </c>
      <c r="T2035" s="28" t="s">
        <v>1879</v>
      </c>
      <c r="U2035" s="29">
        <v>0.61728395061728392</v>
      </c>
      <c r="V2035" s="83">
        <v>1</v>
      </c>
      <c r="W2035" s="28"/>
      <c r="X2035" s="28"/>
      <c r="Y2035" s="28"/>
      <c r="Z2035" s="29"/>
      <c r="AA2035" s="83"/>
      <c r="AB2035" s="74"/>
      <c r="AC2035" s="28"/>
      <c r="AD2035" s="28"/>
      <c r="AE2035" s="28"/>
      <c r="AF2035" s="85"/>
      <c r="AG2035" s="31">
        <v>0</v>
      </c>
      <c r="AH2035" s="6" t="s">
        <v>44</v>
      </c>
    </row>
    <row r="2036" spans="1:34">
      <c r="A2036" s="15" t="s">
        <v>2145</v>
      </c>
      <c r="B2036" s="12" t="s">
        <v>993</v>
      </c>
      <c r="C2036" s="43" t="s">
        <v>1878</v>
      </c>
      <c r="D2036" t="s">
        <v>38</v>
      </c>
      <c r="E2036" s="30" t="s">
        <v>1879</v>
      </c>
      <c r="F2036" s="31">
        <v>0.81300813008130079</v>
      </c>
      <c r="G2036" s="82">
        <v>1</v>
      </c>
      <c r="L2036" s="82"/>
      <c r="Q2036" s="84"/>
      <c r="R2036" s="92" t="s">
        <v>1878</v>
      </c>
      <c r="S2036" s="30" t="s">
        <v>38</v>
      </c>
      <c r="T2036" s="30" t="s">
        <v>1879</v>
      </c>
      <c r="U2036" s="31">
        <v>0.61728395061728392</v>
      </c>
      <c r="V2036" s="82">
        <v>1</v>
      </c>
      <c r="AA2036" s="82"/>
      <c r="AF2036" s="84"/>
      <c r="AG2036" s="31">
        <v>0</v>
      </c>
      <c r="AH2036" t="s">
        <v>44</v>
      </c>
    </row>
    <row r="2037" spans="1:34">
      <c r="A2037" s="15" t="s">
        <v>2146</v>
      </c>
      <c r="B2037" s="12" t="s">
        <v>993</v>
      </c>
      <c r="C2037" s="43" t="s">
        <v>1878</v>
      </c>
      <c r="D2037" t="s">
        <v>38</v>
      </c>
      <c r="E2037" s="30" t="s">
        <v>1879</v>
      </c>
      <c r="F2037" s="31">
        <v>0.81300813008130079</v>
      </c>
      <c r="G2037" s="82">
        <v>1</v>
      </c>
      <c r="L2037" s="82"/>
      <c r="Q2037" s="84"/>
      <c r="R2037" s="92" t="s">
        <v>1878</v>
      </c>
      <c r="S2037" s="30" t="s">
        <v>38</v>
      </c>
      <c r="T2037" s="30" t="s">
        <v>1879</v>
      </c>
      <c r="U2037" s="31">
        <v>0.61728395061728392</v>
      </c>
      <c r="V2037" s="82">
        <v>1</v>
      </c>
      <c r="AA2037" s="82"/>
      <c r="AF2037" s="84"/>
      <c r="AG2037" s="31">
        <v>0</v>
      </c>
      <c r="AH2037" t="s">
        <v>44</v>
      </c>
    </row>
    <row r="2038" spans="1:34">
      <c r="A2038" s="15" t="s">
        <v>2147</v>
      </c>
      <c r="B2038" s="12" t="s">
        <v>993</v>
      </c>
      <c r="C2038" s="43" t="s">
        <v>1878</v>
      </c>
      <c r="D2038" t="s">
        <v>38</v>
      </c>
      <c r="E2038" s="30" t="s">
        <v>1879</v>
      </c>
      <c r="F2038" s="31">
        <v>0.81300813008130079</v>
      </c>
      <c r="G2038" s="82">
        <v>1</v>
      </c>
      <c r="L2038" s="82"/>
      <c r="Q2038" s="84"/>
      <c r="R2038" s="30" t="s">
        <v>1878</v>
      </c>
      <c r="S2038" s="30" t="s">
        <v>38</v>
      </c>
      <c r="T2038" s="30" t="s">
        <v>1879</v>
      </c>
      <c r="U2038" s="31">
        <v>0.61728395061728392</v>
      </c>
      <c r="V2038" s="82">
        <v>1</v>
      </c>
      <c r="AA2038" s="82"/>
      <c r="AF2038" s="84"/>
      <c r="AG2038" s="31">
        <v>0</v>
      </c>
      <c r="AH2038" t="s">
        <v>44</v>
      </c>
    </row>
    <row r="2039" spans="1:34">
      <c r="A2039" s="15" t="s">
        <v>2148</v>
      </c>
      <c r="B2039" s="12" t="s">
        <v>993</v>
      </c>
      <c r="C2039" s="43" t="s">
        <v>1878</v>
      </c>
      <c r="D2039" t="s">
        <v>38</v>
      </c>
      <c r="E2039" s="30" t="s">
        <v>1879</v>
      </c>
      <c r="F2039" s="31">
        <v>0.81300813008130079</v>
      </c>
      <c r="G2039" s="82">
        <v>1</v>
      </c>
      <c r="L2039" s="82"/>
      <c r="Q2039" s="84"/>
      <c r="R2039" s="30" t="s">
        <v>1878</v>
      </c>
      <c r="S2039" s="30" t="s">
        <v>38</v>
      </c>
      <c r="T2039" s="30" t="s">
        <v>1879</v>
      </c>
      <c r="U2039" s="31">
        <v>0.61728395061728392</v>
      </c>
      <c r="V2039" s="82">
        <v>1</v>
      </c>
      <c r="AA2039" s="82"/>
      <c r="AF2039" s="84"/>
      <c r="AG2039" s="31">
        <v>0</v>
      </c>
      <c r="AH2039" t="s">
        <v>44</v>
      </c>
    </row>
    <row r="2040" spans="1:34">
      <c r="A2040" s="15" t="s">
        <v>2149</v>
      </c>
      <c r="B2040" s="12" t="s">
        <v>993</v>
      </c>
      <c r="C2040" s="43" t="s">
        <v>1878</v>
      </c>
      <c r="D2040" t="s">
        <v>38</v>
      </c>
      <c r="E2040" s="30" t="s">
        <v>1879</v>
      </c>
      <c r="F2040" s="31">
        <v>0.81300813008130079</v>
      </c>
      <c r="G2040" s="82">
        <v>1</v>
      </c>
      <c r="L2040" s="82"/>
      <c r="Q2040" s="84"/>
      <c r="R2040" s="30" t="s">
        <v>1878</v>
      </c>
      <c r="S2040" s="30" t="s">
        <v>38</v>
      </c>
      <c r="T2040" s="30" t="s">
        <v>1879</v>
      </c>
      <c r="U2040" s="31">
        <v>0.61728395061728392</v>
      </c>
      <c r="V2040" s="82">
        <v>1</v>
      </c>
      <c r="AA2040" s="82"/>
      <c r="AF2040" s="84"/>
      <c r="AG2040" s="31">
        <v>0</v>
      </c>
      <c r="AH2040" t="s">
        <v>44</v>
      </c>
    </row>
    <row r="2041" spans="1:34">
      <c r="A2041" s="15" t="s">
        <v>2150</v>
      </c>
      <c r="B2041" s="12" t="s">
        <v>993</v>
      </c>
      <c r="C2041" s="43" t="s">
        <v>1878</v>
      </c>
      <c r="D2041" t="s">
        <v>38</v>
      </c>
      <c r="E2041" s="30" t="s">
        <v>1879</v>
      </c>
      <c r="F2041" s="31">
        <v>0.81300813008130079</v>
      </c>
      <c r="G2041" s="82">
        <v>1</v>
      </c>
      <c r="L2041" s="82"/>
      <c r="Q2041" s="84"/>
      <c r="R2041" s="30" t="s">
        <v>1878</v>
      </c>
      <c r="S2041" s="30" t="s">
        <v>38</v>
      </c>
      <c r="T2041" s="30" t="s">
        <v>1879</v>
      </c>
      <c r="U2041" s="31">
        <v>0.61728395061728392</v>
      </c>
      <c r="V2041" s="82">
        <v>1</v>
      </c>
      <c r="AA2041" s="82"/>
      <c r="AF2041" s="84"/>
      <c r="AG2041" s="31">
        <v>0</v>
      </c>
      <c r="AH2041" t="s">
        <v>44</v>
      </c>
    </row>
    <row r="2042" spans="1:34">
      <c r="A2042" s="15" t="s">
        <v>2151</v>
      </c>
      <c r="B2042" s="12" t="s">
        <v>993</v>
      </c>
      <c r="C2042" s="43" t="s">
        <v>1878</v>
      </c>
      <c r="D2042" t="s">
        <v>38</v>
      </c>
      <c r="E2042" s="30" t="s">
        <v>1879</v>
      </c>
      <c r="F2042" s="31">
        <v>0.81300813008130079</v>
      </c>
      <c r="G2042" s="82">
        <v>1</v>
      </c>
      <c r="L2042" s="82"/>
      <c r="Q2042" s="84"/>
      <c r="R2042" s="30" t="s">
        <v>1878</v>
      </c>
      <c r="S2042" s="30" t="s">
        <v>38</v>
      </c>
      <c r="T2042" s="30" t="s">
        <v>1879</v>
      </c>
      <c r="U2042" s="31">
        <v>0.61728395061728392</v>
      </c>
      <c r="V2042" s="82">
        <v>1</v>
      </c>
      <c r="AA2042" s="82"/>
      <c r="AF2042" s="84"/>
      <c r="AG2042" s="31">
        <v>0</v>
      </c>
      <c r="AH2042" t="s">
        <v>44</v>
      </c>
    </row>
    <row r="2043" spans="1:34">
      <c r="A2043" s="15" t="s">
        <v>2152</v>
      </c>
      <c r="B2043" s="12" t="s">
        <v>993</v>
      </c>
      <c r="C2043" s="43" t="s">
        <v>1878</v>
      </c>
      <c r="D2043" t="s">
        <v>38</v>
      </c>
      <c r="E2043" s="30" t="s">
        <v>1879</v>
      </c>
      <c r="F2043" s="31">
        <v>0.81300813008130079</v>
      </c>
      <c r="G2043" s="82">
        <v>1</v>
      </c>
      <c r="L2043" s="82"/>
      <c r="Q2043" s="84"/>
      <c r="R2043" s="30" t="s">
        <v>1878</v>
      </c>
      <c r="S2043" s="30" t="s">
        <v>38</v>
      </c>
      <c r="T2043" s="30" t="s">
        <v>1879</v>
      </c>
      <c r="U2043" s="31">
        <v>0.61728395061728392</v>
      </c>
      <c r="V2043" s="82">
        <v>1</v>
      </c>
      <c r="AA2043" s="82"/>
      <c r="AF2043" s="84"/>
      <c r="AG2043" s="31">
        <v>0</v>
      </c>
      <c r="AH2043" t="s">
        <v>44</v>
      </c>
    </row>
    <row r="2044" spans="1:34">
      <c r="A2044" s="15" t="s">
        <v>2153</v>
      </c>
      <c r="B2044" s="12" t="s">
        <v>993</v>
      </c>
      <c r="C2044" s="43" t="s">
        <v>2154</v>
      </c>
      <c r="D2044" t="s">
        <v>38</v>
      </c>
      <c r="E2044" s="30" t="s">
        <v>42</v>
      </c>
      <c r="F2044" s="31">
        <v>3.8461538461538458</v>
      </c>
      <c r="G2044" s="82">
        <v>0.66666666666666663</v>
      </c>
      <c r="H2044" s="43" t="s">
        <v>1878</v>
      </c>
      <c r="I2044" t="s">
        <v>38</v>
      </c>
      <c r="J2044" s="30" t="s">
        <v>1879</v>
      </c>
      <c r="K2044" s="31">
        <v>0.81300813008130079</v>
      </c>
      <c r="L2044" s="82">
        <v>0.33333333333333331</v>
      </c>
      <c r="Q2044" s="84"/>
      <c r="R2044" s="30" t="s">
        <v>411</v>
      </c>
      <c r="S2044" s="30" t="s">
        <v>38</v>
      </c>
      <c r="T2044" s="30" t="s">
        <v>42</v>
      </c>
      <c r="U2044" s="31">
        <v>2.7777777777777777</v>
      </c>
      <c r="V2044" s="82">
        <v>1</v>
      </c>
      <c r="AA2044" s="82"/>
      <c r="AF2044" s="84"/>
      <c r="AG2044" s="31">
        <v>0</v>
      </c>
      <c r="AH2044" t="s">
        <v>44</v>
      </c>
    </row>
    <row r="2045" spans="1:34">
      <c r="A2045" s="15" t="s">
        <v>2155</v>
      </c>
      <c r="B2045" s="12" t="s">
        <v>993</v>
      </c>
      <c r="C2045" s="43" t="s">
        <v>1878</v>
      </c>
      <c r="D2045" t="s">
        <v>38</v>
      </c>
      <c r="E2045" s="30" t="s">
        <v>1879</v>
      </c>
      <c r="F2045" s="31">
        <v>0.81300813008130079</v>
      </c>
      <c r="G2045" s="82">
        <v>1</v>
      </c>
      <c r="L2045" s="82"/>
      <c r="Q2045" s="84"/>
      <c r="R2045" s="30" t="s">
        <v>1878</v>
      </c>
      <c r="S2045" s="30" t="s">
        <v>38</v>
      </c>
      <c r="T2045" s="30" t="s">
        <v>1879</v>
      </c>
      <c r="U2045" s="31">
        <v>0.61728395061728392</v>
      </c>
      <c r="V2045" s="82">
        <v>1</v>
      </c>
      <c r="AA2045" s="82"/>
      <c r="AF2045" s="84"/>
      <c r="AG2045" s="31">
        <v>0</v>
      </c>
      <c r="AH2045" t="s">
        <v>44</v>
      </c>
    </row>
    <row r="2046" spans="1:34">
      <c r="A2046" s="15" t="s">
        <v>2156</v>
      </c>
      <c r="B2046" s="12" t="s">
        <v>993</v>
      </c>
      <c r="C2046" s="43" t="s">
        <v>1878</v>
      </c>
      <c r="D2046" t="s">
        <v>38</v>
      </c>
      <c r="E2046" s="30" t="s">
        <v>1879</v>
      </c>
      <c r="F2046" s="31">
        <v>0.81300813008130079</v>
      </c>
      <c r="G2046" s="82">
        <v>1</v>
      </c>
      <c r="L2046" s="82"/>
      <c r="Q2046" s="84"/>
      <c r="R2046" s="30" t="s">
        <v>1878</v>
      </c>
      <c r="S2046" s="30" t="s">
        <v>38</v>
      </c>
      <c r="T2046" s="30" t="s">
        <v>1879</v>
      </c>
      <c r="U2046" s="31">
        <v>0.61728395061728392</v>
      </c>
      <c r="V2046" s="82">
        <v>1</v>
      </c>
      <c r="AA2046" s="82"/>
      <c r="AF2046" s="84"/>
      <c r="AG2046" s="31">
        <v>0</v>
      </c>
      <c r="AH2046" t="s">
        <v>44</v>
      </c>
    </row>
    <row r="2047" spans="1:34">
      <c r="A2047" s="15" t="s">
        <v>2157</v>
      </c>
      <c r="B2047" s="12" t="s">
        <v>993</v>
      </c>
      <c r="C2047" s="43" t="s">
        <v>1878</v>
      </c>
      <c r="D2047" t="s">
        <v>38</v>
      </c>
      <c r="E2047" s="30" t="s">
        <v>1879</v>
      </c>
      <c r="F2047" s="31">
        <v>0.81300813008130079</v>
      </c>
      <c r="G2047" s="82">
        <v>1</v>
      </c>
      <c r="L2047" s="82"/>
      <c r="Q2047" s="84"/>
      <c r="R2047" s="30" t="s">
        <v>1878</v>
      </c>
      <c r="S2047" s="30" t="s">
        <v>38</v>
      </c>
      <c r="T2047" s="30" t="s">
        <v>1879</v>
      </c>
      <c r="U2047" s="31">
        <v>0.61728395061728392</v>
      </c>
      <c r="V2047" s="82">
        <v>1</v>
      </c>
      <c r="AA2047" s="82"/>
      <c r="AF2047" s="84"/>
      <c r="AG2047" s="31">
        <v>0</v>
      </c>
      <c r="AH2047" t="s">
        <v>44</v>
      </c>
    </row>
    <row r="2048" spans="1:34">
      <c r="A2048" s="15" t="s">
        <v>2158</v>
      </c>
      <c r="B2048" s="12" t="s">
        <v>993</v>
      </c>
      <c r="C2048" s="43" t="s">
        <v>1878</v>
      </c>
      <c r="D2048" t="s">
        <v>38</v>
      </c>
      <c r="E2048" s="30" t="s">
        <v>1879</v>
      </c>
      <c r="F2048" s="31">
        <v>0.81300813008130079</v>
      </c>
      <c r="G2048" s="82">
        <v>1</v>
      </c>
      <c r="L2048" s="82"/>
      <c r="Q2048" s="84"/>
      <c r="R2048" s="30" t="s">
        <v>1878</v>
      </c>
      <c r="S2048" s="30" t="s">
        <v>38</v>
      </c>
      <c r="T2048" s="30" t="s">
        <v>1879</v>
      </c>
      <c r="U2048" s="31">
        <v>0.61728395061728392</v>
      </c>
      <c r="V2048" s="82">
        <v>1</v>
      </c>
      <c r="AA2048" s="82"/>
      <c r="AF2048" s="84"/>
      <c r="AG2048" s="31">
        <v>0</v>
      </c>
      <c r="AH2048" t="s">
        <v>44</v>
      </c>
    </row>
    <row r="2049" spans="1:34">
      <c r="A2049" s="15" t="s">
        <v>2159</v>
      </c>
      <c r="B2049" s="12" t="s">
        <v>993</v>
      </c>
      <c r="C2049" s="43" t="s">
        <v>1878</v>
      </c>
      <c r="D2049" t="s">
        <v>38</v>
      </c>
      <c r="E2049" s="30" t="s">
        <v>1879</v>
      </c>
      <c r="F2049" s="31">
        <v>0.81300813008130079</v>
      </c>
      <c r="G2049" s="82">
        <v>1</v>
      </c>
      <c r="L2049" s="82"/>
      <c r="Q2049" s="84"/>
      <c r="R2049" s="30" t="s">
        <v>1878</v>
      </c>
      <c r="S2049" s="30" t="s">
        <v>38</v>
      </c>
      <c r="T2049" s="30" t="s">
        <v>1879</v>
      </c>
      <c r="U2049" s="31">
        <v>0.61728395061728392</v>
      </c>
      <c r="V2049" s="82">
        <v>1</v>
      </c>
      <c r="AA2049" s="82"/>
      <c r="AF2049" s="84"/>
      <c r="AG2049" s="31">
        <v>0</v>
      </c>
      <c r="AH2049" t="s">
        <v>44</v>
      </c>
    </row>
    <row r="2050" spans="1:34">
      <c r="A2050" s="15" t="s">
        <v>2160</v>
      </c>
      <c r="B2050" s="12" t="s">
        <v>993</v>
      </c>
      <c r="C2050" s="43" t="s">
        <v>2154</v>
      </c>
      <c r="D2050" t="s">
        <v>38</v>
      </c>
      <c r="E2050" s="30" t="s">
        <v>42</v>
      </c>
      <c r="F2050" s="31">
        <v>3.8461538461538458</v>
      </c>
      <c r="G2050" s="82">
        <v>0.66666666666666663</v>
      </c>
      <c r="H2050" s="43" t="s">
        <v>1878</v>
      </c>
      <c r="I2050" t="s">
        <v>38</v>
      </c>
      <c r="J2050" s="30" t="s">
        <v>1879</v>
      </c>
      <c r="K2050" s="31">
        <v>0.81300813008130079</v>
      </c>
      <c r="L2050" s="82">
        <v>0.33333333333333331</v>
      </c>
      <c r="Q2050" s="84"/>
      <c r="R2050" s="30" t="s">
        <v>411</v>
      </c>
      <c r="S2050" s="30" t="s">
        <v>38</v>
      </c>
      <c r="T2050" s="30" t="s">
        <v>42</v>
      </c>
      <c r="U2050" s="31">
        <v>2.7777777777777777</v>
      </c>
      <c r="V2050" s="82">
        <v>1</v>
      </c>
      <c r="AA2050" s="82"/>
      <c r="AF2050" s="84"/>
      <c r="AG2050" s="31">
        <v>0</v>
      </c>
      <c r="AH2050" t="s">
        <v>44</v>
      </c>
    </row>
    <row r="2051" spans="1:34" s="6" customFormat="1">
      <c r="A2051" s="18" t="s">
        <v>2161</v>
      </c>
      <c r="B2051" s="19" t="s">
        <v>1050</v>
      </c>
      <c r="C2051" s="42" t="s">
        <v>2051</v>
      </c>
      <c r="D2051" s="6" t="s">
        <v>38</v>
      </c>
      <c r="E2051" s="28" t="s">
        <v>39</v>
      </c>
      <c r="F2051" s="29">
        <v>0.63694267515923564</v>
      </c>
      <c r="G2051" s="83">
        <v>1</v>
      </c>
      <c r="H2051" s="28"/>
      <c r="I2051" s="28"/>
      <c r="J2051" s="28"/>
      <c r="K2051" s="29"/>
      <c r="L2051" s="83"/>
      <c r="M2051" s="74"/>
      <c r="N2051" s="28"/>
      <c r="O2051" s="28"/>
      <c r="P2051" s="29"/>
      <c r="Q2051" s="85"/>
      <c r="R2051" s="91" t="s">
        <v>160</v>
      </c>
      <c r="S2051" s="28" t="s">
        <v>38</v>
      </c>
      <c r="T2051" s="28" t="s">
        <v>39</v>
      </c>
      <c r="U2051" s="29">
        <v>0.69930069930069938</v>
      </c>
      <c r="V2051" s="83">
        <v>1</v>
      </c>
      <c r="W2051" s="28"/>
      <c r="X2051" s="28"/>
      <c r="Y2051" s="28"/>
      <c r="Z2051" s="29"/>
      <c r="AA2051" s="83"/>
      <c r="AB2051" s="74"/>
      <c r="AC2051" s="28"/>
      <c r="AD2051" s="28"/>
      <c r="AE2051" s="28"/>
      <c r="AF2051" s="85"/>
      <c r="AG2051" s="97">
        <v>0</v>
      </c>
      <c r="AH2051" s="6" t="s">
        <v>44</v>
      </c>
    </row>
    <row r="2052" spans="1:34">
      <c r="A2052" s="15" t="s">
        <v>2162</v>
      </c>
      <c r="B2052" s="12" t="s">
        <v>1050</v>
      </c>
      <c r="C2052" s="43" t="s">
        <v>2051</v>
      </c>
      <c r="D2052" t="s">
        <v>38</v>
      </c>
      <c r="E2052" s="30" t="s">
        <v>39</v>
      </c>
      <c r="F2052" s="31">
        <v>0.63694267515923564</v>
      </c>
      <c r="G2052" s="82">
        <v>1</v>
      </c>
      <c r="L2052" s="82"/>
      <c r="Q2052" s="84"/>
      <c r="R2052" s="92" t="s">
        <v>160</v>
      </c>
      <c r="S2052" s="30" t="s">
        <v>38</v>
      </c>
      <c r="T2052" s="30" t="s">
        <v>39</v>
      </c>
      <c r="U2052" s="31">
        <v>0.69930069930069938</v>
      </c>
      <c r="V2052" s="82">
        <v>1</v>
      </c>
      <c r="AA2052" s="82"/>
      <c r="AF2052" s="84"/>
      <c r="AG2052" s="31">
        <v>0</v>
      </c>
      <c r="AH2052" t="s">
        <v>44</v>
      </c>
    </row>
    <row r="2053" spans="1:34">
      <c r="A2053" s="15" t="s">
        <v>2163</v>
      </c>
      <c r="B2053" s="12" t="s">
        <v>1050</v>
      </c>
      <c r="C2053" s="43" t="s">
        <v>2051</v>
      </c>
      <c r="D2053" t="s">
        <v>38</v>
      </c>
      <c r="E2053" s="30" t="s">
        <v>39</v>
      </c>
      <c r="F2053" s="31">
        <v>0.63694267515923564</v>
      </c>
      <c r="G2053" s="82">
        <v>1</v>
      </c>
      <c r="L2053" s="82"/>
      <c r="Q2053" s="84"/>
      <c r="R2053" s="92" t="s">
        <v>160</v>
      </c>
      <c r="S2053" s="30" t="s">
        <v>38</v>
      </c>
      <c r="T2053" s="30" t="s">
        <v>39</v>
      </c>
      <c r="U2053" s="31">
        <v>0.69930069930069938</v>
      </c>
      <c r="V2053" s="82">
        <v>1</v>
      </c>
      <c r="AA2053" s="82"/>
      <c r="AF2053" s="84"/>
      <c r="AG2053" s="31">
        <v>0</v>
      </c>
      <c r="AH2053" t="s">
        <v>44</v>
      </c>
    </row>
    <row r="2054" spans="1:34">
      <c r="A2054" s="15" t="s">
        <v>2164</v>
      </c>
      <c r="B2054" s="12" t="s">
        <v>1050</v>
      </c>
      <c r="C2054" s="43" t="s">
        <v>2051</v>
      </c>
      <c r="D2054" t="s">
        <v>38</v>
      </c>
      <c r="E2054" s="30" t="s">
        <v>39</v>
      </c>
      <c r="F2054" s="31">
        <v>0.63694267515923564</v>
      </c>
      <c r="G2054" s="82">
        <v>1</v>
      </c>
      <c r="L2054" s="82"/>
      <c r="Q2054" s="84"/>
      <c r="R2054" s="92" t="s">
        <v>160</v>
      </c>
      <c r="S2054" s="30" t="s">
        <v>38</v>
      </c>
      <c r="T2054" s="30" t="s">
        <v>39</v>
      </c>
      <c r="U2054" s="31">
        <v>0.69930069930069938</v>
      </c>
      <c r="V2054" s="82">
        <v>1</v>
      </c>
      <c r="AA2054" s="82"/>
      <c r="AF2054" s="84"/>
      <c r="AG2054" s="31">
        <v>0</v>
      </c>
      <c r="AH2054" t="s">
        <v>44</v>
      </c>
    </row>
    <row r="2055" spans="1:34">
      <c r="A2055" s="15" t="s">
        <v>2165</v>
      </c>
      <c r="B2055" s="12" t="s">
        <v>1050</v>
      </c>
      <c r="C2055" s="43" t="s">
        <v>2051</v>
      </c>
      <c r="D2055" t="s">
        <v>38</v>
      </c>
      <c r="E2055" s="30" t="s">
        <v>39</v>
      </c>
      <c r="F2055" s="31">
        <v>0.63694267515923564</v>
      </c>
      <c r="G2055" s="82">
        <v>1</v>
      </c>
      <c r="L2055" s="82"/>
      <c r="Q2055" s="84"/>
      <c r="R2055" s="92" t="s">
        <v>160</v>
      </c>
      <c r="S2055" s="30" t="s">
        <v>38</v>
      </c>
      <c r="T2055" s="30" t="s">
        <v>39</v>
      </c>
      <c r="U2055" s="31">
        <v>0.69930069930069938</v>
      </c>
      <c r="V2055" s="82">
        <v>1</v>
      </c>
      <c r="AA2055" s="82"/>
      <c r="AF2055" s="84"/>
      <c r="AG2055" s="31">
        <v>0</v>
      </c>
      <c r="AH2055" t="s">
        <v>44</v>
      </c>
    </row>
    <row r="2056" spans="1:34">
      <c r="A2056" s="15" t="s">
        <v>2166</v>
      </c>
      <c r="B2056" s="12" t="s">
        <v>1050</v>
      </c>
      <c r="C2056" s="43" t="s">
        <v>2051</v>
      </c>
      <c r="D2056" t="s">
        <v>38</v>
      </c>
      <c r="E2056" s="30" t="s">
        <v>39</v>
      </c>
      <c r="F2056" s="31">
        <v>0.63694267515923564</v>
      </c>
      <c r="G2056" s="82">
        <v>1</v>
      </c>
      <c r="L2056" s="82"/>
      <c r="Q2056" s="84"/>
      <c r="R2056" s="92" t="s">
        <v>160</v>
      </c>
      <c r="S2056" s="30" t="s">
        <v>38</v>
      </c>
      <c r="T2056" s="30" t="s">
        <v>39</v>
      </c>
      <c r="U2056" s="31">
        <v>0.69930069930069938</v>
      </c>
      <c r="V2056" s="82">
        <v>1</v>
      </c>
      <c r="AA2056" s="82"/>
      <c r="AF2056" s="84"/>
      <c r="AG2056" s="31">
        <v>0</v>
      </c>
      <c r="AH2056" t="s">
        <v>44</v>
      </c>
    </row>
    <row r="2057" spans="1:34">
      <c r="A2057" s="15" t="s">
        <v>2167</v>
      </c>
      <c r="B2057" s="12" t="s">
        <v>1050</v>
      </c>
      <c r="C2057" s="43" t="s">
        <v>1952</v>
      </c>
      <c r="D2057" t="s">
        <v>38</v>
      </c>
      <c r="E2057" s="30" t="s">
        <v>39</v>
      </c>
      <c r="F2057" s="31">
        <v>0.84033613445378152</v>
      </c>
      <c r="G2057" s="82">
        <v>1</v>
      </c>
      <c r="L2057" s="82"/>
      <c r="Q2057" s="84"/>
      <c r="R2057" s="92" t="s">
        <v>160</v>
      </c>
      <c r="S2057" s="30" t="s">
        <v>38</v>
      </c>
      <c r="T2057" s="30" t="s">
        <v>39</v>
      </c>
      <c r="U2057" s="31">
        <v>0.69930069930069938</v>
      </c>
      <c r="V2057" s="82">
        <v>1</v>
      </c>
      <c r="AA2057" s="82"/>
      <c r="AF2057" s="84"/>
      <c r="AG2057" s="31">
        <v>0</v>
      </c>
      <c r="AH2057" t="s">
        <v>44</v>
      </c>
    </row>
    <row r="2058" spans="1:34">
      <c r="A2058" s="15" t="s">
        <v>2168</v>
      </c>
      <c r="B2058" s="12" t="s">
        <v>1050</v>
      </c>
      <c r="C2058" s="43" t="s">
        <v>1952</v>
      </c>
      <c r="D2058" t="s">
        <v>38</v>
      </c>
      <c r="E2058" s="30" t="s">
        <v>39</v>
      </c>
      <c r="F2058" s="31">
        <v>0.84033613445378152</v>
      </c>
      <c r="G2058" s="82">
        <v>1</v>
      </c>
      <c r="L2058" s="82"/>
      <c r="Q2058" s="84"/>
      <c r="R2058" s="92" t="s">
        <v>160</v>
      </c>
      <c r="S2058" s="30" t="s">
        <v>38</v>
      </c>
      <c r="T2058" s="30" t="s">
        <v>39</v>
      </c>
      <c r="U2058" s="31">
        <v>0.69930069930069938</v>
      </c>
      <c r="V2058" s="82">
        <v>0.66666666666666663</v>
      </c>
      <c r="W2058" s="30" t="s">
        <v>1949</v>
      </c>
      <c r="X2058" s="30" t="s">
        <v>41</v>
      </c>
      <c r="Y2058" s="30" t="s">
        <v>1950</v>
      </c>
      <c r="Z2058" s="31">
        <v>0.68</v>
      </c>
      <c r="AA2058" s="82">
        <v>0.33333333333333331</v>
      </c>
      <c r="AB2058" s="30"/>
      <c r="AE2058" s="31"/>
      <c r="AF2058" s="84"/>
      <c r="AG2058" s="31">
        <v>0</v>
      </c>
      <c r="AH2058" t="s">
        <v>44</v>
      </c>
    </row>
    <row r="2059" spans="1:34">
      <c r="A2059" s="15" t="s">
        <v>2169</v>
      </c>
      <c r="B2059" s="12" t="s">
        <v>1050</v>
      </c>
      <c r="C2059" s="43" t="s">
        <v>2051</v>
      </c>
      <c r="D2059" t="s">
        <v>38</v>
      </c>
      <c r="E2059" s="30" t="s">
        <v>39</v>
      </c>
      <c r="F2059" s="31">
        <v>0.63694267515923564</v>
      </c>
      <c r="G2059" s="82">
        <v>1</v>
      </c>
      <c r="L2059" s="82"/>
      <c r="Q2059" s="84"/>
      <c r="R2059" s="92" t="s">
        <v>160</v>
      </c>
      <c r="S2059" s="30" t="s">
        <v>38</v>
      </c>
      <c r="T2059" s="30" t="s">
        <v>39</v>
      </c>
      <c r="U2059" s="31">
        <v>0.69930069930069938</v>
      </c>
      <c r="V2059" s="82">
        <v>1</v>
      </c>
      <c r="W2059" s="30" t="s">
        <v>1948</v>
      </c>
      <c r="X2059" s="30" t="s">
        <v>41</v>
      </c>
      <c r="Y2059" s="30" t="s">
        <v>39</v>
      </c>
      <c r="Z2059" s="31">
        <v>0.69930069930069938</v>
      </c>
      <c r="AA2059" s="82">
        <v>1</v>
      </c>
      <c r="AF2059" s="84"/>
      <c r="AG2059" s="31">
        <v>0</v>
      </c>
      <c r="AH2059" t="s">
        <v>44</v>
      </c>
    </row>
    <row r="2060" spans="1:34">
      <c r="A2060" s="15" t="s">
        <v>2170</v>
      </c>
      <c r="B2060" s="12" t="s">
        <v>1050</v>
      </c>
      <c r="C2060" s="43" t="s">
        <v>2051</v>
      </c>
      <c r="D2060" t="s">
        <v>38</v>
      </c>
      <c r="E2060" s="30" t="s">
        <v>39</v>
      </c>
      <c r="F2060" s="31">
        <v>0.63694267515923564</v>
      </c>
      <c r="G2060" s="82">
        <v>1</v>
      </c>
      <c r="L2060" s="82"/>
      <c r="Q2060" s="84"/>
      <c r="R2060" s="92" t="s">
        <v>160</v>
      </c>
      <c r="S2060" s="30" t="s">
        <v>38</v>
      </c>
      <c r="T2060" s="30" t="s">
        <v>39</v>
      </c>
      <c r="U2060" s="31">
        <v>0.69930069930069938</v>
      </c>
      <c r="V2060" s="82">
        <v>1</v>
      </c>
      <c r="W2060" s="30" t="s">
        <v>1948</v>
      </c>
      <c r="X2060" s="30" t="s">
        <v>41</v>
      </c>
      <c r="Y2060" s="30" t="s">
        <v>39</v>
      </c>
      <c r="Z2060" s="31">
        <v>0.69930069930069938</v>
      </c>
      <c r="AA2060" s="82">
        <v>1</v>
      </c>
      <c r="AF2060" s="84"/>
      <c r="AG2060" s="31">
        <v>0</v>
      </c>
      <c r="AH2060" t="s">
        <v>44</v>
      </c>
    </row>
    <row r="2061" spans="1:34">
      <c r="A2061" s="15" t="s">
        <v>2171</v>
      </c>
      <c r="B2061" s="12" t="s">
        <v>1050</v>
      </c>
      <c r="C2061" s="43" t="s">
        <v>2051</v>
      </c>
      <c r="D2061" t="s">
        <v>38</v>
      </c>
      <c r="E2061" s="30" t="s">
        <v>39</v>
      </c>
      <c r="F2061" s="31">
        <v>0.63694267515923564</v>
      </c>
      <c r="G2061" s="82">
        <v>1</v>
      </c>
      <c r="L2061" s="82"/>
      <c r="Q2061" s="84"/>
      <c r="R2061" s="92" t="s">
        <v>160</v>
      </c>
      <c r="S2061" s="30" t="s">
        <v>38</v>
      </c>
      <c r="T2061" s="30" t="s">
        <v>39</v>
      </c>
      <c r="U2061" s="31">
        <v>0.69930069930069938</v>
      </c>
      <c r="V2061" s="82">
        <v>1</v>
      </c>
      <c r="W2061" s="30" t="s">
        <v>1948</v>
      </c>
      <c r="X2061" s="30" t="s">
        <v>41</v>
      </c>
      <c r="Y2061" s="30" t="s">
        <v>39</v>
      </c>
      <c r="Z2061" s="31">
        <v>0.69930069930069938</v>
      </c>
      <c r="AA2061" s="82">
        <v>1</v>
      </c>
      <c r="AF2061" s="84"/>
      <c r="AG2061" s="31">
        <v>0</v>
      </c>
      <c r="AH2061" t="s">
        <v>44</v>
      </c>
    </row>
    <row r="2062" spans="1:34">
      <c r="A2062" s="15" t="s">
        <v>2172</v>
      </c>
      <c r="B2062" s="12" t="s">
        <v>1050</v>
      </c>
      <c r="C2062" s="43" t="s">
        <v>2051</v>
      </c>
      <c r="D2062" t="s">
        <v>38</v>
      </c>
      <c r="E2062" s="30" t="s">
        <v>39</v>
      </c>
      <c r="F2062" s="31">
        <v>0.63694267515923564</v>
      </c>
      <c r="G2062" s="82">
        <v>1</v>
      </c>
      <c r="L2062" s="82"/>
      <c r="Q2062" s="84"/>
      <c r="R2062" s="92" t="s">
        <v>160</v>
      </c>
      <c r="S2062" s="30" t="s">
        <v>38</v>
      </c>
      <c r="T2062" s="30" t="s">
        <v>39</v>
      </c>
      <c r="U2062" s="31">
        <v>0.69930069930069938</v>
      </c>
      <c r="V2062" s="82">
        <v>1</v>
      </c>
      <c r="W2062" s="30" t="s">
        <v>1948</v>
      </c>
      <c r="X2062" s="30" t="s">
        <v>41</v>
      </c>
      <c r="Y2062" s="30" t="s">
        <v>39</v>
      </c>
      <c r="Z2062" s="31">
        <v>0.69930069930069938</v>
      </c>
      <c r="AA2062" s="82">
        <v>1</v>
      </c>
      <c r="AF2062" s="84"/>
      <c r="AG2062" s="31">
        <v>0</v>
      </c>
      <c r="AH2062" t="s">
        <v>44</v>
      </c>
    </row>
    <row r="2063" spans="1:34">
      <c r="A2063" s="15" t="s">
        <v>2173</v>
      </c>
      <c r="B2063" s="12" t="s">
        <v>1050</v>
      </c>
      <c r="C2063" s="43" t="s">
        <v>2051</v>
      </c>
      <c r="D2063" t="s">
        <v>38</v>
      </c>
      <c r="E2063" s="30" t="s">
        <v>39</v>
      </c>
      <c r="F2063" s="31">
        <v>0.63694267515923564</v>
      </c>
      <c r="G2063" s="82">
        <v>1</v>
      </c>
      <c r="L2063" s="82"/>
      <c r="Q2063" s="84"/>
      <c r="R2063" s="30" t="s">
        <v>160</v>
      </c>
      <c r="S2063" s="30" t="s">
        <v>38</v>
      </c>
      <c r="T2063" s="30" t="s">
        <v>39</v>
      </c>
      <c r="U2063" s="31">
        <v>0.69930069930069938</v>
      </c>
      <c r="V2063" s="82">
        <v>1</v>
      </c>
      <c r="W2063" s="30" t="s">
        <v>1948</v>
      </c>
      <c r="X2063" s="30" t="s">
        <v>41</v>
      </c>
      <c r="Y2063" s="30" t="s">
        <v>39</v>
      </c>
      <c r="Z2063" s="31">
        <v>0.69930069930069938</v>
      </c>
      <c r="AA2063" s="82">
        <v>1</v>
      </c>
      <c r="AF2063" s="84"/>
      <c r="AG2063" s="31">
        <v>0</v>
      </c>
      <c r="AH2063" t="s">
        <v>44</v>
      </c>
    </row>
    <row r="2064" spans="1:34">
      <c r="A2064" s="15" t="s">
        <v>2174</v>
      </c>
      <c r="B2064" s="12" t="s">
        <v>1050</v>
      </c>
      <c r="C2064" s="43" t="s">
        <v>2051</v>
      </c>
      <c r="D2064" t="s">
        <v>38</v>
      </c>
      <c r="E2064" s="30" t="s">
        <v>39</v>
      </c>
      <c r="F2064" s="31">
        <v>0.63694267515923564</v>
      </c>
      <c r="G2064" s="82">
        <v>1</v>
      </c>
      <c r="L2064" s="82"/>
      <c r="Q2064" s="84"/>
      <c r="R2064" s="30" t="s">
        <v>160</v>
      </c>
      <c r="S2064" s="30" t="s">
        <v>38</v>
      </c>
      <c r="T2064" s="30" t="s">
        <v>39</v>
      </c>
      <c r="U2064" s="31">
        <v>0.69930069930069938</v>
      </c>
      <c r="V2064" s="82">
        <v>1</v>
      </c>
      <c r="W2064" s="30" t="s">
        <v>1948</v>
      </c>
      <c r="X2064" s="30" t="s">
        <v>41</v>
      </c>
      <c r="Y2064" s="30" t="s">
        <v>39</v>
      </c>
      <c r="Z2064" s="31">
        <v>0.69930069930069938</v>
      </c>
      <c r="AA2064" s="82">
        <v>1</v>
      </c>
      <c r="AF2064" s="84"/>
      <c r="AG2064" s="31">
        <v>0</v>
      </c>
      <c r="AH2064" t="s">
        <v>44</v>
      </c>
    </row>
    <row r="2065" spans="1:34">
      <c r="A2065" s="15" t="s">
        <v>2175</v>
      </c>
      <c r="B2065" s="12" t="s">
        <v>1050</v>
      </c>
      <c r="C2065" s="43" t="s">
        <v>1952</v>
      </c>
      <c r="D2065" t="s">
        <v>38</v>
      </c>
      <c r="E2065" s="30" t="s">
        <v>39</v>
      </c>
      <c r="F2065" s="31">
        <v>0.84033613445378152</v>
      </c>
      <c r="G2065" s="82">
        <v>1</v>
      </c>
      <c r="L2065" s="82"/>
      <c r="Q2065" s="84"/>
      <c r="R2065" s="30" t="s">
        <v>160</v>
      </c>
      <c r="S2065" s="30" t="s">
        <v>38</v>
      </c>
      <c r="T2065" s="30" t="s">
        <v>39</v>
      </c>
      <c r="U2065" s="31">
        <v>0.69930069930069938</v>
      </c>
      <c r="V2065" s="82">
        <v>1</v>
      </c>
      <c r="W2065" s="30" t="s">
        <v>1948</v>
      </c>
      <c r="X2065" s="30" t="s">
        <v>41</v>
      </c>
      <c r="Y2065" s="30" t="s">
        <v>39</v>
      </c>
      <c r="Z2065" s="31">
        <v>0.69930069930069938</v>
      </c>
      <c r="AA2065" s="82">
        <v>1</v>
      </c>
      <c r="AF2065" s="84"/>
      <c r="AG2065" s="31">
        <v>0</v>
      </c>
      <c r="AH2065" t="s">
        <v>44</v>
      </c>
    </row>
    <row r="2066" spans="1:34">
      <c r="A2066" s="15" t="s">
        <v>2176</v>
      </c>
      <c r="B2066" s="12" t="s">
        <v>1050</v>
      </c>
      <c r="C2066" s="43" t="s">
        <v>1952</v>
      </c>
      <c r="D2066" t="s">
        <v>38</v>
      </c>
      <c r="E2066" s="30" t="s">
        <v>39</v>
      </c>
      <c r="F2066" s="31">
        <v>0.84033613445378152</v>
      </c>
      <c r="G2066" s="82">
        <v>1</v>
      </c>
      <c r="L2066" s="82"/>
      <c r="Q2066" s="84"/>
      <c r="R2066" s="30" t="s">
        <v>160</v>
      </c>
      <c r="S2066" s="30" t="s">
        <v>38</v>
      </c>
      <c r="T2066" s="30" t="s">
        <v>39</v>
      </c>
      <c r="U2066" s="31">
        <v>0.69930069930069938</v>
      </c>
      <c r="V2066" s="82">
        <v>0.33333333333333331</v>
      </c>
      <c r="W2066" s="30" t="s">
        <v>1948</v>
      </c>
      <c r="X2066" s="30" t="s">
        <v>41</v>
      </c>
      <c r="Y2066" s="30" t="s">
        <v>39</v>
      </c>
      <c r="Z2066" s="31">
        <v>0.69930069930069938</v>
      </c>
      <c r="AA2066" s="82">
        <v>0.33333333333333331</v>
      </c>
      <c r="AB2066" s="30" t="s">
        <v>1949</v>
      </c>
      <c r="AC2066" s="30" t="s">
        <v>41</v>
      </c>
      <c r="AD2066" s="30" t="s">
        <v>1950</v>
      </c>
      <c r="AE2066" s="31">
        <v>0.68</v>
      </c>
      <c r="AF2066" s="84">
        <v>0.33333333333333331</v>
      </c>
      <c r="AG2066" s="98">
        <v>0</v>
      </c>
      <c r="AH2066" t="s">
        <v>44</v>
      </c>
    </row>
    <row r="2067" spans="1:34">
      <c r="A2067" s="15" t="s">
        <v>2177</v>
      </c>
      <c r="B2067" s="12" t="s">
        <v>1050</v>
      </c>
      <c r="C2067" s="43" t="s">
        <v>2051</v>
      </c>
      <c r="D2067" t="s">
        <v>38</v>
      </c>
      <c r="E2067" s="30" t="s">
        <v>39</v>
      </c>
      <c r="F2067" s="31">
        <v>0.63694267515923564</v>
      </c>
      <c r="G2067" s="82">
        <v>1</v>
      </c>
      <c r="L2067" s="82"/>
      <c r="Q2067" s="84"/>
      <c r="R2067" s="30" t="s">
        <v>1948</v>
      </c>
      <c r="S2067" s="30" t="s">
        <v>41</v>
      </c>
      <c r="T2067" s="30" t="s">
        <v>39</v>
      </c>
      <c r="U2067" s="31">
        <v>0.69930069930069938</v>
      </c>
      <c r="V2067" s="82">
        <v>1</v>
      </c>
      <c r="W2067" s="73"/>
      <c r="Z2067" s="30"/>
      <c r="AA2067" s="82"/>
      <c r="AB2067" s="30"/>
      <c r="AF2067" s="84"/>
      <c r="AG2067" s="31">
        <v>0</v>
      </c>
      <c r="AH2067" t="s">
        <v>44</v>
      </c>
    </row>
    <row r="2068" spans="1:34">
      <c r="A2068" s="15" t="s">
        <v>2178</v>
      </c>
      <c r="B2068" s="12" t="s">
        <v>1050</v>
      </c>
      <c r="C2068" s="43" t="s">
        <v>2051</v>
      </c>
      <c r="D2068" t="s">
        <v>38</v>
      </c>
      <c r="E2068" s="30" t="s">
        <v>39</v>
      </c>
      <c r="F2068" s="31">
        <v>0.63694267515923564</v>
      </c>
      <c r="G2068" s="82">
        <v>1</v>
      </c>
      <c r="L2068" s="82"/>
      <c r="Q2068" s="84"/>
      <c r="R2068" s="30" t="s">
        <v>1948</v>
      </c>
      <c r="S2068" s="30" t="s">
        <v>41</v>
      </c>
      <c r="T2068" s="30" t="s">
        <v>39</v>
      </c>
      <c r="U2068" s="31">
        <v>0.69930069930069938</v>
      </c>
      <c r="V2068" s="82">
        <v>1</v>
      </c>
      <c r="W2068" s="73"/>
      <c r="Z2068" s="30"/>
      <c r="AA2068" s="82"/>
      <c r="AB2068" s="30"/>
      <c r="AF2068" s="84"/>
      <c r="AG2068" s="31">
        <v>0</v>
      </c>
      <c r="AH2068" t="s">
        <v>44</v>
      </c>
    </row>
    <row r="2069" spans="1:34">
      <c r="A2069" s="15" t="s">
        <v>2179</v>
      </c>
      <c r="B2069" s="12" t="s">
        <v>1050</v>
      </c>
      <c r="C2069" s="43" t="s">
        <v>2051</v>
      </c>
      <c r="D2069" t="s">
        <v>38</v>
      </c>
      <c r="E2069" s="30" t="s">
        <v>39</v>
      </c>
      <c r="F2069" s="31">
        <v>0.63694267515923564</v>
      </c>
      <c r="G2069" s="82">
        <v>1</v>
      </c>
      <c r="L2069" s="82"/>
      <c r="Q2069" s="84"/>
      <c r="R2069" s="30" t="s">
        <v>1948</v>
      </c>
      <c r="S2069" s="30" t="s">
        <v>41</v>
      </c>
      <c r="T2069" s="30" t="s">
        <v>39</v>
      </c>
      <c r="U2069" s="31">
        <v>0.69930069930069938</v>
      </c>
      <c r="V2069" s="82">
        <v>1</v>
      </c>
      <c r="W2069" s="73"/>
      <c r="Z2069" s="30"/>
      <c r="AA2069" s="82"/>
      <c r="AB2069" s="30"/>
      <c r="AF2069" s="84"/>
      <c r="AG2069" s="31">
        <v>0</v>
      </c>
      <c r="AH2069" t="s">
        <v>44</v>
      </c>
    </row>
    <row r="2070" spans="1:34">
      <c r="A2070" s="15" t="s">
        <v>2180</v>
      </c>
      <c r="B2070" s="12" t="s">
        <v>1050</v>
      </c>
      <c r="C2070" s="43" t="s">
        <v>2051</v>
      </c>
      <c r="D2070" t="s">
        <v>38</v>
      </c>
      <c r="E2070" s="30" t="s">
        <v>39</v>
      </c>
      <c r="F2070" s="31">
        <v>0.63694267515923564</v>
      </c>
      <c r="G2070" s="82">
        <v>1</v>
      </c>
      <c r="L2070" s="82"/>
      <c r="Q2070" s="84"/>
      <c r="R2070" s="30" t="s">
        <v>1948</v>
      </c>
      <c r="S2070" s="30" t="s">
        <v>41</v>
      </c>
      <c r="T2070" s="30" t="s">
        <v>39</v>
      </c>
      <c r="U2070" s="31">
        <v>0.69930069930069938</v>
      </c>
      <c r="V2070" s="82">
        <v>1</v>
      </c>
      <c r="W2070" s="73"/>
      <c r="Z2070" s="30"/>
      <c r="AA2070" s="82"/>
      <c r="AB2070" s="30"/>
      <c r="AF2070" s="84"/>
      <c r="AG2070" s="31">
        <v>0</v>
      </c>
      <c r="AH2070" t="s">
        <v>44</v>
      </c>
    </row>
    <row r="2071" spans="1:34">
      <c r="A2071" s="15" t="s">
        <v>2181</v>
      </c>
      <c r="B2071" s="12" t="s">
        <v>1050</v>
      </c>
      <c r="C2071" s="43" t="s">
        <v>2051</v>
      </c>
      <c r="D2071" t="s">
        <v>38</v>
      </c>
      <c r="E2071" s="30" t="s">
        <v>39</v>
      </c>
      <c r="F2071" s="31">
        <v>0.63694267515923564</v>
      </c>
      <c r="G2071" s="82">
        <v>1</v>
      </c>
      <c r="L2071" s="82"/>
      <c r="Q2071" s="84"/>
      <c r="R2071" s="30" t="s">
        <v>1948</v>
      </c>
      <c r="S2071" s="30" t="s">
        <v>41</v>
      </c>
      <c r="T2071" s="30" t="s">
        <v>39</v>
      </c>
      <c r="U2071" s="31">
        <v>0.69930069930069938</v>
      </c>
      <c r="V2071" s="82">
        <v>1</v>
      </c>
      <c r="W2071" s="73"/>
      <c r="Z2071" s="30"/>
      <c r="AA2071" s="82"/>
      <c r="AB2071" s="30"/>
      <c r="AF2071" s="84"/>
      <c r="AG2071" s="31">
        <v>0</v>
      </c>
      <c r="AH2071" t="s">
        <v>44</v>
      </c>
    </row>
    <row r="2072" spans="1:34">
      <c r="A2072" s="15" t="s">
        <v>2182</v>
      </c>
      <c r="B2072" s="12" t="s">
        <v>1050</v>
      </c>
      <c r="C2072" s="43" t="s">
        <v>2051</v>
      </c>
      <c r="D2072" t="s">
        <v>38</v>
      </c>
      <c r="E2072" s="30" t="s">
        <v>39</v>
      </c>
      <c r="F2072" s="31">
        <v>0.63694267515923564</v>
      </c>
      <c r="G2072" s="82">
        <v>1</v>
      </c>
      <c r="L2072" s="82"/>
      <c r="Q2072" s="84"/>
      <c r="R2072" s="30" t="s">
        <v>1948</v>
      </c>
      <c r="S2072" s="30" t="s">
        <v>41</v>
      </c>
      <c r="T2072" s="30" t="s">
        <v>39</v>
      </c>
      <c r="U2072" s="31">
        <v>0.69930069930069938</v>
      </c>
      <c r="V2072" s="82">
        <v>1</v>
      </c>
      <c r="W2072" s="73"/>
      <c r="Z2072" s="30"/>
      <c r="AA2072" s="82"/>
      <c r="AB2072" s="30"/>
      <c r="AF2072" s="84"/>
      <c r="AG2072" s="31">
        <v>0</v>
      </c>
      <c r="AH2072" t="s">
        <v>44</v>
      </c>
    </row>
    <row r="2073" spans="1:34">
      <c r="A2073" s="15" t="s">
        <v>2183</v>
      </c>
      <c r="B2073" s="12" t="s">
        <v>1050</v>
      </c>
      <c r="C2073" s="43" t="s">
        <v>1952</v>
      </c>
      <c r="D2073" t="s">
        <v>38</v>
      </c>
      <c r="E2073" s="30" t="s">
        <v>39</v>
      </c>
      <c r="F2073" s="31">
        <v>0.84033613445378152</v>
      </c>
      <c r="G2073" s="82">
        <v>1</v>
      </c>
      <c r="L2073" s="82"/>
      <c r="Q2073" s="84"/>
      <c r="R2073" s="30" t="s">
        <v>1948</v>
      </c>
      <c r="S2073" s="30" t="s">
        <v>41</v>
      </c>
      <c r="T2073" s="30" t="s">
        <v>39</v>
      </c>
      <c r="U2073" s="31">
        <v>0.69930069930069938</v>
      </c>
      <c r="V2073" s="82">
        <v>0.6</v>
      </c>
      <c r="W2073" s="30" t="s">
        <v>212</v>
      </c>
      <c r="X2073" s="30" t="s">
        <v>41</v>
      </c>
      <c r="Y2073" s="30" t="s">
        <v>39</v>
      </c>
      <c r="Z2073" s="31">
        <v>0.80645161290322587</v>
      </c>
      <c r="AA2073" s="82">
        <v>0.2</v>
      </c>
      <c r="AB2073" s="30" t="s">
        <v>1949</v>
      </c>
      <c r="AC2073" s="30" t="s">
        <v>41</v>
      </c>
      <c r="AD2073" s="30" t="s">
        <v>1950</v>
      </c>
      <c r="AE2073" s="31">
        <v>0.68</v>
      </c>
      <c r="AF2073" s="84">
        <v>0.2</v>
      </c>
      <c r="AG2073" s="31">
        <v>0</v>
      </c>
      <c r="AH2073" t="s">
        <v>44</v>
      </c>
    </row>
    <row r="2074" spans="1:34">
      <c r="A2074" s="15" t="s">
        <v>2184</v>
      </c>
      <c r="B2074" s="12" t="s">
        <v>1050</v>
      </c>
      <c r="C2074" s="43" t="s">
        <v>1952</v>
      </c>
      <c r="D2074" t="s">
        <v>38</v>
      </c>
      <c r="E2074" s="30" t="s">
        <v>39</v>
      </c>
      <c r="F2074" s="31">
        <v>0.84033613445378152</v>
      </c>
      <c r="G2074" s="82">
        <v>1</v>
      </c>
      <c r="L2074" s="82"/>
      <c r="Q2074" s="84"/>
      <c r="R2074" s="30" t="s">
        <v>212</v>
      </c>
      <c r="S2074" s="30" t="s">
        <v>41</v>
      </c>
      <c r="T2074" s="30" t="s">
        <v>39</v>
      </c>
      <c r="U2074" s="31">
        <v>0.80645161290322587</v>
      </c>
      <c r="V2074" s="82">
        <v>0.5</v>
      </c>
      <c r="W2074" s="30" t="s">
        <v>1949</v>
      </c>
      <c r="X2074" s="30" t="s">
        <v>41</v>
      </c>
      <c r="Y2074" s="30" t="s">
        <v>1950</v>
      </c>
      <c r="Z2074" s="31">
        <v>0.68</v>
      </c>
      <c r="AA2074" s="82">
        <v>0.5</v>
      </c>
      <c r="AF2074" s="90"/>
      <c r="AG2074" s="31">
        <v>0</v>
      </c>
      <c r="AH2074" t="s">
        <v>44</v>
      </c>
    </row>
    <row r="2075" spans="1:34" s="6" customFormat="1">
      <c r="A2075" s="18" t="s">
        <v>2185</v>
      </c>
      <c r="B2075" s="19" t="s">
        <v>1135</v>
      </c>
      <c r="C2075" s="42" t="s">
        <v>2032</v>
      </c>
      <c r="D2075" s="6" t="s">
        <v>38</v>
      </c>
      <c r="E2075" s="28" t="s">
        <v>1879</v>
      </c>
      <c r="F2075" s="29">
        <v>0.9009009009009008</v>
      </c>
      <c r="G2075" s="83">
        <v>0.75</v>
      </c>
      <c r="H2075" s="42" t="s">
        <v>410</v>
      </c>
      <c r="I2075" s="28" t="s">
        <v>38</v>
      </c>
      <c r="J2075" s="28" t="s">
        <v>42</v>
      </c>
      <c r="K2075" s="29">
        <v>3.2258064516129035</v>
      </c>
      <c r="L2075" s="83">
        <v>0.25</v>
      </c>
      <c r="M2075" s="74"/>
      <c r="N2075" s="28"/>
      <c r="O2075" s="28"/>
      <c r="P2075" s="29"/>
      <c r="Q2075" s="85"/>
      <c r="R2075" s="54" t="s">
        <v>1878</v>
      </c>
      <c r="S2075" s="47" t="s">
        <v>38</v>
      </c>
      <c r="T2075" s="47" t="s">
        <v>1879</v>
      </c>
      <c r="U2075" s="48">
        <v>0.84745762711864414</v>
      </c>
      <c r="V2075" s="49">
        <v>0.4</v>
      </c>
      <c r="W2075" s="47" t="s">
        <v>160</v>
      </c>
      <c r="X2075" s="47" t="s">
        <v>38</v>
      </c>
      <c r="Y2075" s="47" t="s">
        <v>39</v>
      </c>
      <c r="Z2075" s="48">
        <v>0.90909090909090906</v>
      </c>
      <c r="AA2075" s="49">
        <v>0.4</v>
      </c>
      <c r="AB2075" s="47" t="s">
        <v>411</v>
      </c>
      <c r="AC2075" s="47" t="s">
        <v>38</v>
      </c>
      <c r="AD2075" s="47" t="s">
        <v>42</v>
      </c>
      <c r="AE2075" s="48">
        <v>2.5</v>
      </c>
      <c r="AF2075" s="49">
        <v>0.2</v>
      </c>
      <c r="AG2075" s="99">
        <v>0</v>
      </c>
      <c r="AH2075" s="6" t="s">
        <v>44</v>
      </c>
    </row>
    <row r="2076" spans="1:34">
      <c r="A2076" s="15" t="s">
        <v>2186</v>
      </c>
      <c r="B2076" s="12" t="s">
        <v>1135</v>
      </c>
      <c r="C2076" s="43" t="s">
        <v>2032</v>
      </c>
      <c r="D2076" t="s">
        <v>38</v>
      </c>
      <c r="E2076" s="30" t="s">
        <v>1879</v>
      </c>
      <c r="F2076" s="31">
        <v>0.9009009009009008</v>
      </c>
      <c r="G2076" s="82">
        <v>0.75</v>
      </c>
      <c r="H2076" s="30" t="s">
        <v>410</v>
      </c>
      <c r="I2076" s="30" t="s">
        <v>38</v>
      </c>
      <c r="J2076" s="30" t="s">
        <v>42</v>
      </c>
      <c r="K2076" s="31">
        <v>3.2258064516129035</v>
      </c>
      <c r="L2076" s="82">
        <v>0.25</v>
      </c>
      <c r="Q2076" s="84"/>
      <c r="R2076" s="55" t="s">
        <v>1878</v>
      </c>
      <c r="S2076" s="26" t="s">
        <v>38</v>
      </c>
      <c r="T2076" s="26" t="s">
        <v>1879</v>
      </c>
      <c r="U2076" s="27">
        <v>0.84745762711864414</v>
      </c>
      <c r="V2076" s="33">
        <v>0.4</v>
      </c>
      <c r="W2076" s="26" t="s">
        <v>160</v>
      </c>
      <c r="X2076" s="26" t="s">
        <v>38</v>
      </c>
      <c r="Y2076" s="26" t="s">
        <v>39</v>
      </c>
      <c r="Z2076" s="27">
        <v>0.90909090909090906</v>
      </c>
      <c r="AA2076" s="33">
        <v>0.4</v>
      </c>
      <c r="AB2076" s="73" t="s">
        <v>411</v>
      </c>
      <c r="AC2076" s="30" t="s">
        <v>38</v>
      </c>
      <c r="AD2076" s="30" t="s">
        <v>42</v>
      </c>
      <c r="AE2076" s="27">
        <v>2.5</v>
      </c>
      <c r="AF2076" s="84">
        <v>0.2</v>
      </c>
      <c r="AG2076" s="31">
        <v>0</v>
      </c>
      <c r="AH2076" t="s">
        <v>44</v>
      </c>
    </row>
    <row r="2077" spans="1:34">
      <c r="A2077" s="15" t="s">
        <v>2187</v>
      </c>
      <c r="B2077" s="12" t="s">
        <v>1135</v>
      </c>
      <c r="C2077" s="43" t="s">
        <v>2032</v>
      </c>
      <c r="D2077" t="s">
        <v>38</v>
      </c>
      <c r="E2077" s="30" t="s">
        <v>1879</v>
      </c>
      <c r="F2077" s="31">
        <v>0.9009009009009008</v>
      </c>
      <c r="G2077" s="82">
        <v>0.75</v>
      </c>
      <c r="H2077" s="30" t="s">
        <v>410</v>
      </c>
      <c r="I2077" s="30" t="s">
        <v>38</v>
      </c>
      <c r="J2077" s="30" t="s">
        <v>42</v>
      </c>
      <c r="K2077" s="31">
        <v>3.2258064516129035</v>
      </c>
      <c r="L2077" s="82">
        <v>0.25</v>
      </c>
      <c r="Q2077" s="84"/>
      <c r="R2077" s="30" t="s">
        <v>1878</v>
      </c>
      <c r="S2077" s="30" t="s">
        <v>38</v>
      </c>
      <c r="T2077" s="30" t="s">
        <v>1879</v>
      </c>
      <c r="U2077" s="31">
        <v>0.84745762711864414</v>
      </c>
      <c r="V2077" s="82">
        <v>0.4</v>
      </c>
      <c r="W2077" s="30" t="s">
        <v>160</v>
      </c>
      <c r="X2077" s="30" t="s">
        <v>38</v>
      </c>
      <c r="Y2077" s="30" t="s">
        <v>39</v>
      </c>
      <c r="Z2077" s="31">
        <v>0.90909090909090906</v>
      </c>
      <c r="AA2077" s="82">
        <v>0.4</v>
      </c>
      <c r="AB2077" s="73" t="s">
        <v>411</v>
      </c>
      <c r="AC2077" s="30" t="s">
        <v>38</v>
      </c>
      <c r="AD2077" s="30" t="s">
        <v>42</v>
      </c>
      <c r="AE2077" s="27">
        <v>2.5</v>
      </c>
      <c r="AF2077" s="84">
        <v>0.2</v>
      </c>
      <c r="AG2077" s="31">
        <v>0</v>
      </c>
      <c r="AH2077" t="s">
        <v>44</v>
      </c>
    </row>
    <row r="2078" spans="1:34">
      <c r="A2078" s="15" t="s">
        <v>2188</v>
      </c>
      <c r="B2078" s="12" t="s">
        <v>1135</v>
      </c>
      <c r="C2078" s="43" t="s">
        <v>2032</v>
      </c>
      <c r="D2078" t="s">
        <v>38</v>
      </c>
      <c r="E2078" s="30" t="s">
        <v>1879</v>
      </c>
      <c r="F2078" s="31">
        <v>0.9009009009009008</v>
      </c>
      <c r="G2078" s="82">
        <v>0.75</v>
      </c>
      <c r="H2078" s="30" t="s">
        <v>410</v>
      </c>
      <c r="I2078" s="30" t="s">
        <v>38</v>
      </c>
      <c r="J2078" s="30" t="s">
        <v>42</v>
      </c>
      <c r="K2078" s="31">
        <v>3.2258064516129035</v>
      </c>
      <c r="L2078" s="82">
        <v>0.25</v>
      </c>
      <c r="Q2078" s="84"/>
      <c r="R2078" s="30" t="s">
        <v>1878</v>
      </c>
      <c r="S2078" s="30" t="s">
        <v>38</v>
      </c>
      <c r="T2078" s="30" t="s">
        <v>1879</v>
      </c>
      <c r="U2078" s="31">
        <v>0.84745762711864414</v>
      </c>
      <c r="V2078" s="82">
        <v>0.4</v>
      </c>
      <c r="W2078" s="30" t="s">
        <v>160</v>
      </c>
      <c r="X2078" s="30" t="s">
        <v>38</v>
      </c>
      <c r="Y2078" s="30" t="s">
        <v>39</v>
      </c>
      <c r="Z2078" s="31">
        <v>0.90909090909090906</v>
      </c>
      <c r="AA2078" s="82">
        <v>0.4</v>
      </c>
      <c r="AB2078" s="73" t="s">
        <v>411</v>
      </c>
      <c r="AC2078" s="30" t="s">
        <v>38</v>
      </c>
      <c r="AD2078" s="30" t="s">
        <v>42</v>
      </c>
      <c r="AE2078" s="27">
        <v>2.5</v>
      </c>
      <c r="AF2078" s="84">
        <v>0.2</v>
      </c>
      <c r="AG2078" s="31">
        <v>0</v>
      </c>
      <c r="AH2078" t="s">
        <v>44</v>
      </c>
    </row>
    <row r="2079" spans="1:34">
      <c r="A2079" s="15" t="s">
        <v>2189</v>
      </c>
      <c r="B2079" s="12" t="s">
        <v>1135</v>
      </c>
      <c r="C2079" s="43" t="s">
        <v>2032</v>
      </c>
      <c r="D2079" t="s">
        <v>38</v>
      </c>
      <c r="E2079" s="30" t="s">
        <v>1879</v>
      </c>
      <c r="F2079" s="31">
        <v>0.9009009009009008</v>
      </c>
      <c r="G2079" s="82">
        <v>0.75</v>
      </c>
      <c r="H2079" s="30" t="s">
        <v>410</v>
      </c>
      <c r="I2079" s="30" t="s">
        <v>38</v>
      </c>
      <c r="J2079" s="30" t="s">
        <v>42</v>
      </c>
      <c r="K2079" s="31">
        <v>3.2258064516129035</v>
      </c>
      <c r="L2079" s="82">
        <v>0.25</v>
      </c>
      <c r="Q2079" s="84"/>
      <c r="R2079" s="30" t="s">
        <v>1878</v>
      </c>
      <c r="S2079" s="30" t="s">
        <v>38</v>
      </c>
      <c r="T2079" s="30" t="s">
        <v>1879</v>
      </c>
      <c r="U2079" s="31">
        <v>0.84745762711864414</v>
      </c>
      <c r="V2079" s="82">
        <v>0.4</v>
      </c>
      <c r="W2079" s="30" t="s">
        <v>160</v>
      </c>
      <c r="X2079" s="30" t="s">
        <v>38</v>
      </c>
      <c r="Y2079" s="30" t="s">
        <v>39</v>
      </c>
      <c r="Z2079" s="31">
        <v>0.90909090909090906</v>
      </c>
      <c r="AA2079" s="82">
        <v>0.4</v>
      </c>
      <c r="AB2079" s="73" t="s">
        <v>411</v>
      </c>
      <c r="AC2079" s="30" t="s">
        <v>38</v>
      </c>
      <c r="AD2079" s="30" t="s">
        <v>42</v>
      </c>
      <c r="AE2079" s="27">
        <v>2.5</v>
      </c>
      <c r="AF2079" s="84">
        <v>0.2</v>
      </c>
      <c r="AG2079" s="31">
        <v>0</v>
      </c>
      <c r="AH2079" t="s">
        <v>44</v>
      </c>
    </row>
    <row r="2080" spans="1:34">
      <c r="A2080" s="15" t="s">
        <v>2190</v>
      </c>
      <c r="B2080" s="12" t="s">
        <v>1135</v>
      </c>
      <c r="C2080" s="43" t="s">
        <v>2032</v>
      </c>
      <c r="D2080" t="s">
        <v>38</v>
      </c>
      <c r="E2080" s="30" t="s">
        <v>1879</v>
      </c>
      <c r="F2080" s="31">
        <v>0.9009009009009008</v>
      </c>
      <c r="G2080" s="82">
        <v>0.75</v>
      </c>
      <c r="H2080" s="30" t="s">
        <v>410</v>
      </c>
      <c r="I2080" s="30" t="s">
        <v>38</v>
      </c>
      <c r="J2080" s="30" t="s">
        <v>42</v>
      </c>
      <c r="K2080" s="31">
        <v>3.2258064516129035</v>
      </c>
      <c r="L2080" s="82">
        <v>0.25</v>
      </c>
      <c r="Q2080" s="84"/>
      <c r="R2080" s="30" t="s">
        <v>1878</v>
      </c>
      <c r="S2080" s="30" t="s">
        <v>38</v>
      </c>
      <c r="T2080" s="30" t="s">
        <v>1879</v>
      </c>
      <c r="U2080" s="31">
        <v>0.84745762711864414</v>
      </c>
      <c r="V2080" s="82">
        <v>0.4</v>
      </c>
      <c r="W2080" s="30" t="s">
        <v>160</v>
      </c>
      <c r="X2080" s="30" t="s">
        <v>38</v>
      </c>
      <c r="Y2080" s="30" t="s">
        <v>39</v>
      </c>
      <c r="Z2080" s="31">
        <v>0.90909090909090906</v>
      </c>
      <c r="AA2080" s="82">
        <v>0.4</v>
      </c>
      <c r="AB2080" s="73" t="s">
        <v>411</v>
      </c>
      <c r="AC2080" s="30" t="s">
        <v>38</v>
      </c>
      <c r="AD2080" s="30" t="s">
        <v>42</v>
      </c>
      <c r="AE2080" s="27">
        <v>2.5</v>
      </c>
      <c r="AF2080" s="84">
        <v>0.2</v>
      </c>
      <c r="AG2080" s="31">
        <v>0</v>
      </c>
      <c r="AH2080" t="s">
        <v>44</v>
      </c>
    </row>
    <row r="2081" spans="1:34">
      <c r="A2081" s="15" t="s">
        <v>2191</v>
      </c>
      <c r="B2081" s="12" t="s">
        <v>1135</v>
      </c>
      <c r="C2081" s="43" t="s">
        <v>2032</v>
      </c>
      <c r="D2081" t="s">
        <v>38</v>
      </c>
      <c r="E2081" s="30" t="s">
        <v>1879</v>
      </c>
      <c r="F2081" s="31">
        <v>0.9009009009009008</v>
      </c>
      <c r="G2081" s="82">
        <v>0.75</v>
      </c>
      <c r="H2081" s="30" t="s">
        <v>410</v>
      </c>
      <c r="I2081" s="30" t="s">
        <v>38</v>
      </c>
      <c r="J2081" s="30" t="s">
        <v>42</v>
      </c>
      <c r="K2081" s="31">
        <v>3.2258064516129035</v>
      </c>
      <c r="L2081" s="82">
        <v>0.25</v>
      </c>
      <c r="Q2081" s="84"/>
      <c r="R2081" s="30" t="s">
        <v>1878</v>
      </c>
      <c r="S2081" s="30" t="s">
        <v>38</v>
      </c>
      <c r="T2081" s="30" t="s">
        <v>1879</v>
      </c>
      <c r="U2081" s="31">
        <v>0.84745762711864414</v>
      </c>
      <c r="V2081" s="82">
        <v>0.4</v>
      </c>
      <c r="W2081" s="30" t="s">
        <v>160</v>
      </c>
      <c r="X2081" s="30" t="s">
        <v>38</v>
      </c>
      <c r="Y2081" s="30" t="s">
        <v>39</v>
      </c>
      <c r="Z2081" s="31">
        <v>0.90909090909090906</v>
      </c>
      <c r="AA2081" s="82">
        <v>0.4</v>
      </c>
      <c r="AB2081" s="73" t="s">
        <v>411</v>
      </c>
      <c r="AC2081" s="30" t="s">
        <v>38</v>
      </c>
      <c r="AD2081" s="30" t="s">
        <v>42</v>
      </c>
      <c r="AE2081" s="27">
        <v>2.5</v>
      </c>
      <c r="AF2081" s="84">
        <v>0.2</v>
      </c>
      <c r="AG2081" s="31">
        <v>0</v>
      </c>
      <c r="AH2081" t="s">
        <v>44</v>
      </c>
    </row>
    <row r="2082" spans="1:34">
      <c r="A2082" s="15" t="s">
        <v>2192</v>
      </c>
      <c r="B2082" s="12" t="s">
        <v>1135</v>
      </c>
      <c r="C2082" s="43" t="s">
        <v>2032</v>
      </c>
      <c r="D2082" t="s">
        <v>38</v>
      </c>
      <c r="E2082" s="30" t="s">
        <v>1879</v>
      </c>
      <c r="F2082" s="31">
        <v>0.9009009009009008</v>
      </c>
      <c r="G2082" s="82">
        <v>0.75</v>
      </c>
      <c r="H2082" s="30" t="s">
        <v>410</v>
      </c>
      <c r="I2082" s="30" t="s">
        <v>38</v>
      </c>
      <c r="J2082" s="30" t="s">
        <v>42</v>
      </c>
      <c r="K2082" s="31">
        <v>3.2258064516129035</v>
      </c>
      <c r="L2082" s="82">
        <v>0.25</v>
      </c>
      <c r="Q2082" s="84"/>
      <c r="R2082" s="30" t="s">
        <v>1878</v>
      </c>
      <c r="S2082" s="30" t="s">
        <v>38</v>
      </c>
      <c r="T2082" s="30" t="s">
        <v>1879</v>
      </c>
      <c r="U2082" s="31">
        <v>0.84745762711864414</v>
      </c>
      <c r="V2082" s="82">
        <v>0.4</v>
      </c>
      <c r="W2082" s="30" t="s">
        <v>160</v>
      </c>
      <c r="X2082" s="30" t="s">
        <v>38</v>
      </c>
      <c r="Y2082" s="30" t="s">
        <v>39</v>
      </c>
      <c r="Z2082" s="31">
        <v>0.90909090909090906</v>
      </c>
      <c r="AA2082" s="82">
        <v>0.4</v>
      </c>
      <c r="AB2082" s="73" t="s">
        <v>411</v>
      </c>
      <c r="AC2082" s="30" t="s">
        <v>38</v>
      </c>
      <c r="AD2082" s="30" t="s">
        <v>42</v>
      </c>
      <c r="AE2082" s="27">
        <v>2.5</v>
      </c>
      <c r="AF2082" s="84">
        <v>0.2</v>
      </c>
      <c r="AG2082" s="31">
        <v>0</v>
      </c>
      <c r="AH2082" t="s">
        <v>44</v>
      </c>
    </row>
    <row r="2083" spans="1:34">
      <c r="A2083" s="15" t="s">
        <v>2193</v>
      </c>
      <c r="B2083" s="12" t="s">
        <v>1135</v>
      </c>
      <c r="C2083" s="43" t="s">
        <v>2032</v>
      </c>
      <c r="D2083" t="s">
        <v>38</v>
      </c>
      <c r="E2083" s="30" t="s">
        <v>1879</v>
      </c>
      <c r="F2083" s="31">
        <v>0.9009009009009008</v>
      </c>
      <c r="G2083" s="82">
        <v>0.75</v>
      </c>
      <c r="H2083" s="30" t="s">
        <v>410</v>
      </c>
      <c r="I2083" s="30" t="s">
        <v>38</v>
      </c>
      <c r="J2083" s="30" t="s">
        <v>42</v>
      </c>
      <c r="K2083" s="31">
        <v>3.2258064516129035</v>
      </c>
      <c r="L2083" s="82">
        <v>0.25</v>
      </c>
      <c r="Q2083" s="84"/>
      <c r="R2083" s="30" t="s">
        <v>1878</v>
      </c>
      <c r="S2083" s="30" t="s">
        <v>38</v>
      </c>
      <c r="T2083" s="30" t="s">
        <v>1879</v>
      </c>
      <c r="U2083" s="31">
        <v>0.84745762711864414</v>
      </c>
      <c r="V2083" s="82">
        <v>0.4</v>
      </c>
      <c r="W2083" s="30" t="s">
        <v>160</v>
      </c>
      <c r="X2083" s="30" t="s">
        <v>38</v>
      </c>
      <c r="Y2083" s="30" t="s">
        <v>39</v>
      </c>
      <c r="Z2083" s="31">
        <v>0.90909090909090906</v>
      </c>
      <c r="AA2083" s="82">
        <v>0.4</v>
      </c>
      <c r="AB2083" s="73" t="s">
        <v>411</v>
      </c>
      <c r="AC2083" s="30" t="s">
        <v>38</v>
      </c>
      <c r="AD2083" s="30" t="s">
        <v>42</v>
      </c>
      <c r="AE2083" s="27">
        <v>2.5</v>
      </c>
      <c r="AF2083" s="84">
        <v>0.2</v>
      </c>
      <c r="AG2083" s="98">
        <v>0</v>
      </c>
      <c r="AH2083" t="s">
        <v>44</v>
      </c>
    </row>
    <row r="2084" spans="1:34">
      <c r="A2084" s="15" t="s">
        <v>2194</v>
      </c>
      <c r="B2084" s="12" t="s">
        <v>1135</v>
      </c>
      <c r="C2084" s="43" t="s">
        <v>2032</v>
      </c>
      <c r="D2084" t="s">
        <v>38</v>
      </c>
      <c r="E2084" s="30" t="s">
        <v>1879</v>
      </c>
      <c r="F2084" s="31">
        <v>0.9009009009009008</v>
      </c>
      <c r="G2084" s="82">
        <v>0.75</v>
      </c>
      <c r="H2084" s="30" t="s">
        <v>410</v>
      </c>
      <c r="I2084" s="30" t="s">
        <v>38</v>
      </c>
      <c r="J2084" s="30" t="s">
        <v>42</v>
      </c>
      <c r="K2084" s="31">
        <v>3.2258064516129035</v>
      </c>
      <c r="L2084" s="82">
        <v>0.25</v>
      </c>
      <c r="Q2084" s="84"/>
      <c r="R2084" s="30" t="s">
        <v>1878</v>
      </c>
      <c r="S2084" s="30" t="s">
        <v>38</v>
      </c>
      <c r="T2084" s="30" t="s">
        <v>1879</v>
      </c>
      <c r="U2084" s="31">
        <v>0.84745762711864414</v>
      </c>
      <c r="V2084" s="82">
        <v>0.4</v>
      </c>
      <c r="W2084" s="30" t="s">
        <v>160</v>
      </c>
      <c r="X2084" s="30" t="s">
        <v>38</v>
      </c>
      <c r="Y2084" s="30" t="s">
        <v>39</v>
      </c>
      <c r="Z2084" s="31">
        <v>0.90909090909090906</v>
      </c>
      <c r="AA2084" s="82">
        <v>0.4</v>
      </c>
      <c r="AB2084" s="73" t="s">
        <v>411</v>
      </c>
      <c r="AC2084" s="30" t="s">
        <v>38</v>
      </c>
      <c r="AD2084" s="30" t="s">
        <v>42</v>
      </c>
      <c r="AE2084" s="61">
        <v>2.5</v>
      </c>
      <c r="AF2084" s="84">
        <v>0.2</v>
      </c>
      <c r="AG2084" s="31">
        <v>0</v>
      </c>
      <c r="AH2084" t="s">
        <v>44</v>
      </c>
    </row>
    <row r="2085" spans="1:34" s="6" customFormat="1">
      <c r="A2085" s="18" t="s">
        <v>2195</v>
      </c>
      <c r="B2085" s="86" t="s">
        <v>1220</v>
      </c>
      <c r="C2085" s="42" t="s">
        <v>1905</v>
      </c>
      <c r="D2085" s="6" t="s">
        <v>41</v>
      </c>
      <c r="E2085" s="28" t="s">
        <v>1879</v>
      </c>
      <c r="F2085" s="29">
        <v>0.51020408163265307</v>
      </c>
      <c r="G2085" s="83">
        <v>0.66666666666666663</v>
      </c>
      <c r="H2085" s="42" t="s">
        <v>1911</v>
      </c>
      <c r="I2085" s="6" t="s">
        <v>41</v>
      </c>
      <c r="J2085" s="28" t="s">
        <v>39</v>
      </c>
      <c r="K2085" s="29">
        <v>0.77519379844961234</v>
      </c>
      <c r="L2085" s="83">
        <v>0.33333333333333331</v>
      </c>
      <c r="M2085" s="74"/>
      <c r="N2085" s="28"/>
      <c r="O2085" s="28"/>
      <c r="P2085" s="29"/>
      <c r="Q2085" s="85"/>
      <c r="R2085" s="91" t="s">
        <v>212</v>
      </c>
      <c r="S2085" s="28" t="s">
        <v>41</v>
      </c>
      <c r="T2085" s="28" t="s">
        <v>39</v>
      </c>
      <c r="U2085" s="29">
        <v>0.92592592592592582</v>
      </c>
      <c r="V2085" s="83">
        <v>0.5</v>
      </c>
      <c r="W2085" s="91" t="s">
        <v>1906</v>
      </c>
      <c r="X2085" s="28" t="s">
        <v>41</v>
      </c>
      <c r="Y2085" s="28" t="s">
        <v>42</v>
      </c>
      <c r="Z2085" s="29">
        <v>0.9009009009009008</v>
      </c>
      <c r="AA2085" s="83">
        <v>0.5</v>
      </c>
      <c r="AB2085" s="74"/>
      <c r="AC2085" s="28"/>
      <c r="AD2085" s="28"/>
      <c r="AE2085" s="28"/>
      <c r="AF2085" s="85"/>
      <c r="AG2085" s="97">
        <v>0</v>
      </c>
      <c r="AH2085" s="6" t="s">
        <v>44</v>
      </c>
    </row>
    <row r="2086" spans="1:34">
      <c r="A2086" s="15" t="s">
        <v>2196</v>
      </c>
      <c r="B2086" s="12" t="s">
        <v>1220</v>
      </c>
      <c r="C2086" s="43" t="s">
        <v>1911</v>
      </c>
      <c r="D2086" t="s">
        <v>41</v>
      </c>
      <c r="E2086" s="30" t="s">
        <v>39</v>
      </c>
      <c r="F2086" s="31">
        <v>0.77519379844961234</v>
      </c>
      <c r="G2086" s="82">
        <v>1</v>
      </c>
      <c r="L2086" s="82"/>
      <c r="Q2086" s="84"/>
      <c r="R2086" s="92" t="s">
        <v>1906</v>
      </c>
      <c r="S2086" s="30" t="s">
        <v>41</v>
      </c>
      <c r="T2086" s="30" t="s">
        <v>42</v>
      </c>
      <c r="U2086" s="31">
        <v>0.9009009009009008</v>
      </c>
      <c r="V2086" s="82">
        <v>1</v>
      </c>
      <c r="AA2086" s="82"/>
      <c r="AF2086" s="84"/>
      <c r="AG2086" s="31">
        <v>0</v>
      </c>
      <c r="AH2086" t="s">
        <v>44</v>
      </c>
    </row>
    <row r="2087" spans="1:34">
      <c r="A2087" s="15" t="s">
        <v>2197</v>
      </c>
      <c r="B2087" s="12" t="s">
        <v>1220</v>
      </c>
      <c r="C2087" s="43" t="s">
        <v>1916</v>
      </c>
      <c r="D2087" t="s">
        <v>41</v>
      </c>
      <c r="E2087" s="30" t="s">
        <v>39</v>
      </c>
      <c r="F2087" s="31">
        <v>0.71942446043165476</v>
      </c>
      <c r="G2087" s="82">
        <v>0.33333333333333331</v>
      </c>
      <c r="H2087" s="43" t="s">
        <v>2085</v>
      </c>
      <c r="I2087" t="s">
        <v>41</v>
      </c>
      <c r="J2087" s="30" t="s">
        <v>2086</v>
      </c>
      <c r="K2087" s="31">
        <v>0.58823529411764708</v>
      </c>
      <c r="L2087" s="82">
        <v>0.33333333333333331</v>
      </c>
      <c r="M2087" s="43" t="s">
        <v>1911</v>
      </c>
      <c r="N2087" t="s">
        <v>41</v>
      </c>
      <c r="O2087" s="30" t="s">
        <v>39</v>
      </c>
      <c r="P2087" s="31">
        <v>0.77519379844961234</v>
      </c>
      <c r="Q2087" s="84">
        <v>0.33333333333333331</v>
      </c>
      <c r="R2087" s="30" t="s">
        <v>1906</v>
      </c>
      <c r="S2087" s="30" t="s">
        <v>41</v>
      </c>
      <c r="T2087" s="30" t="s">
        <v>42</v>
      </c>
      <c r="U2087" s="31">
        <v>0.9009009009009008</v>
      </c>
      <c r="V2087" s="82">
        <v>1</v>
      </c>
      <c r="AA2087" s="82"/>
      <c r="AF2087" s="84"/>
      <c r="AG2087" s="31">
        <v>0</v>
      </c>
      <c r="AH2087" t="s">
        <v>44</v>
      </c>
    </row>
    <row r="2088" spans="1:34">
      <c r="A2088" s="15" t="s">
        <v>2198</v>
      </c>
      <c r="B2088" s="12" t="s">
        <v>1220</v>
      </c>
      <c r="C2088" s="43" t="s">
        <v>2085</v>
      </c>
      <c r="D2088" t="s">
        <v>41</v>
      </c>
      <c r="E2088" s="30" t="s">
        <v>2086</v>
      </c>
      <c r="F2088" s="31">
        <v>0.58823529411764708</v>
      </c>
      <c r="G2088" s="82">
        <v>0.66666666666666663</v>
      </c>
      <c r="H2088" s="43" t="s">
        <v>227</v>
      </c>
      <c r="I2088" t="s">
        <v>41</v>
      </c>
      <c r="J2088" s="30" t="s">
        <v>42</v>
      </c>
      <c r="K2088" s="31">
        <v>0.94339622641509424</v>
      </c>
      <c r="L2088" s="82">
        <v>0.33333333333333331</v>
      </c>
      <c r="M2088" s="43"/>
      <c r="N2088"/>
      <c r="Q2088" s="84"/>
      <c r="R2088" s="30" t="s">
        <v>2088</v>
      </c>
      <c r="S2088" s="30" t="s">
        <v>41</v>
      </c>
      <c r="T2088" s="30" t="s">
        <v>42</v>
      </c>
      <c r="U2088" s="31">
        <v>1.1904761904761905</v>
      </c>
      <c r="V2088" s="82">
        <v>0.5</v>
      </c>
      <c r="W2088" s="30" t="s">
        <v>1906</v>
      </c>
      <c r="X2088" s="30" t="s">
        <v>41</v>
      </c>
      <c r="Y2088" s="30" t="s">
        <v>42</v>
      </c>
      <c r="Z2088" s="31">
        <v>0.9009009009009008</v>
      </c>
      <c r="AA2088" s="82">
        <v>0.25</v>
      </c>
      <c r="AB2088" s="30" t="s">
        <v>1908</v>
      </c>
      <c r="AC2088" s="30" t="s">
        <v>41</v>
      </c>
      <c r="AD2088" s="30" t="s">
        <v>39</v>
      </c>
      <c r="AE2088" s="31">
        <v>0.7407407407407407</v>
      </c>
      <c r="AF2088" s="84">
        <v>0.25</v>
      </c>
      <c r="AG2088" s="31">
        <v>0.4</v>
      </c>
      <c r="AH2088" t="s">
        <v>2009</v>
      </c>
    </row>
    <row r="2089" spans="1:34">
      <c r="A2089" s="15" t="s">
        <v>2199</v>
      </c>
      <c r="B2089" s="12" t="s">
        <v>1220</v>
      </c>
      <c r="C2089" s="43" t="s">
        <v>2154</v>
      </c>
      <c r="D2089" t="s">
        <v>38</v>
      </c>
      <c r="E2089" s="30" t="s">
        <v>42</v>
      </c>
      <c r="F2089" s="31">
        <v>3.8461538461538458</v>
      </c>
      <c r="G2089" s="82">
        <v>0.5</v>
      </c>
      <c r="H2089" s="43" t="s">
        <v>227</v>
      </c>
      <c r="I2089" t="s">
        <v>41</v>
      </c>
      <c r="J2089" s="30" t="s">
        <v>42</v>
      </c>
      <c r="K2089" s="31">
        <v>0.94339622641509424</v>
      </c>
      <c r="L2089" s="82">
        <v>0.5</v>
      </c>
      <c r="Q2089" s="84"/>
      <c r="R2089" s="30" t="s">
        <v>2088</v>
      </c>
      <c r="S2089" s="30" t="s">
        <v>41</v>
      </c>
      <c r="T2089" s="30" t="s">
        <v>42</v>
      </c>
      <c r="U2089" s="31">
        <v>1.1904761904761905</v>
      </c>
      <c r="V2089" s="82">
        <v>0.6</v>
      </c>
      <c r="W2089" s="30" t="s">
        <v>1906</v>
      </c>
      <c r="X2089" s="30" t="s">
        <v>41</v>
      </c>
      <c r="Y2089" s="30" t="s">
        <v>42</v>
      </c>
      <c r="Z2089" s="31">
        <v>0.9009009009009008</v>
      </c>
      <c r="AA2089" s="82">
        <v>0.2</v>
      </c>
      <c r="AB2089" s="30" t="s">
        <v>212</v>
      </c>
      <c r="AC2089" s="30" t="s">
        <v>41</v>
      </c>
      <c r="AD2089" s="30" t="s">
        <v>39</v>
      </c>
      <c r="AE2089" s="31">
        <v>0.92592592592592582</v>
      </c>
      <c r="AF2089" s="84">
        <v>0.2</v>
      </c>
      <c r="AG2089" s="31">
        <v>1</v>
      </c>
      <c r="AH2089" t="s">
        <v>73</v>
      </c>
    </row>
    <row r="2090" spans="1:34">
      <c r="A2090" s="15" t="s">
        <v>2200</v>
      </c>
      <c r="B2090" s="12" t="s">
        <v>1220</v>
      </c>
      <c r="C2090" s="43" t="s">
        <v>2154</v>
      </c>
      <c r="D2090" t="s">
        <v>38</v>
      </c>
      <c r="E2090" s="30" t="s">
        <v>42</v>
      </c>
      <c r="F2090" s="31">
        <v>3.8461538461538458</v>
      </c>
      <c r="G2090" s="82">
        <v>1</v>
      </c>
      <c r="L2090" s="82"/>
      <c r="Q2090" s="84"/>
      <c r="R2090" s="30" t="s">
        <v>2088</v>
      </c>
      <c r="S2090" s="30" t="s">
        <v>41</v>
      </c>
      <c r="T2090" s="30" t="s">
        <v>42</v>
      </c>
      <c r="U2090" s="31">
        <v>1.1904761904761905</v>
      </c>
      <c r="V2090" s="82">
        <v>0.6</v>
      </c>
      <c r="W2090" s="30" t="s">
        <v>1906</v>
      </c>
      <c r="X2090" s="30" t="s">
        <v>41</v>
      </c>
      <c r="Y2090" s="30" t="s">
        <v>42</v>
      </c>
      <c r="Z2090" s="31">
        <v>0.9009009009009008</v>
      </c>
      <c r="AA2090" s="82">
        <v>0.2</v>
      </c>
      <c r="AB2090" s="30" t="s">
        <v>43</v>
      </c>
      <c r="AC2090" s="30" t="s">
        <v>38</v>
      </c>
      <c r="AD2090" s="30" t="s">
        <v>39</v>
      </c>
      <c r="AE2090" s="31">
        <v>0.84745762711864414</v>
      </c>
      <c r="AF2090" s="84">
        <v>0.2</v>
      </c>
      <c r="AG2090" s="31">
        <v>1</v>
      </c>
      <c r="AH2090" t="s">
        <v>73</v>
      </c>
    </row>
    <row r="2091" spans="1:34">
      <c r="A2091" s="15" t="s">
        <v>2201</v>
      </c>
      <c r="B2091" s="12" t="s">
        <v>1220</v>
      </c>
      <c r="C2091" s="43" t="s">
        <v>161</v>
      </c>
      <c r="D2091" t="s">
        <v>38</v>
      </c>
      <c r="E2091" s="30" t="s">
        <v>39</v>
      </c>
      <c r="F2091" s="31">
        <v>0.81300813008130079</v>
      </c>
      <c r="G2091" s="82">
        <v>1</v>
      </c>
      <c r="L2091" s="82"/>
      <c r="Q2091" s="84"/>
      <c r="R2091" s="30" t="s">
        <v>1908</v>
      </c>
      <c r="S2091" s="30" t="s">
        <v>41</v>
      </c>
      <c r="T2091" s="30" t="s">
        <v>39</v>
      </c>
      <c r="U2091" s="31">
        <v>0.7407407407407407</v>
      </c>
      <c r="V2091" s="82">
        <v>0.5</v>
      </c>
      <c r="W2091" s="30" t="s">
        <v>1906</v>
      </c>
      <c r="X2091" s="30" t="s">
        <v>41</v>
      </c>
      <c r="Y2091" s="30" t="s">
        <v>42</v>
      </c>
      <c r="Z2091" s="31">
        <v>0.9009009009009008</v>
      </c>
      <c r="AA2091" s="82">
        <v>0.5</v>
      </c>
      <c r="AB2091" s="30"/>
      <c r="AE2091" s="31"/>
      <c r="AF2091" s="84"/>
      <c r="AG2091" s="31">
        <v>0</v>
      </c>
      <c r="AH2091" t="s">
        <v>44</v>
      </c>
    </row>
    <row r="2092" spans="1:34">
      <c r="A2092" s="15" t="s">
        <v>2202</v>
      </c>
      <c r="B2092" s="12" t="s">
        <v>1220</v>
      </c>
      <c r="C2092" s="43" t="s">
        <v>161</v>
      </c>
      <c r="D2092" t="s">
        <v>38</v>
      </c>
      <c r="E2092" s="30" t="s">
        <v>39</v>
      </c>
      <c r="F2092" s="31">
        <v>0.81300813008130079</v>
      </c>
      <c r="G2092" s="82">
        <v>0.5</v>
      </c>
      <c r="H2092" s="43" t="s">
        <v>2203</v>
      </c>
      <c r="I2092" t="s">
        <v>409</v>
      </c>
      <c r="J2092" s="30" t="s">
        <v>39</v>
      </c>
      <c r="K2092" s="31">
        <v>0.69930069930069938</v>
      </c>
      <c r="L2092" s="82">
        <v>0.5</v>
      </c>
      <c r="Q2092" s="84"/>
      <c r="R2092" s="30" t="s">
        <v>1906</v>
      </c>
      <c r="S2092" s="30" t="s">
        <v>41</v>
      </c>
      <c r="T2092" s="30" t="s">
        <v>42</v>
      </c>
      <c r="U2092" s="31">
        <v>0.9009009009009008</v>
      </c>
      <c r="V2092" s="82">
        <v>0.75</v>
      </c>
      <c r="W2092" s="30" t="s">
        <v>1908</v>
      </c>
      <c r="X2092" s="30" t="s">
        <v>41</v>
      </c>
      <c r="Y2092" s="30" t="s">
        <v>39</v>
      </c>
      <c r="Z2092" s="31">
        <v>0.7407407407407407</v>
      </c>
      <c r="AA2092" s="82">
        <v>0.25</v>
      </c>
      <c r="AB2092" s="30"/>
      <c r="AE2092" s="31"/>
      <c r="AF2092" s="84"/>
      <c r="AG2092" s="31">
        <v>0</v>
      </c>
      <c r="AH2092" t="s">
        <v>44</v>
      </c>
    </row>
    <row r="2093" spans="1:34">
      <c r="A2093" s="15" t="s">
        <v>2204</v>
      </c>
      <c r="B2093" s="12" t="s">
        <v>1220</v>
      </c>
      <c r="C2093" s="43" t="s">
        <v>37</v>
      </c>
      <c r="D2093" t="s">
        <v>38</v>
      </c>
      <c r="E2093" s="30" t="s">
        <v>39</v>
      </c>
      <c r="F2093" s="31">
        <v>0.94339622641509424</v>
      </c>
      <c r="G2093" s="82">
        <v>0.5</v>
      </c>
      <c r="H2093" s="43" t="s">
        <v>161</v>
      </c>
      <c r="I2093" t="s">
        <v>38</v>
      </c>
      <c r="J2093" s="30" t="s">
        <v>39</v>
      </c>
      <c r="K2093" s="31">
        <v>0.81300813008130079</v>
      </c>
      <c r="L2093" s="82">
        <v>0.25</v>
      </c>
      <c r="M2093" s="43" t="s">
        <v>2203</v>
      </c>
      <c r="N2093" t="s">
        <v>409</v>
      </c>
      <c r="O2093" s="30" t="s">
        <v>39</v>
      </c>
      <c r="P2093" s="31">
        <v>0.69930069930069938</v>
      </c>
      <c r="Q2093" s="82">
        <v>0.25</v>
      </c>
      <c r="R2093" s="92" t="s">
        <v>1906</v>
      </c>
      <c r="S2093" s="30" t="s">
        <v>41</v>
      </c>
      <c r="T2093" s="30" t="s">
        <v>42</v>
      </c>
      <c r="U2093" s="31">
        <v>0.9009009009009008</v>
      </c>
      <c r="V2093" s="82">
        <v>1</v>
      </c>
      <c r="AA2093" s="82"/>
      <c r="AF2093" s="84"/>
      <c r="AG2093" s="31">
        <v>0</v>
      </c>
      <c r="AH2093" t="s">
        <v>44</v>
      </c>
    </row>
    <row r="2094" spans="1:34">
      <c r="A2094" s="15" t="s">
        <v>2205</v>
      </c>
      <c r="B2094" s="12" t="s">
        <v>1220</v>
      </c>
      <c r="C2094" s="43" t="s">
        <v>227</v>
      </c>
      <c r="D2094" t="s">
        <v>41</v>
      </c>
      <c r="E2094" s="30" t="s">
        <v>42</v>
      </c>
      <c r="F2094" s="31">
        <v>0.94339622641509424</v>
      </c>
      <c r="G2094" s="82">
        <v>0.66666666666666663</v>
      </c>
      <c r="H2094" s="43" t="s">
        <v>161</v>
      </c>
      <c r="I2094" t="s">
        <v>38</v>
      </c>
      <c r="J2094" s="30" t="s">
        <v>39</v>
      </c>
      <c r="K2094" s="31">
        <v>0.81300813008130079</v>
      </c>
      <c r="L2094" s="82">
        <v>0.33333333333333331</v>
      </c>
      <c r="Q2094" s="84"/>
      <c r="R2094" s="92" t="s">
        <v>1906</v>
      </c>
      <c r="S2094" s="30" t="s">
        <v>41</v>
      </c>
      <c r="T2094" s="30" t="s">
        <v>42</v>
      </c>
      <c r="U2094" s="31">
        <v>0.9009009009009008</v>
      </c>
      <c r="V2094" s="82">
        <v>1</v>
      </c>
      <c r="AA2094" s="82"/>
      <c r="AF2094" s="84"/>
      <c r="AG2094" s="31">
        <v>0</v>
      </c>
      <c r="AH2094" t="s">
        <v>44</v>
      </c>
    </row>
    <row r="2095" spans="1:34">
      <c r="A2095" s="15" t="s">
        <v>2206</v>
      </c>
      <c r="B2095" s="12" t="s">
        <v>1220</v>
      </c>
      <c r="C2095" s="43" t="s">
        <v>37</v>
      </c>
      <c r="D2095" t="s">
        <v>38</v>
      </c>
      <c r="E2095" s="30" t="s">
        <v>39</v>
      </c>
      <c r="F2095" s="31">
        <v>0.94339622641509424</v>
      </c>
      <c r="G2095" s="82">
        <v>0.5</v>
      </c>
      <c r="H2095" s="43" t="s">
        <v>161</v>
      </c>
      <c r="I2095" t="s">
        <v>38</v>
      </c>
      <c r="J2095" s="30" t="s">
        <v>39</v>
      </c>
      <c r="K2095" s="31">
        <v>0.81300813008130079</v>
      </c>
      <c r="L2095" s="82">
        <v>0.5</v>
      </c>
      <c r="Q2095" s="84"/>
      <c r="R2095" s="92" t="s">
        <v>1906</v>
      </c>
      <c r="S2095" s="30" t="s">
        <v>41</v>
      </c>
      <c r="T2095" s="30" t="s">
        <v>42</v>
      </c>
      <c r="U2095" s="31">
        <v>0.9009009009009008</v>
      </c>
      <c r="V2095" s="82">
        <v>1</v>
      </c>
      <c r="AA2095" s="82"/>
      <c r="AF2095" s="84"/>
      <c r="AG2095" s="31">
        <v>0</v>
      </c>
      <c r="AH2095" t="s">
        <v>44</v>
      </c>
    </row>
    <row r="2096" spans="1:34">
      <c r="A2096" s="15" t="s">
        <v>2207</v>
      </c>
      <c r="B2096" s="12" t="s">
        <v>1220</v>
      </c>
      <c r="C2096" s="43" t="s">
        <v>37</v>
      </c>
      <c r="D2096" t="s">
        <v>38</v>
      </c>
      <c r="E2096" s="30" t="s">
        <v>39</v>
      </c>
      <c r="F2096" s="31">
        <v>0.94339622641509424</v>
      </c>
      <c r="G2096" s="82">
        <v>1</v>
      </c>
      <c r="L2096" s="82"/>
      <c r="Q2096" s="84"/>
      <c r="R2096" s="30" t="s">
        <v>1906</v>
      </c>
      <c r="S2096" s="30" t="s">
        <v>41</v>
      </c>
      <c r="T2096" s="30" t="s">
        <v>42</v>
      </c>
      <c r="U2096" s="31">
        <v>0.9009009009009008</v>
      </c>
      <c r="V2096" s="82">
        <v>1</v>
      </c>
      <c r="AA2096" s="82"/>
      <c r="AF2096" s="84"/>
      <c r="AG2096" s="31">
        <v>0</v>
      </c>
      <c r="AH2096" t="s">
        <v>44</v>
      </c>
    </row>
    <row r="2097" spans="1:34">
      <c r="A2097" s="15" t="s">
        <v>2208</v>
      </c>
      <c r="B2097" s="12" t="s">
        <v>1220</v>
      </c>
      <c r="C2097" s="43" t="s">
        <v>1911</v>
      </c>
      <c r="D2097" t="s">
        <v>41</v>
      </c>
      <c r="E2097" s="30" t="s">
        <v>39</v>
      </c>
      <c r="F2097" s="31">
        <v>0.77519379844961234</v>
      </c>
      <c r="G2097" s="82">
        <v>1</v>
      </c>
      <c r="L2097" s="82"/>
      <c r="Q2097" s="84"/>
      <c r="R2097" s="30" t="s">
        <v>1908</v>
      </c>
      <c r="S2097" s="30" t="s">
        <v>41</v>
      </c>
      <c r="T2097" s="30" t="s">
        <v>39</v>
      </c>
      <c r="U2097" s="31">
        <v>0.7407407407407407</v>
      </c>
      <c r="V2097" s="82">
        <v>1</v>
      </c>
      <c r="AA2097" s="82"/>
      <c r="AF2097" s="84"/>
      <c r="AG2097" s="31">
        <v>0</v>
      </c>
      <c r="AH2097" t="s">
        <v>44</v>
      </c>
    </row>
    <row r="2098" spans="1:34">
      <c r="A2098" s="15" t="s">
        <v>2209</v>
      </c>
      <c r="B2098" s="12" t="s">
        <v>1220</v>
      </c>
      <c r="C2098" s="43" t="s">
        <v>1911</v>
      </c>
      <c r="D2098" t="s">
        <v>41</v>
      </c>
      <c r="E2098" s="30" t="s">
        <v>39</v>
      </c>
      <c r="F2098" s="31">
        <v>0.77519379844961234</v>
      </c>
      <c r="G2098" s="82">
        <v>0.5</v>
      </c>
      <c r="H2098" s="43" t="s">
        <v>1878</v>
      </c>
      <c r="I2098" t="s">
        <v>38</v>
      </c>
      <c r="J2098" s="30" t="s">
        <v>1879</v>
      </c>
      <c r="K2098" s="31">
        <v>0.81300813008130079</v>
      </c>
      <c r="L2098" s="82">
        <v>0.5</v>
      </c>
      <c r="Q2098" s="84"/>
      <c r="R2098" s="30" t="s">
        <v>1908</v>
      </c>
      <c r="S2098" s="30" t="s">
        <v>41</v>
      </c>
      <c r="T2098" s="30" t="s">
        <v>39</v>
      </c>
      <c r="U2098" s="31">
        <v>0.7407407407407407</v>
      </c>
      <c r="V2098" s="82">
        <v>0.5</v>
      </c>
      <c r="W2098" s="30" t="s">
        <v>1906</v>
      </c>
      <c r="X2098" s="30" t="s">
        <v>41</v>
      </c>
      <c r="Y2098" s="30" t="s">
        <v>42</v>
      </c>
      <c r="Z2098" s="31">
        <v>0.9009009009009008</v>
      </c>
      <c r="AA2098" s="82">
        <v>0.5</v>
      </c>
      <c r="AF2098" s="84"/>
      <c r="AG2098" s="31">
        <v>0</v>
      </c>
      <c r="AH2098" t="s">
        <v>44</v>
      </c>
    </row>
    <row r="2099" spans="1:34">
      <c r="A2099" s="15" t="s">
        <v>2210</v>
      </c>
      <c r="B2099" s="12" t="s">
        <v>1220</v>
      </c>
      <c r="C2099" s="43" t="s">
        <v>212</v>
      </c>
      <c r="D2099" t="s">
        <v>41</v>
      </c>
      <c r="E2099" s="30" t="s">
        <v>39</v>
      </c>
      <c r="F2099" s="31">
        <v>0.92592592592592582</v>
      </c>
      <c r="G2099" s="82">
        <v>0.66666666666666663</v>
      </c>
      <c r="H2099" s="43" t="s">
        <v>1878</v>
      </c>
      <c r="I2099" t="s">
        <v>38</v>
      </c>
      <c r="J2099" s="30" t="s">
        <v>1879</v>
      </c>
      <c r="K2099" s="31">
        <v>0.81300813008130079</v>
      </c>
      <c r="L2099" s="82">
        <v>0.33333333333333331</v>
      </c>
      <c r="Q2099" s="84"/>
      <c r="R2099" s="30" t="s">
        <v>1908</v>
      </c>
      <c r="S2099" s="30" t="s">
        <v>41</v>
      </c>
      <c r="T2099" s="30" t="s">
        <v>39</v>
      </c>
      <c r="U2099" s="31">
        <v>0.7407407407407407</v>
      </c>
      <c r="V2099" s="82">
        <v>0.66666666666666663</v>
      </c>
      <c r="W2099" s="30" t="s">
        <v>1906</v>
      </c>
      <c r="X2099" s="30" t="s">
        <v>41</v>
      </c>
      <c r="Y2099" s="30" t="s">
        <v>42</v>
      </c>
      <c r="Z2099" s="31">
        <v>0.9009009009009008</v>
      </c>
      <c r="AA2099" s="82">
        <v>0.33333333333333331</v>
      </c>
      <c r="AF2099" s="84"/>
      <c r="AG2099" s="31">
        <v>0</v>
      </c>
      <c r="AH2099" t="s">
        <v>44</v>
      </c>
    </row>
    <row r="2100" spans="1:34">
      <c r="A2100" s="15" t="s">
        <v>2211</v>
      </c>
      <c r="B2100" s="12" t="s">
        <v>1220</v>
      </c>
      <c r="C2100" s="43" t="s">
        <v>212</v>
      </c>
      <c r="D2100" t="s">
        <v>41</v>
      </c>
      <c r="E2100" s="30" t="s">
        <v>39</v>
      </c>
      <c r="F2100" s="31">
        <v>0.92592592592592582</v>
      </c>
      <c r="G2100" s="82">
        <v>1</v>
      </c>
      <c r="L2100" s="82"/>
      <c r="Q2100" s="84"/>
      <c r="R2100" s="30" t="s">
        <v>1908</v>
      </c>
      <c r="S2100" s="30" t="s">
        <v>41</v>
      </c>
      <c r="T2100" s="30" t="s">
        <v>39</v>
      </c>
      <c r="U2100" s="31">
        <v>0.7407407407407407</v>
      </c>
      <c r="V2100" s="82">
        <v>1</v>
      </c>
      <c r="AA2100" s="82"/>
      <c r="AF2100" s="84"/>
      <c r="AG2100" s="31">
        <v>0</v>
      </c>
      <c r="AH2100" t="s">
        <v>44</v>
      </c>
    </row>
    <row r="2101" spans="1:34">
      <c r="A2101" s="15" t="s">
        <v>2212</v>
      </c>
      <c r="B2101" s="12" t="s">
        <v>1220</v>
      </c>
      <c r="C2101" s="43" t="s">
        <v>212</v>
      </c>
      <c r="D2101" t="s">
        <v>41</v>
      </c>
      <c r="E2101" s="30" t="s">
        <v>39</v>
      </c>
      <c r="F2101" s="31">
        <v>0.92592592592592582</v>
      </c>
      <c r="G2101" s="82">
        <v>1</v>
      </c>
      <c r="L2101" s="82"/>
      <c r="Q2101" s="84"/>
      <c r="R2101" s="30" t="s">
        <v>1908</v>
      </c>
      <c r="S2101" s="30" t="s">
        <v>41</v>
      </c>
      <c r="T2101" s="30" t="s">
        <v>39</v>
      </c>
      <c r="U2101" s="31">
        <v>0.7407407407407407</v>
      </c>
      <c r="V2101" s="82">
        <v>0.5</v>
      </c>
      <c r="W2101" s="30" t="s">
        <v>212</v>
      </c>
      <c r="X2101" s="30" t="s">
        <v>41</v>
      </c>
      <c r="Y2101" s="30" t="s">
        <v>39</v>
      </c>
      <c r="Z2101" s="31">
        <v>0.92592592592592582</v>
      </c>
      <c r="AA2101" s="82">
        <v>0.5</v>
      </c>
      <c r="AF2101" s="84"/>
      <c r="AG2101" s="31">
        <v>0</v>
      </c>
      <c r="AH2101" t="s">
        <v>44</v>
      </c>
    </row>
    <row r="2102" spans="1:34">
      <c r="A2102" s="15" t="s">
        <v>2213</v>
      </c>
      <c r="B2102" s="12" t="s">
        <v>1220</v>
      </c>
      <c r="C2102" s="43" t="s">
        <v>212</v>
      </c>
      <c r="D2102" t="s">
        <v>41</v>
      </c>
      <c r="E2102" s="30" t="s">
        <v>39</v>
      </c>
      <c r="F2102" s="31">
        <v>0.92592592592592582</v>
      </c>
      <c r="G2102" s="82">
        <v>1</v>
      </c>
      <c r="L2102" s="82"/>
      <c r="Q2102" s="84"/>
      <c r="R2102" s="30" t="s">
        <v>212</v>
      </c>
      <c r="S2102" s="30" t="s">
        <v>41</v>
      </c>
      <c r="T2102" s="30" t="s">
        <v>39</v>
      </c>
      <c r="U2102" s="31">
        <v>0.92592592592592582</v>
      </c>
      <c r="V2102" s="82">
        <v>1</v>
      </c>
      <c r="AA2102" s="82"/>
      <c r="AF2102" s="84"/>
      <c r="AG2102" s="31">
        <v>0</v>
      </c>
      <c r="AH2102" t="s">
        <v>44</v>
      </c>
    </row>
    <row r="2103" spans="1:34" s="6" customFormat="1">
      <c r="A2103" s="18" t="s">
        <v>2214</v>
      </c>
      <c r="B2103" s="19" t="s">
        <v>1277</v>
      </c>
      <c r="C2103" s="42" t="s">
        <v>2032</v>
      </c>
      <c r="D2103" s="6" t="s">
        <v>38</v>
      </c>
      <c r="E2103" s="28" t="s">
        <v>1879</v>
      </c>
      <c r="F2103" s="29">
        <v>0.9009009009009008</v>
      </c>
      <c r="G2103" s="83">
        <v>0.75</v>
      </c>
      <c r="H2103" s="42" t="s">
        <v>410</v>
      </c>
      <c r="I2103" s="28" t="s">
        <v>38</v>
      </c>
      <c r="J2103" s="28" t="s">
        <v>42</v>
      </c>
      <c r="K2103" s="29">
        <v>3.2258064516129035</v>
      </c>
      <c r="L2103" s="83">
        <v>0.25</v>
      </c>
      <c r="M2103" s="74"/>
      <c r="N2103" s="28"/>
      <c r="O2103" s="28"/>
      <c r="P2103" s="29"/>
      <c r="Q2103" s="85"/>
      <c r="R2103" s="54" t="s">
        <v>1878</v>
      </c>
      <c r="S2103" s="47" t="s">
        <v>38</v>
      </c>
      <c r="T2103" s="47" t="s">
        <v>1879</v>
      </c>
      <c r="U2103" s="48">
        <v>0.84745762711864414</v>
      </c>
      <c r="V2103" s="49">
        <v>0.4</v>
      </c>
      <c r="W2103" s="47" t="s">
        <v>160</v>
      </c>
      <c r="X2103" s="47" t="s">
        <v>38</v>
      </c>
      <c r="Y2103" s="47" t="s">
        <v>39</v>
      </c>
      <c r="Z2103" s="48">
        <v>0.90909090909090906</v>
      </c>
      <c r="AA2103" s="49">
        <v>0.4</v>
      </c>
      <c r="AB2103" s="47" t="s">
        <v>411</v>
      </c>
      <c r="AC2103" s="47" t="s">
        <v>38</v>
      </c>
      <c r="AD2103" s="47" t="s">
        <v>42</v>
      </c>
      <c r="AE2103" s="48">
        <v>2.5</v>
      </c>
      <c r="AF2103" s="50">
        <v>0.2</v>
      </c>
      <c r="AG2103" s="97">
        <v>0</v>
      </c>
      <c r="AH2103" s="6" t="s">
        <v>44</v>
      </c>
    </row>
    <row r="2104" spans="1:34">
      <c r="A2104" s="15" t="s">
        <v>2215</v>
      </c>
      <c r="B2104" s="12" t="s">
        <v>1277</v>
      </c>
      <c r="C2104" s="43" t="s">
        <v>2032</v>
      </c>
      <c r="D2104" t="s">
        <v>38</v>
      </c>
      <c r="E2104" s="30" t="s">
        <v>1879</v>
      </c>
      <c r="F2104" s="31">
        <v>0.9009009009009008</v>
      </c>
      <c r="G2104" s="82">
        <v>0.75</v>
      </c>
      <c r="H2104" s="30" t="s">
        <v>410</v>
      </c>
      <c r="I2104" s="30" t="s">
        <v>38</v>
      </c>
      <c r="J2104" s="30" t="s">
        <v>42</v>
      </c>
      <c r="K2104" s="31">
        <v>3.2258064516129035</v>
      </c>
      <c r="L2104" s="82">
        <v>0.25</v>
      </c>
      <c r="Q2104" s="84"/>
      <c r="R2104" s="55" t="s">
        <v>1878</v>
      </c>
      <c r="S2104" s="26" t="s">
        <v>38</v>
      </c>
      <c r="T2104" s="26" t="s">
        <v>1879</v>
      </c>
      <c r="U2104" s="27">
        <v>0.84745762711864414</v>
      </c>
      <c r="V2104" s="33">
        <v>0.4</v>
      </c>
      <c r="W2104" s="26" t="s">
        <v>160</v>
      </c>
      <c r="X2104" s="26" t="s">
        <v>38</v>
      </c>
      <c r="Y2104" s="26" t="s">
        <v>39</v>
      </c>
      <c r="Z2104" s="27">
        <v>0.90909090909090906</v>
      </c>
      <c r="AA2104" s="33">
        <v>0.4</v>
      </c>
      <c r="AB2104" s="73" t="s">
        <v>411</v>
      </c>
      <c r="AC2104" s="30" t="s">
        <v>38</v>
      </c>
      <c r="AD2104" s="30" t="s">
        <v>42</v>
      </c>
      <c r="AE2104" s="27">
        <v>2.5</v>
      </c>
      <c r="AF2104" s="84">
        <v>0.2</v>
      </c>
      <c r="AG2104" s="31">
        <v>0</v>
      </c>
      <c r="AH2104" t="s">
        <v>44</v>
      </c>
    </row>
    <row r="2105" spans="1:34">
      <c r="A2105" s="15" t="s">
        <v>2216</v>
      </c>
      <c r="B2105" s="12" t="s">
        <v>1277</v>
      </c>
      <c r="C2105" s="43" t="s">
        <v>2032</v>
      </c>
      <c r="D2105" t="s">
        <v>38</v>
      </c>
      <c r="E2105" s="30" t="s">
        <v>1879</v>
      </c>
      <c r="F2105" s="31">
        <v>0.9009009009009008</v>
      </c>
      <c r="G2105" s="82">
        <v>0.75</v>
      </c>
      <c r="H2105" s="30" t="s">
        <v>410</v>
      </c>
      <c r="I2105" s="30" t="s">
        <v>38</v>
      </c>
      <c r="J2105" s="30" t="s">
        <v>42</v>
      </c>
      <c r="K2105" s="31">
        <v>3.2258064516129035</v>
      </c>
      <c r="L2105" s="82">
        <v>0.25</v>
      </c>
      <c r="Q2105" s="84"/>
      <c r="R2105" s="30" t="s">
        <v>1878</v>
      </c>
      <c r="S2105" s="30" t="s">
        <v>38</v>
      </c>
      <c r="T2105" s="30" t="s">
        <v>1879</v>
      </c>
      <c r="U2105" s="31">
        <v>0.84745762711864414</v>
      </c>
      <c r="V2105" s="82">
        <v>0.4</v>
      </c>
      <c r="W2105" s="30" t="s">
        <v>160</v>
      </c>
      <c r="X2105" s="30" t="s">
        <v>38</v>
      </c>
      <c r="Y2105" s="30" t="s">
        <v>39</v>
      </c>
      <c r="Z2105" s="31">
        <v>0.90909090909090906</v>
      </c>
      <c r="AA2105" s="82">
        <v>0.4</v>
      </c>
      <c r="AB2105" s="73" t="s">
        <v>411</v>
      </c>
      <c r="AC2105" s="30" t="s">
        <v>38</v>
      </c>
      <c r="AD2105" s="30" t="s">
        <v>42</v>
      </c>
      <c r="AE2105" s="27">
        <v>2.5</v>
      </c>
      <c r="AF2105" s="84">
        <v>0.2</v>
      </c>
      <c r="AG2105" s="31">
        <v>0</v>
      </c>
      <c r="AH2105" t="s">
        <v>44</v>
      </c>
    </row>
    <row r="2106" spans="1:34">
      <c r="A2106" s="15" t="s">
        <v>2217</v>
      </c>
      <c r="B2106" s="12" t="s">
        <v>1277</v>
      </c>
      <c r="C2106" s="43" t="s">
        <v>2032</v>
      </c>
      <c r="D2106" t="s">
        <v>38</v>
      </c>
      <c r="E2106" s="30" t="s">
        <v>1879</v>
      </c>
      <c r="F2106" s="31">
        <v>0.9009009009009008</v>
      </c>
      <c r="G2106" s="82">
        <v>0.75</v>
      </c>
      <c r="H2106" s="30" t="s">
        <v>410</v>
      </c>
      <c r="I2106" s="30" t="s">
        <v>38</v>
      </c>
      <c r="J2106" s="30" t="s">
        <v>42</v>
      </c>
      <c r="K2106" s="31">
        <v>3.2258064516129035</v>
      </c>
      <c r="L2106" s="82">
        <v>0.25</v>
      </c>
      <c r="Q2106" s="84"/>
      <c r="R2106" s="30" t="s">
        <v>1878</v>
      </c>
      <c r="S2106" s="30" t="s">
        <v>38</v>
      </c>
      <c r="T2106" s="30" t="s">
        <v>1879</v>
      </c>
      <c r="U2106" s="31">
        <v>0.84745762711864414</v>
      </c>
      <c r="V2106" s="82">
        <v>0.4</v>
      </c>
      <c r="W2106" s="30" t="s">
        <v>160</v>
      </c>
      <c r="X2106" s="30" t="s">
        <v>38</v>
      </c>
      <c r="Y2106" s="30" t="s">
        <v>39</v>
      </c>
      <c r="Z2106" s="31">
        <v>0.90909090909090906</v>
      </c>
      <c r="AA2106" s="82">
        <v>0.4</v>
      </c>
      <c r="AB2106" s="73" t="s">
        <v>411</v>
      </c>
      <c r="AC2106" s="30" t="s">
        <v>38</v>
      </c>
      <c r="AD2106" s="30" t="s">
        <v>42</v>
      </c>
      <c r="AE2106" s="27">
        <v>2.5</v>
      </c>
      <c r="AF2106" s="84">
        <v>0.2</v>
      </c>
      <c r="AG2106" s="31">
        <v>0</v>
      </c>
      <c r="AH2106" t="s">
        <v>44</v>
      </c>
    </row>
    <row r="2107" spans="1:34">
      <c r="A2107" s="15" t="s">
        <v>2218</v>
      </c>
      <c r="B2107" s="12" t="s">
        <v>1277</v>
      </c>
      <c r="C2107" s="43" t="s">
        <v>2032</v>
      </c>
      <c r="D2107" t="s">
        <v>38</v>
      </c>
      <c r="E2107" s="30" t="s">
        <v>1879</v>
      </c>
      <c r="F2107" s="31">
        <v>0.9009009009009008</v>
      </c>
      <c r="G2107" s="82">
        <v>0.75</v>
      </c>
      <c r="H2107" s="30" t="s">
        <v>410</v>
      </c>
      <c r="I2107" s="30" t="s">
        <v>38</v>
      </c>
      <c r="J2107" s="30" t="s">
        <v>42</v>
      </c>
      <c r="K2107" s="31">
        <v>3.2258064516129035</v>
      </c>
      <c r="L2107" s="82">
        <v>0.25</v>
      </c>
      <c r="Q2107" s="84"/>
      <c r="R2107" s="30" t="s">
        <v>1878</v>
      </c>
      <c r="S2107" s="30" t="s">
        <v>38</v>
      </c>
      <c r="T2107" s="30" t="s">
        <v>1879</v>
      </c>
      <c r="U2107" s="31">
        <v>0.84745762711864414</v>
      </c>
      <c r="V2107" s="82">
        <v>0.4</v>
      </c>
      <c r="W2107" s="30" t="s">
        <v>160</v>
      </c>
      <c r="X2107" s="30" t="s">
        <v>38</v>
      </c>
      <c r="Y2107" s="30" t="s">
        <v>39</v>
      </c>
      <c r="Z2107" s="31">
        <v>0.90909090909090906</v>
      </c>
      <c r="AA2107" s="82">
        <v>0.4</v>
      </c>
      <c r="AB2107" s="73" t="s">
        <v>411</v>
      </c>
      <c r="AC2107" s="30" t="s">
        <v>38</v>
      </c>
      <c r="AD2107" s="30" t="s">
        <v>42</v>
      </c>
      <c r="AE2107" s="27">
        <v>2.5</v>
      </c>
      <c r="AF2107" s="84">
        <v>0.2</v>
      </c>
      <c r="AG2107" s="31">
        <v>0</v>
      </c>
      <c r="AH2107" t="s">
        <v>44</v>
      </c>
    </row>
    <row r="2108" spans="1:34">
      <c r="A2108" s="15" t="s">
        <v>2219</v>
      </c>
      <c r="B2108" s="12" t="s">
        <v>1277</v>
      </c>
      <c r="C2108" s="43" t="s">
        <v>2032</v>
      </c>
      <c r="D2108" t="s">
        <v>38</v>
      </c>
      <c r="E2108" s="30" t="s">
        <v>1879</v>
      </c>
      <c r="F2108" s="31">
        <v>0.9009009009009008</v>
      </c>
      <c r="G2108" s="82">
        <v>0.75</v>
      </c>
      <c r="H2108" s="30" t="s">
        <v>410</v>
      </c>
      <c r="I2108" s="30" t="s">
        <v>38</v>
      </c>
      <c r="J2108" s="30" t="s">
        <v>42</v>
      </c>
      <c r="K2108" s="31">
        <v>3.2258064516129035</v>
      </c>
      <c r="L2108" s="82">
        <v>0.25</v>
      </c>
      <c r="Q2108" s="84"/>
      <c r="R2108" s="30" t="s">
        <v>1878</v>
      </c>
      <c r="S2108" s="30" t="s">
        <v>38</v>
      </c>
      <c r="T2108" s="30" t="s">
        <v>1879</v>
      </c>
      <c r="U2108" s="31">
        <v>0.84745762711864414</v>
      </c>
      <c r="V2108" s="82">
        <v>0.4</v>
      </c>
      <c r="W2108" s="30" t="s">
        <v>160</v>
      </c>
      <c r="X2108" s="30" t="s">
        <v>38</v>
      </c>
      <c r="Y2108" s="30" t="s">
        <v>39</v>
      </c>
      <c r="Z2108" s="31">
        <v>0.90909090909090906</v>
      </c>
      <c r="AA2108" s="82">
        <v>0.4</v>
      </c>
      <c r="AB2108" s="73" t="s">
        <v>411</v>
      </c>
      <c r="AC2108" s="30" t="s">
        <v>38</v>
      </c>
      <c r="AD2108" s="30" t="s">
        <v>42</v>
      </c>
      <c r="AE2108" s="27">
        <v>2.5</v>
      </c>
      <c r="AF2108" s="84">
        <v>0.2</v>
      </c>
      <c r="AG2108" s="31">
        <v>0</v>
      </c>
      <c r="AH2108" t="s">
        <v>44</v>
      </c>
    </row>
    <row r="2109" spans="1:34">
      <c r="A2109" s="15" t="s">
        <v>2220</v>
      </c>
      <c r="B2109" s="12" t="s">
        <v>1277</v>
      </c>
      <c r="C2109" s="43" t="s">
        <v>2032</v>
      </c>
      <c r="D2109" t="s">
        <v>38</v>
      </c>
      <c r="E2109" s="30" t="s">
        <v>1879</v>
      </c>
      <c r="F2109" s="31">
        <v>0.9009009009009008</v>
      </c>
      <c r="G2109" s="82">
        <v>0.75</v>
      </c>
      <c r="H2109" s="30" t="s">
        <v>410</v>
      </c>
      <c r="I2109" s="30" t="s">
        <v>38</v>
      </c>
      <c r="J2109" s="30" t="s">
        <v>42</v>
      </c>
      <c r="K2109" s="31">
        <v>3.2258064516129035</v>
      </c>
      <c r="L2109" s="82">
        <v>0.25</v>
      </c>
      <c r="Q2109" s="84"/>
      <c r="R2109" s="30" t="s">
        <v>1878</v>
      </c>
      <c r="S2109" s="30" t="s">
        <v>38</v>
      </c>
      <c r="T2109" s="30" t="s">
        <v>1879</v>
      </c>
      <c r="U2109" s="31">
        <v>0.84745762711864414</v>
      </c>
      <c r="V2109" s="82">
        <v>0.4</v>
      </c>
      <c r="W2109" s="30" t="s">
        <v>160</v>
      </c>
      <c r="X2109" s="30" t="s">
        <v>38</v>
      </c>
      <c r="Y2109" s="30" t="s">
        <v>39</v>
      </c>
      <c r="Z2109" s="31">
        <v>0.90909090909090906</v>
      </c>
      <c r="AA2109" s="82">
        <v>0.4</v>
      </c>
      <c r="AB2109" s="73" t="s">
        <v>411</v>
      </c>
      <c r="AC2109" s="30" t="s">
        <v>38</v>
      </c>
      <c r="AD2109" s="30" t="s">
        <v>42</v>
      </c>
      <c r="AE2109" s="27">
        <v>2.5</v>
      </c>
      <c r="AF2109" s="84">
        <v>0.2</v>
      </c>
      <c r="AG2109" s="31">
        <v>0</v>
      </c>
      <c r="AH2109" t="s">
        <v>44</v>
      </c>
    </row>
    <row r="2110" spans="1:34">
      <c r="A2110" s="15" t="s">
        <v>2221</v>
      </c>
      <c r="B2110" s="12" t="s">
        <v>1277</v>
      </c>
      <c r="C2110" s="43" t="s">
        <v>2032</v>
      </c>
      <c r="D2110" t="s">
        <v>38</v>
      </c>
      <c r="E2110" s="30" t="s">
        <v>1879</v>
      </c>
      <c r="F2110" s="31">
        <v>0.9009009009009008</v>
      </c>
      <c r="G2110" s="82">
        <v>0.75</v>
      </c>
      <c r="H2110" s="30" t="s">
        <v>410</v>
      </c>
      <c r="I2110" s="30" t="s">
        <v>38</v>
      </c>
      <c r="J2110" s="30" t="s">
        <v>42</v>
      </c>
      <c r="K2110" s="31">
        <v>3.2258064516129035</v>
      </c>
      <c r="L2110" s="82">
        <v>0.25</v>
      </c>
      <c r="Q2110" s="84"/>
      <c r="R2110" s="30" t="s">
        <v>1878</v>
      </c>
      <c r="S2110" s="30" t="s">
        <v>38</v>
      </c>
      <c r="T2110" s="30" t="s">
        <v>1879</v>
      </c>
      <c r="U2110" s="31">
        <v>0.84745762711864414</v>
      </c>
      <c r="V2110" s="82">
        <v>0.4</v>
      </c>
      <c r="W2110" s="30" t="s">
        <v>160</v>
      </c>
      <c r="X2110" s="30" t="s">
        <v>38</v>
      </c>
      <c r="Y2110" s="30" t="s">
        <v>39</v>
      </c>
      <c r="Z2110" s="31">
        <v>0.90909090909090906</v>
      </c>
      <c r="AA2110" s="82">
        <v>0.4</v>
      </c>
      <c r="AB2110" s="73" t="s">
        <v>411</v>
      </c>
      <c r="AC2110" s="30" t="s">
        <v>38</v>
      </c>
      <c r="AD2110" s="30" t="s">
        <v>42</v>
      </c>
      <c r="AE2110" s="27">
        <v>2.5</v>
      </c>
      <c r="AF2110" s="84">
        <v>0.2</v>
      </c>
      <c r="AG2110" s="31">
        <v>0</v>
      </c>
      <c r="AH2110" t="s">
        <v>44</v>
      </c>
    </row>
    <row r="2111" spans="1:34">
      <c r="A2111" s="15" t="s">
        <v>2222</v>
      </c>
      <c r="B2111" s="12" t="s">
        <v>1277</v>
      </c>
      <c r="C2111" s="43" t="s">
        <v>2032</v>
      </c>
      <c r="D2111" t="s">
        <v>38</v>
      </c>
      <c r="E2111" s="30" t="s">
        <v>1879</v>
      </c>
      <c r="F2111" s="31">
        <v>0.9009009009009008</v>
      </c>
      <c r="G2111" s="82">
        <v>0.75</v>
      </c>
      <c r="H2111" s="30" t="s">
        <v>410</v>
      </c>
      <c r="I2111" s="30" t="s">
        <v>38</v>
      </c>
      <c r="J2111" s="30" t="s">
        <v>42</v>
      </c>
      <c r="K2111" s="31">
        <v>3.2258064516129035</v>
      </c>
      <c r="L2111" s="82">
        <v>0.25</v>
      </c>
      <c r="Q2111" s="84"/>
      <c r="R2111" s="30" t="s">
        <v>1878</v>
      </c>
      <c r="S2111" s="30" t="s">
        <v>38</v>
      </c>
      <c r="T2111" s="30" t="s">
        <v>1879</v>
      </c>
      <c r="U2111" s="31">
        <v>0.84745762711864414</v>
      </c>
      <c r="V2111" s="82">
        <v>0.4</v>
      </c>
      <c r="W2111" s="30" t="s">
        <v>160</v>
      </c>
      <c r="X2111" s="30" t="s">
        <v>38</v>
      </c>
      <c r="Y2111" s="30" t="s">
        <v>39</v>
      </c>
      <c r="Z2111" s="31">
        <v>0.90909090909090906</v>
      </c>
      <c r="AA2111" s="82">
        <v>0.4</v>
      </c>
      <c r="AB2111" s="73" t="s">
        <v>411</v>
      </c>
      <c r="AC2111" s="30" t="s">
        <v>38</v>
      </c>
      <c r="AD2111" s="30" t="s">
        <v>42</v>
      </c>
      <c r="AE2111" s="27">
        <v>2.5</v>
      </c>
      <c r="AF2111" s="84">
        <v>0.2</v>
      </c>
      <c r="AG2111" s="31">
        <v>0</v>
      </c>
      <c r="AH2111" t="s">
        <v>44</v>
      </c>
    </row>
    <row r="2112" spans="1:34">
      <c r="A2112" s="15" t="s">
        <v>2223</v>
      </c>
      <c r="B2112" s="12" t="s">
        <v>1277</v>
      </c>
      <c r="C2112" s="43" t="s">
        <v>2032</v>
      </c>
      <c r="D2112" t="s">
        <v>38</v>
      </c>
      <c r="E2112" s="30" t="s">
        <v>1879</v>
      </c>
      <c r="F2112" s="31">
        <v>0.9009009009009008</v>
      </c>
      <c r="G2112" s="82">
        <v>0.75</v>
      </c>
      <c r="H2112" s="30" t="s">
        <v>410</v>
      </c>
      <c r="I2112" s="30" t="s">
        <v>38</v>
      </c>
      <c r="J2112" s="30" t="s">
        <v>42</v>
      </c>
      <c r="K2112" s="31">
        <v>3.2258064516129035</v>
      </c>
      <c r="L2112" s="82">
        <v>0.25</v>
      </c>
      <c r="Q2112" s="84"/>
      <c r="R2112" s="30" t="s">
        <v>1878</v>
      </c>
      <c r="S2112" s="30" t="s">
        <v>38</v>
      </c>
      <c r="T2112" s="30" t="s">
        <v>1879</v>
      </c>
      <c r="U2112" s="31">
        <v>0.84745762711864414</v>
      </c>
      <c r="V2112" s="82">
        <v>0.4</v>
      </c>
      <c r="W2112" s="30" t="s">
        <v>160</v>
      </c>
      <c r="X2112" s="30" t="s">
        <v>38</v>
      </c>
      <c r="Y2112" s="30" t="s">
        <v>39</v>
      </c>
      <c r="Z2112" s="31">
        <v>0.90909090909090906</v>
      </c>
      <c r="AA2112" s="82">
        <v>0.4</v>
      </c>
      <c r="AB2112" s="73" t="s">
        <v>411</v>
      </c>
      <c r="AC2112" s="30" t="s">
        <v>38</v>
      </c>
      <c r="AD2112" s="30" t="s">
        <v>42</v>
      </c>
      <c r="AE2112" s="61">
        <v>2.5</v>
      </c>
      <c r="AF2112" s="84">
        <v>0.2</v>
      </c>
      <c r="AG2112" s="31">
        <v>0</v>
      </c>
      <c r="AH2112" t="s">
        <v>44</v>
      </c>
    </row>
    <row r="2113" spans="1:34" s="6" customFormat="1">
      <c r="A2113" s="18" t="s">
        <v>2224</v>
      </c>
      <c r="B2113" s="19" t="s">
        <v>1362</v>
      </c>
      <c r="C2113" s="42" t="s">
        <v>2051</v>
      </c>
      <c r="D2113" s="6" t="s">
        <v>38</v>
      </c>
      <c r="E2113" s="28" t="s">
        <v>39</v>
      </c>
      <c r="F2113" s="29">
        <v>0.63694267515923564</v>
      </c>
      <c r="G2113" s="83">
        <v>1</v>
      </c>
      <c r="H2113" s="28"/>
      <c r="I2113" s="28"/>
      <c r="J2113" s="28"/>
      <c r="K2113" s="29"/>
      <c r="L2113" s="83"/>
      <c r="M2113" s="74"/>
      <c r="N2113" s="28"/>
      <c r="O2113" s="28"/>
      <c r="P2113" s="29"/>
      <c r="Q2113" s="85"/>
      <c r="R2113" s="91" t="s">
        <v>160</v>
      </c>
      <c r="S2113" s="28" t="s">
        <v>38</v>
      </c>
      <c r="T2113" s="28" t="s">
        <v>39</v>
      </c>
      <c r="U2113" s="29">
        <v>0.69930069930069938</v>
      </c>
      <c r="V2113" s="83">
        <v>1</v>
      </c>
      <c r="W2113" s="28"/>
      <c r="X2113" s="28"/>
      <c r="Y2113" s="28"/>
      <c r="Z2113" s="29"/>
      <c r="AA2113" s="83"/>
      <c r="AB2113" s="74"/>
      <c r="AC2113" s="28"/>
      <c r="AD2113" s="28"/>
      <c r="AE2113" s="28"/>
      <c r="AF2113" s="85"/>
      <c r="AG2113" s="97">
        <v>0</v>
      </c>
      <c r="AH2113" s="6" t="s">
        <v>44</v>
      </c>
    </row>
    <row r="2114" spans="1:34">
      <c r="A2114" s="15" t="s">
        <v>2225</v>
      </c>
      <c r="B2114" s="12" t="s">
        <v>1362</v>
      </c>
      <c r="C2114" s="43" t="s">
        <v>2051</v>
      </c>
      <c r="D2114" t="s">
        <v>38</v>
      </c>
      <c r="E2114" s="30" t="s">
        <v>39</v>
      </c>
      <c r="F2114" s="31">
        <v>0.63694267515923564</v>
      </c>
      <c r="G2114" s="82">
        <v>1</v>
      </c>
      <c r="L2114" s="82"/>
      <c r="Q2114" s="84"/>
      <c r="R2114" s="92" t="s">
        <v>160</v>
      </c>
      <c r="S2114" s="30" t="s">
        <v>38</v>
      </c>
      <c r="T2114" s="30" t="s">
        <v>39</v>
      </c>
      <c r="U2114" s="31">
        <v>0.69930069930069938</v>
      </c>
      <c r="V2114" s="82">
        <v>1</v>
      </c>
      <c r="AA2114" s="82"/>
      <c r="AF2114" s="84"/>
      <c r="AG2114" s="98">
        <v>0</v>
      </c>
      <c r="AH2114" t="s">
        <v>44</v>
      </c>
    </row>
    <row r="2115" spans="1:34">
      <c r="A2115" s="15" t="s">
        <v>2226</v>
      </c>
      <c r="B2115" s="12" t="s">
        <v>1362</v>
      </c>
      <c r="C2115" s="43" t="s">
        <v>2051</v>
      </c>
      <c r="D2115" t="s">
        <v>38</v>
      </c>
      <c r="E2115" s="30" t="s">
        <v>39</v>
      </c>
      <c r="F2115" s="31">
        <v>0.63694267515923564</v>
      </c>
      <c r="G2115" s="82">
        <v>1</v>
      </c>
      <c r="L2115" s="82"/>
      <c r="Q2115" s="84"/>
      <c r="R2115" s="30" t="s">
        <v>160</v>
      </c>
      <c r="S2115" s="30" t="s">
        <v>38</v>
      </c>
      <c r="T2115" s="30" t="s">
        <v>39</v>
      </c>
      <c r="U2115" s="31">
        <v>0.69930069930069938</v>
      </c>
      <c r="V2115" s="82">
        <v>1</v>
      </c>
      <c r="AA2115" s="82"/>
      <c r="AF2115" s="84"/>
      <c r="AG2115" s="31">
        <v>0</v>
      </c>
      <c r="AH2115" t="s">
        <v>44</v>
      </c>
    </row>
    <row r="2116" spans="1:34">
      <c r="A2116" s="15" t="s">
        <v>2227</v>
      </c>
      <c r="B2116" s="12" t="s">
        <v>1362</v>
      </c>
      <c r="C2116" s="43" t="s">
        <v>2051</v>
      </c>
      <c r="D2116" t="s">
        <v>38</v>
      </c>
      <c r="E2116" s="30" t="s">
        <v>39</v>
      </c>
      <c r="F2116" s="31">
        <v>0.63694267515923564</v>
      </c>
      <c r="G2116" s="82">
        <v>1</v>
      </c>
      <c r="L2116" s="82"/>
      <c r="Q2116" s="84"/>
      <c r="R2116" s="30" t="s">
        <v>160</v>
      </c>
      <c r="S2116" s="30" t="s">
        <v>38</v>
      </c>
      <c r="T2116" s="30" t="s">
        <v>39</v>
      </c>
      <c r="U2116" s="31">
        <v>0.69930069930069938</v>
      </c>
      <c r="V2116" s="82">
        <v>1</v>
      </c>
      <c r="AA2116" s="82"/>
      <c r="AF2116" s="84"/>
      <c r="AG2116" s="31">
        <v>0</v>
      </c>
      <c r="AH2116" t="s">
        <v>44</v>
      </c>
    </row>
    <row r="2117" spans="1:34">
      <c r="A2117" s="15" t="s">
        <v>2228</v>
      </c>
      <c r="B2117" s="12" t="s">
        <v>1362</v>
      </c>
      <c r="C2117" s="43" t="s">
        <v>2051</v>
      </c>
      <c r="D2117" t="s">
        <v>38</v>
      </c>
      <c r="E2117" s="30" t="s">
        <v>39</v>
      </c>
      <c r="F2117" s="31">
        <v>0.63694267515923564</v>
      </c>
      <c r="G2117" s="82">
        <v>0.6</v>
      </c>
      <c r="H2117" s="43" t="s">
        <v>1952</v>
      </c>
      <c r="I2117" t="s">
        <v>38</v>
      </c>
      <c r="J2117" s="30" t="s">
        <v>39</v>
      </c>
      <c r="K2117" s="31">
        <v>0.84033613445378152</v>
      </c>
      <c r="L2117" s="82">
        <v>0.4</v>
      </c>
      <c r="Q2117" s="84"/>
      <c r="R2117" s="30" t="s">
        <v>160</v>
      </c>
      <c r="S2117" s="30" t="s">
        <v>38</v>
      </c>
      <c r="T2117" s="30" t="s">
        <v>39</v>
      </c>
      <c r="U2117" s="31">
        <v>0.69930069930069938</v>
      </c>
      <c r="V2117" s="82">
        <v>1</v>
      </c>
      <c r="AA2117" s="82"/>
      <c r="AF2117" s="84"/>
      <c r="AG2117" s="31">
        <v>0</v>
      </c>
      <c r="AH2117" t="s">
        <v>44</v>
      </c>
    </row>
    <row r="2118" spans="1:34">
      <c r="A2118" s="15" t="s">
        <v>2229</v>
      </c>
      <c r="B2118" s="12" t="s">
        <v>1362</v>
      </c>
      <c r="C2118" s="43" t="s">
        <v>1952</v>
      </c>
      <c r="D2118" t="s">
        <v>38</v>
      </c>
      <c r="E2118" s="30" t="s">
        <v>39</v>
      </c>
      <c r="F2118" s="31">
        <v>0.84033613445378152</v>
      </c>
      <c r="G2118" s="82">
        <v>1</v>
      </c>
      <c r="L2118" s="82"/>
      <c r="Q2118" s="84"/>
      <c r="R2118" s="30" t="s">
        <v>160</v>
      </c>
      <c r="S2118" s="30" t="s">
        <v>38</v>
      </c>
      <c r="T2118" s="30" t="s">
        <v>39</v>
      </c>
      <c r="U2118" s="31">
        <v>0.69930069930069938</v>
      </c>
      <c r="V2118" s="82">
        <v>0.66666666666666663</v>
      </c>
      <c r="W2118" s="30" t="s">
        <v>1949</v>
      </c>
      <c r="X2118" s="30" t="s">
        <v>41</v>
      </c>
      <c r="Y2118" s="30" t="s">
        <v>1950</v>
      </c>
      <c r="Z2118" s="31">
        <v>0.68</v>
      </c>
      <c r="AA2118" s="82">
        <v>0.33333333333333331</v>
      </c>
      <c r="AF2118" s="84"/>
      <c r="AG2118" s="31">
        <v>0</v>
      </c>
      <c r="AH2118" t="s">
        <v>44</v>
      </c>
    </row>
    <row r="2119" spans="1:34">
      <c r="A2119" s="15" t="s">
        <v>2230</v>
      </c>
      <c r="B2119" s="12" t="s">
        <v>1362</v>
      </c>
      <c r="C2119" s="43" t="s">
        <v>2051</v>
      </c>
      <c r="D2119" t="s">
        <v>38</v>
      </c>
      <c r="E2119" s="30" t="s">
        <v>39</v>
      </c>
      <c r="F2119" s="31">
        <v>0.63694267515923564</v>
      </c>
      <c r="G2119" s="82">
        <v>1</v>
      </c>
      <c r="L2119" s="82"/>
      <c r="Q2119" s="84"/>
      <c r="R2119" s="92" t="s">
        <v>160</v>
      </c>
      <c r="S2119" s="30" t="s">
        <v>38</v>
      </c>
      <c r="T2119" s="30" t="s">
        <v>39</v>
      </c>
      <c r="U2119" s="31">
        <v>0.69930069930069938</v>
      </c>
      <c r="V2119" s="82">
        <v>0.5</v>
      </c>
      <c r="W2119" s="30" t="s">
        <v>1948</v>
      </c>
      <c r="X2119" s="30" t="s">
        <v>41</v>
      </c>
      <c r="Y2119" s="30" t="s">
        <v>39</v>
      </c>
      <c r="Z2119" s="31">
        <v>0.69930069930069938</v>
      </c>
      <c r="AA2119" s="82">
        <v>0.5</v>
      </c>
      <c r="AF2119" s="84"/>
      <c r="AG2119" s="31">
        <v>0</v>
      </c>
      <c r="AH2119" t="s">
        <v>44</v>
      </c>
    </row>
    <row r="2120" spans="1:34">
      <c r="A2120" s="15" t="s">
        <v>2231</v>
      </c>
      <c r="B2120" s="12" t="s">
        <v>1362</v>
      </c>
      <c r="C2120" s="43" t="s">
        <v>2051</v>
      </c>
      <c r="D2120" t="s">
        <v>38</v>
      </c>
      <c r="E2120" s="30" t="s">
        <v>39</v>
      </c>
      <c r="F2120" s="31">
        <v>0.63694267515923564</v>
      </c>
      <c r="G2120" s="82">
        <v>1</v>
      </c>
      <c r="L2120" s="82"/>
      <c r="Q2120" s="84"/>
      <c r="R2120" s="30" t="s">
        <v>160</v>
      </c>
      <c r="S2120" s="30" t="s">
        <v>38</v>
      </c>
      <c r="T2120" s="30" t="s">
        <v>39</v>
      </c>
      <c r="U2120" s="31">
        <v>0.69930069930069938</v>
      </c>
      <c r="V2120" s="82">
        <v>0.5</v>
      </c>
      <c r="W2120" s="30" t="s">
        <v>1948</v>
      </c>
      <c r="X2120" s="30" t="s">
        <v>41</v>
      </c>
      <c r="Y2120" s="30" t="s">
        <v>39</v>
      </c>
      <c r="Z2120" s="31">
        <v>0.69930069930069938</v>
      </c>
      <c r="AA2120" s="82">
        <v>0.5</v>
      </c>
      <c r="AF2120" s="84"/>
      <c r="AG2120" s="31">
        <v>0</v>
      </c>
      <c r="AH2120" t="s">
        <v>44</v>
      </c>
    </row>
    <row r="2121" spans="1:34">
      <c r="A2121" s="15" t="s">
        <v>2232</v>
      </c>
      <c r="B2121" s="12" t="s">
        <v>1362</v>
      </c>
      <c r="C2121" s="43" t="s">
        <v>2051</v>
      </c>
      <c r="D2121" t="s">
        <v>38</v>
      </c>
      <c r="E2121" s="30" t="s">
        <v>39</v>
      </c>
      <c r="F2121" s="31">
        <v>0.63694267515923564</v>
      </c>
      <c r="G2121" s="82">
        <v>1</v>
      </c>
      <c r="L2121" s="82"/>
      <c r="Q2121" s="84"/>
      <c r="R2121" s="30" t="s">
        <v>160</v>
      </c>
      <c r="S2121" s="30" t="s">
        <v>38</v>
      </c>
      <c r="T2121" s="30" t="s">
        <v>39</v>
      </c>
      <c r="U2121" s="31">
        <v>0.69930069930069938</v>
      </c>
      <c r="V2121" s="82">
        <v>0.5</v>
      </c>
      <c r="W2121" s="30" t="s">
        <v>1948</v>
      </c>
      <c r="X2121" s="30" t="s">
        <v>41</v>
      </c>
      <c r="Y2121" s="30" t="s">
        <v>39</v>
      </c>
      <c r="Z2121" s="31">
        <v>0.69930069930069938</v>
      </c>
      <c r="AA2121" s="82">
        <v>0.5</v>
      </c>
      <c r="AF2121" s="84"/>
      <c r="AG2121" s="31">
        <v>0</v>
      </c>
      <c r="AH2121" t="s">
        <v>44</v>
      </c>
    </row>
    <row r="2122" spans="1:34">
      <c r="A2122" s="15" t="s">
        <v>2233</v>
      </c>
      <c r="B2122" s="12" t="s">
        <v>1362</v>
      </c>
      <c r="C2122" s="43" t="s">
        <v>2051</v>
      </c>
      <c r="D2122" t="s">
        <v>38</v>
      </c>
      <c r="E2122" s="30" t="s">
        <v>39</v>
      </c>
      <c r="F2122" s="31">
        <v>0.63694267515923564</v>
      </c>
      <c r="G2122" s="82">
        <v>1</v>
      </c>
      <c r="L2122" s="82"/>
      <c r="Q2122" s="84"/>
      <c r="R2122" s="30" t="s">
        <v>160</v>
      </c>
      <c r="S2122" s="30" t="s">
        <v>38</v>
      </c>
      <c r="T2122" s="30" t="s">
        <v>39</v>
      </c>
      <c r="U2122" s="31">
        <v>0.69930069930069938</v>
      </c>
      <c r="V2122" s="82">
        <v>0.5</v>
      </c>
      <c r="W2122" s="30" t="s">
        <v>1948</v>
      </c>
      <c r="X2122" s="30" t="s">
        <v>41</v>
      </c>
      <c r="Y2122" s="30" t="s">
        <v>39</v>
      </c>
      <c r="Z2122" s="31">
        <v>0.69930069930069938</v>
      </c>
      <c r="AA2122" s="82">
        <v>0.5</v>
      </c>
      <c r="AF2122" s="84"/>
      <c r="AG2122" s="31">
        <v>0</v>
      </c>
      <c r="AH2122" t="s">
        <v>44</v>
      </c>
    </row>
    <row r="2123" spans="1:34">
      <c r="A2123" s="15" t="s">
        <v>2234</v>
      </c>
      <c r="B2123" s="12" t="s">
        <v>1362</v>
      </c>
      <c r="C2123" s="43" t="s">
        <v>2051</v>
      </c>
      <c r="D2123" t="s">
        <v>38</v>
      </c>
      <c r="E2123" s="30" t="s">
        <v>39</v>
      </c>
      <c r="F2123" s="31">
        <v>0.63694267515923564</v>
      </c>
      <c r="G2123" s="82">
        <v>0.6</v>
      </c>
      <c r="H2123" s="43" t="s">
        <v>1952</v>
      </c>
      <c r="I2123" t="s">
        <v>38</v>
      </c>
      <c r="J2123" s="30" t="s">
        <v>39</v>
      </c>
      <c r="K2123" s="31">
        <v>0.84033613445378152</v>
      </c>
      <c r="L2123" s="82">
        <v>0.4</v>
      </c>
      <c r="Q2123" s="84"/>
      <c r="R2123" s="30" t="s">
        <v>160</v>
      </c>
      <c r="S2123" s="30" t="s">
        <v>38</v>
      </c>
      <c r="T2123" s="30" t="s">
        <v>39</v>
      </c>
      <c r="U2123" s="31">
        <v>0.69930069930069938</v>
      </c>
      <c r="V2123" s="82">
        <v>0.5</v>
      </c>
      <c r="W2123" s="30" t="s">
        <v>1948</v>
      </c>
      <c r="X2123" s="30" t="s">
        <v>41</v>
      </c>
      <c r="Y2123" s="30" t="s">
        <v>39</v>
      </c>
      <c r="Z2123" s="31">
        <v>0.69930069930069938</v>
      </c>
      <c r="AA2123" s="82">
        <v>0.5</v>
      </c>
      <c r="AF2123" s="84"/>
      <c r="AG2123" s="31">
        <v>0</v>
      </c>
      <c r="AH2123" t="s">
        <v>44</v>
      </c>
    </row>
    <row r="2124" spans="1:34">
      <c r="A2124" s="15" t="s">
        <v>2235</v>
      </c>
      <c r="B2124" s="12" t="s">
        <v>1362</v>
      </c>
      <c r="C2124" s="43" t="s">
        <v>1952</v>
      </c>
      <c r="D2124" t="s">
        <v>38</v>
      </c>
      <c r="E2124" s="30" t="s">
        <v>39</v>
      </c>
      <c r="F2124" s="31">
        <v>0.84033613445378152</v>
      </c>
      <c r="G2124" s="82">
        <v>1</v>
      </c>
      <c r="L2124" s="82"/>
      <c r="Q2124" s="84"/>
      <c r="R2124" s="30" t="s">
        <v>160</v>
      </c>
      <c r="S2124" s="30" t="s">
        <v>38</v>
      </c>
      <c r="T2124" s="30" t="s">
        <v>39</v>
      </c>
      <c r="U2124" s="31">
        <v>0.69930069930069938</v>
      </c>
      <c r="V2124" s="82">
        <v>0.5</v>
      </c>
      <c r="W2124" s="30" t="s">
        <v>1948</v>
      </c>
      <c r="X2124" s="30" t="s">
        <v>41</v>
      </c>
      <c r="Y2124" s="30" t="s">
        <v>39</v>
      </c>
      <c r="Z2124" s="31">
        <v>0.69930069930069938</v>
      </c>
      <c r="AA2124" s="82">
        <v>0.5</v>
      </c>
      <c r="AF2124" s="84"/>
      <c r="AG2124" s="31">
        <v>0</v>
      </c>
      <c r="AH2124" t="s">
        <v>44</v>
      </c>
    </row>
    <row r="2125" spans="1:34">
      <c r="A2125" s="15" t="s">
        <v>2236</v>
      </c>
      <c r="B2125" s="12" t="s">
        <v>1362</v>
      </c>
      <c r="C2125" s="43" t="s">
        <v>2051</v>
      </c>
      <c r="D2125" t="s">
        <v>38</v>
      </c>
      <c r="E2125" s="30" t="s">
        <v>39</v>
      </c>
      <c r="F2125" s="31">
        <v>0.63694267515923564</v>
      </c>
      <c r="G2125" s="82">
        <v>1</v>
      </c>
      <c r="L2125" s="82"/>
      <c r="Q2125" s="84"/>
      <c r="R2125" s="30" t="s">
        <v>1948</v>
      </c>
      <c r="S2125" s="30" t="s">
        <v>41</v>
      </c>
      <c r="T2125" s="30" t="s">
        <v>39</v>
      </c>
      <c r="U2125" s="31">
        <v>0.69930069930069938</v>
      </c>
      <c r="V2125" s="82">
        <v>0.5</v>
      </c>
      <c r="AA2125" s="82"/>
      <c r="AF2125" s="84"/>
      <c r="AG2125" s="31">
        <v>0</v>
      </c>
      <c r="AH2125" t="s">
        <v>44</v>
      </c>
    </row>
    <row r="2126" spans="1:34">
      <c r="A2126" s="15" t="s">
        <v>2237</v>
      </c>
      <c r="B2126" s="12" t="s">
        <v>1362</v>
      </c>
      <c r="C2126" s="43" t="s">
        <v>2051</v>
      </c>
      <c r="D2126" t="s">
        <v>38</v>
      </c>
      <c r="E2126" s="30" t="s">
        <v>39</v>
      </c>
      <c r="F2126" s="31">
        <v>0.63694267515923564</v>
      </c>
      <c r="G2126" s="82">
        <v>1</v>
      </c>
      <c r="L2126" s="82"/>
      <c r="Q2126" s="84"/>
      <c r="R2126" s="30" t="s">
        <v>1948</v>
      </c>
      <c r="S2126" s="30" t="s">
        <v>41</v>
      </c>
      <c r="T2126" s="30" t="s">
        <v>39</v>
      </c>
      <c r="U2126" s="31">
        <v>0.69930069930069938</v>
      </c>
      <c r="V2126" s="82">
        <v>0.5</v>
      </c>
      <c r="AA2126" s="82"/>
      <c r="AF2126" s="84"/>
      <c r="AG2126" s="31">
        <v>0</v>
      </c>
      <c r="AH2126" t="s">
        <v>44</v>
      </c>
    </row>
    <row r="2127" spans="1:34">
      <c r="A2127" s="15" t="s">
        <v>2238</v>
      </c>
      <c r="B2127" s="12" t="s">
        <v>1362</v>
      </c>
      <c r="C2127" s="43" t="s">
        <v>2051</v>
      </c>
      <c r="D2127" t="s">
        <v>38</v>
      </c>
      <c r="E2127" s="30" t="s">
        <v>39</v>
      </c>
      <c r="F2127" s="31">
        <v>0.63694267515923564</v>
      </c>
      <c r="G2127" s="82">
        <v>1</v>
      </c>
      <c r="L2127" s="82"/>
      <c r="Q2127" s="84"/>
      <c r="R2127" s="30" t="s">
        <v>1948</v>
      </c>
      <c r="S2127" s="30" t="s">
        <v>41</v>
      </c>
      <c r="T2127" s="30" t="s">
        <v>39</v>
      </c>
      <c r="U2127" s="31">
        <v>0.69930069930069938</v>
      </c>
      <c r="V2127" s="82">
        <v>0.5</v>
      </c>
      <c r="AA2127" s="82"/>
      <c r="AF2127" s="84"/>
      <c r="AG2127" s="31">
        <v>0</v>
      </c>
      <c r="AH2127" t="s">
        <v>44</v>
      </c>
    </row>
    <row r="2128" spans="1:34">
      <c r="A2128" s="15" t="s">
        <v>2239</v>
      </c>
      <c r="B2128" s="12" t="s">
        <v>1362</v>
      </c>
      <c r="C2128" s="43" t="s">
        <v>2051</v>
      </c>
      <c r="D2128" t="s">
        <v>38</v>
      </c>
      <c r="E2128" s="30" t="s">
        <v>39</v>
      </c>
      <c r="F2128" s="31">
        <v>0.63694267515923564</v>
      </c>
      <c r="G2128" s="82">
        <v>1</v>
      </c>
      <c r="L2128" s="82"/>
      <c r="Q2128" s="84"/>
      <c r="R2128" s="30" t="s">
        <v>1948</v>
      </c>
      <c r="S2128" s="30" t="s">
        <v>41</v>
      </c>
      <c r="T2128" s="30" t="s">
        <v>39</v>
      </c>
      <c r="U2128" s="31">
        <v>0.69930069930069938</v>
      </c>
      <c r="V2128" s="82">
        <v>0.5</v>
      </c>
      <c r="AA2128" s="82"/>
      <c r="AF2128" s="84"/>
      <c r="AG2128" s="31">
        <v>0</v>
      </c>
      <c r="AH2128" t="s">
        <v>44</v>
      </c>
    </row>
    <row r="2129" spans="1:34">
      <c r="A2129" s="15" t="s">
        <v>2240</v>
      </c>
      <c r="B2129" s="12" t="s">
        <v>1362</v>
      </c>
      <c r="C2129" s="43" t="s">
        <v>2051</v>
      </c>
      <c r="D2129" t="s">
        <v>38</v>
      </c>
      <c r="E2129" s="30" t="s">
        <v>39</v>
      </c>
      <c r="F2129" s="31">
        <v>0.63694267515923564</v>
      </c>
      <c r="G2129" s="82">
        <v>0.6</v>
      </c>
      <c r="H2129" s="43" t="s">
        <v>1952</v>
      </c>
      <c r="I2129" t="s">
        <v>38</v>
      </c>
      <c r="J2129" s="30" t="s">
        <v>39</v>
      </c>
      <c r="K2129" s="31">
        <v>0.84033613445378152</v>
      </c>
      <c r="L2129" s="82">
        <v>0.4</v>
      </c>
      <c r="Q2129" s="84"/>
      <c r="R2129" s="30" t="s">
        <v>1948</v>
      </c>
      <c r="S2129" s="30" t="s">
        <v>41</v>
      </c>
      <c r="T2129" s="30" t="s">
        <v>39</v>
      </c>
      <c r="U2129" s="31">
        <v>0.69930069930069938</v>
      </c>
      <c r="V2129" s="82">
        <v>0.75</v>
      </c>
      <c r="W2129" s="30" t="s">
        <v>212</v>
      </c>
      <c r="X2129" s="30" t="s">
        <v>41</v>
      </c>
      <c r="Y2129" s="30" t="s">
        <v>39</v>
      </c>
      <c r="Z2129" s="31">
        <v>0.80645161290322587</v>
      </c>
      <c r="AA2129" s="82">
        <v>0.25</v>
      </c>
      <c r="AF2129" s="84"/>
      <c r="AG2129" s="31">
        <v>0</v>
      </c>
      <c r="AH2129" t="s">
        <v>44</v>
      </c>
    </row>
    <row r="2130" spans="1:34">
      <c r="A2130" s="15" t="s">
        <v>2241</v>
      </c>
      <c r="B2130" s="12" t="s">
        <v>1362</v>
      </c>
      <c r="C2130" s="43" t="s">
        <v>1952</v>
      </c>
      <c r="D2130" t="s">
        <v>38</v>
      </c>
      <c r="E2130" s="30" t="s">
        <v>39</v>
      </c>
      <c r="F2130" s="31">
        <v>0.84033613445378152</v>
      </c>
      <c r="G2130" s="82">
        <v>1</v>
      </c>
      <c r="L2130" s="82"/>
      <c r="Q2130" s="84"/>
      <c r="R2130" s="30" t="s">
        <v>212</v>
      </c>
      <c r="S2130" s="30" t="s">
        <v>41</v>
      </c>
      <c r="T2130" s="30" t="s">
        <v>39</v>
      </c>
      <c r="U2130" s="31">
        <v>0.80645161290322587</v>
      </c>
      <c r="V2130" s="82">
        <v>0.5</v>
      </c>
      <c r="W2130" s="30" t="s">
        <v>1949</v>
      </c>
      <c r="X2130" s="30" t="s">
        <v>41</v>
      </c>
      <c r="Y2130" s="30" t="s">
        <v>1950</v>
      </c>
      <c r="Z2130" s="31">
        <v>0.68</v>
      </c>
      <c r="AA2130" s="82">
        <v>0.5</v>
      </c>
      <c r="AF2130" s="84"/>
      <c r="AG2130" s="31">
        <v>0</v>
      </c>
      <c r="AH2130" t="s">
        <v>44</v>
      </c>
    </row>
    <row r="2131" spans="1:34" s="6" customFormat="1">
      <c r="A2131" s="18" t="s">
        <v>2242</v>
      </c>
      <c r="B2131" s="19" t="s">
        <v>1447</v>
      </c>
      <c r="C2131" s="42" t="s">
        <v>1911</v>
      </c>
      <c r="D2131" s="6" t="s">
        <v>41</v>
      </c>
      <c r="E2131" s="28" t="s">
        <v>39</v>
      </c>
      <c r="F2131" s="29">
        <v>0.77519379844961234</v>
      </c>
      <c r="G2131" s="83">
        <v>1</v>
      </c>
      <c r="H2131" s="28"/>
      <c r="I2131" s="28"/>
      <c r="J2131" s="28"/>
      <c r="K2131" s="29"/>
      <c r="L2131" s="83"/>
      <c r="M2131" s="74"/>
      <c r="N2131" s="28"/>
      <c r="O2131" s="28"/>
      <c r="P2131" s="29"/>
      <c r="Q2131" s="85"/>
      <c r="R2131" s="91" t="s">
        <v>212</v>
      </c>
      <c r="S2131" s="28" t="s">
        <v>41</v>
      </c>
      <c r="T2131" s="28" t="s">
        <v>39</v>
      </c>
      <c r="U2131" s="29">
        <v>0.92592592592592582</v>
      </c>
      <c r="V2131" s="83">
        <v>1</v>
      </c>
      <c r="W2131" s="28"/>
      <c r="X2131" s="28"/>
      <c r="Y2131" s="28"/>
      <c r="Z2131" s="29"/>
      <c r="AA2131" s="83"/>
      <c r="AB2131" s="74"/>
      <c r="AC2131" s="28"/>
      <c r="AD2131" s="28"/>
      <c r="AE2131" s="28"/>
      <c r="AF2131" s="85"/>
      <c r="AG2131" s="97">
        <v>0</v>
      </c>
      <c r="AH2131" s="6" t="s">
        <v>44</v>
      </c>
    </row>
    <row r="2132" spans="1:34">
      <c r="A2132" s="15" t="s">
        <v>2243</v>
      </c>
      <c r="B2132" s="12" t="s">
        <v>1447</v>
      </c>
      <c r="C2132" s="43" t="s">
        <v>1911</v>
      </c>
      <c r="D2132" t="s">
        <v>41</v>
      </c>
      <c r="E2132" s="30" t="s">
        <v>39</v>
      </c>
      <c r="F2132" s="31">
        <v>0.77519379844961234</v>
      </c>
      <c r="G2132" s="82">
        <v>1</v>
      </c>
      <c r="L2132" s="82"/>
      <c r="Q2132" s="84"/>
      <c r="R2132" s="92" t="s">
        <v>212</v>
      </c>
      <c r="S2132" s="30" t="s">
        <v>41</v>
      </c>
      <c r="T2132" s="30" t="s">
        <v>39</v>
      </c>
      <c r="U2132" s="31">
        <v>0.92592592592592582</v>
      </c>
      <c r="V2132" s="82">
        <v>1</v>
      </c>
      <c r="AA2132" s="82"/>
      <c r="AF2132" s="84"/>
      <c r="AG2132" s="31">
        <v>0</v>
      </c>
      <c r="AH2132" t="s">
        <v>44</v>
      </c>
    </row>
    <row r="2133" spans="1:34">
      <c r="A2133" s="15" t="s">
        <v>2244</v>
      </c>
      <c r="B2133" s="12" t="s">
        <v>1447</v>
      </c>
      <c r="C2133" s="43" t="s">
        <v>1911</v>
      </c>
      <c r="D2133" t="s">
        <v>41</v>
      </c>
      <c r="E2133" s="30" t="s">
        <v>39</v>
      </c>
      <c r="F2133" s="31">
        <v>0.77519379844961234</v>
      </c>
      <c r="G2133" s="82">
        <v>1</v>
      </c>
      <c r="L2133" s="82"/>
      <c r="Q2133" s="84"/>
      <c r="R2133" s="30" t="s">
        <v>212</v>
      </c>
      <c r="S2133" s="30" t="s">
        <v>41</v>
      </c>
      <c r="T2133" s="30" t="s">
        <v>39</v>
      </c>
      <c r="U2133" s="31">
        <v>0.92592592592592582</v>
      </c>
      <c r="V2133" s="82">
        <v>1</v>
      </c>
      <c r="AA2133" s="82"/>
      <c r="AF2133" s="84"/>
      <c r="AG2133" s="31">
        <v>0</v>
      </c>
      <c r="AH2133" t="s">
        <v>44</v>
      </c>
    </row>
    <row r="2134" spans="1:34">
      <c r="A2134" s="15" t="s">
        <v>2245</v>
      </c>
      <c r="B2134" s="12" t="s">
        <v>1447</v>
      </c>
      <c r="C2134" s="43" t="s">
        <v>1911</v>
      </c>
      <c r="D2134" t="s">
        <v>41</v>
      </c>
      <c r="E2134" s="30" t="s">
        <v>39</v>
      </c>
      <c r="F2134" s="31">
        <v>0.77519379844961234</v>
      </c>
      <c r="G2134" s="82">
        <v>1</v>
      </c>
      <c r="L2134" s="82"/>
      <c r="Q2134" s="84"/>
      <c r="R2134" s="30" t="s">
        <v>212</v>
      </c>
      <c r="S2134" s="30" t="s">
        <v>41</v>
      </c>
      <c r="T2134" s="30" t="s">
        <v>39</v>
      </c>
      <c r="U2134" s="31">
        <v>0.92592592592592582</v>
      </c>
      <c r="V2134" s="82">
        <v>1</v>
      </c>
      <c r="AA2134" s="82"/>
      <c r="AF2134" s="84"/>
      <c r="AG2134" s="31">
        <v>0</v>
      </c>
      <c r="AH2134" t="s">
        <v>44</v>
      </c>
    </row>
    <row r="2135" spans="1:34">
      <c r="A2135" s="15" t="s">
        <v>2246</v>
      </c>
      <c r="B2135" s="12" t="s">
        <v>1447</v>
      </c>
      <c r="C2135" s="43" t="s">
        <v>212</v>
      </c>
      <c r="D2135" t="s">
        <v>41</v>
      </c>
      <c r="E2135" s="30" t="s">
        <v>39</v>
      </c>
      <c r="F2135" s="31">
        <v>0.92592592592592582</v>
      </c>
      <c r="G2135" s="82">
        <v>1</v>
      </c>
      <c r="L2135" s="82"/>
      <c r="Q2135" s="84"/>
      <c r="R2135" s="30" t="s">
        <v>212</v>
      </c>
      <c r="S2135" s="30" t="s">
        <v>41</v>
      </c>
      <c r="T2135" s="30" t="s">
        <v>39</v>
      </c>
      <c r="U2135" s="31">
        <v>0.92592592592592582</v>
      </c>
      <c r="V2135" s="82">
        <v>1</v>
      </c>
      <c r="AA2135" s="82"/>
      <c r="AF2135" s="84"/>
      <c r="AG2135" s="31">
        <v>0</v>
      </c>
      <c r="AH2135" t="s">
        <v>44</v>
      </c>
    </row>
    <row r="2136" spans="1:34">
      <c r="A2136" s="15" t="s">
        <v>2247</v>
      </c>
      <c r="B2136" s="12" t="s">
        <v>1447</v>
      </c>
      <c r="C2136" s="43" t="s">
        <v>212</v>
      </c>
      <c r="D2136" t="s">
        <v>41</v>
      </c>
      <c r="E2136" s="30" t="s">
        <v>39</v>
      </c>
      <c r="F2136" s="31">
        <v>0.92592592592592582</v>
      </c>
      <c r="G2136" s="82">
        <v>1</v>
      </c>
      <c r="L2136" s="82"/>
      <c r="Q2136" s="84"/>
      <c r="R2136" s="30" t="s">
        <v>212</v>
      </c>
      <c r="S2136" s="30" t="s">
        <v>41</v>
      </c>
      <c r="T2136" s="30" t="s">
        <v>39</v>
      </c>
      <c r="U2136" s="31">
        <v>0.92592592592592582</v>
      </c>
      <c r="V2136" s="82">
        <v>1</v>
      </c>
      <c r="AA2136" s="82"/>
      <c r="AF2136" s="84"/>
      <c r="AG2136" s="31">
        <v>0</v>
      </c>
      <c r="AH2136" t="s">
        <v>44</v>
      </c>
    </row>
    <row r="2137" spans="1:34">
      <c r="A2137" s="15" t="s">
        <v>2248</v>
      </c>
      <c r="B2137" s="12" t="s">
        <v>1447</v>
      </c>
      <c r="C2137" s="43" t="s">
        <v>1911</v>
      </c>
      <c r="D2137" t="s">
        <v>41</v>
      </c>
      <c r="E2137" s="30" t="s">
        <v>39</v>
      </c>
      <c r="F2137" s="31">
        <v>0.77519379844961234</v>
      </c>
      <c r="G2137" s="82">
        <v>1</v>
      </c>
      <c r="L2137" s="82"/>
      <c r="Q2137" s="84"/>
      <c r="R2137" s="30" t="s">
        <v>212</v>
      </c>
      <c r="S2137" s="30" t="s">
        <v>41</v>
      </c>
      <c r="T2137" s="30" t="s">
        <v>39</v>
      </c>
      <c r="U2137" s="31">
        <v>0.92592592592592582</v>
      </c>
      <c r="V2137" s="82">
        <v>1</v>
      </c>
      <c r="AA2137" s="82"/>
      <c r="AF2137" s="84"/>
      <c r="AG2137" s="31">
        <v>0</v>
      </c>
      <c r="AH2137" t="s">
        <v>44</v>
      </c>
    </row>
    <row r="2138" spans="1:34">
      <c r="A2138" s="15" t="s">
        <v>2249</v>
      </c>
      <c r="B2138" s="12" t="s">
        <v>1447</v>
      </c>
      <c r="C2138" s="43" t="s">
        <v>1911</v>
      </c>
      <c r="D2138" t="s">
        <v>41</v>
      </c>
      <c r="E2138" s="30" t="s">
        <v>39</v>
      </c>
      <c r="F2138" s="31">
        <v>0.77519379844961234</v>
      </c>
      <c r="G2138" s="82">
        <v>1</v>
      </c>
      <c r="L2138" s="82"/>
      <c r="Q2138" s="84"/>
      <c r="R2138" s="30" t="s">
        <v>212</v>
      </c>
      <c r="S2138" s="30" t="s">
        <v>41</v>
      </c>
      <c r="T2138" s="30" t="s">
        <v>39</v>
      </c>
      <c r="U2138" s="31">
        <v>0.92592592592592582</v>
      </c>
      <c r="V2138" s="82">
        <v>1</v>
      </c>
      <c r="AA2138" s="82"/>
      <c r="AF2138" s="84"/>
      <c r="AG2138" s="31">
        <v>0</v>
      </c>
      <c r="AH2138" t="s">
        <v>44</v>
      </c>
    </row>
    <row r="2139" spans="1:34">
      <c r="A2139" s="15" t="s">
        <v>2250</v>
      </c>
      <c r="B2139" s="12" t="s">
        <v>1447</v>
      </c>
      <c r="C2139" s="43" t="s">
        <v>1911</v>
      </c>
      <c r="D2139" t="s">
        <v>41</v>
      </c>
      <c r="E2139" s="30" t="s">
        <v>39</v>
      </c>
      <c r="F2139" s="31">
        <v>0.77519379844961234</v>
      </c>
      <c r="G2139" s="82">
        <v>1</v>
      </c>
      <c r="L2139" s="82"/>
      <c r="Q2139" s="84"/>
      <c r="R2139" s="30" t="s">
        <v>212</v>
      </c>
      <c r="S2139" s="30" t="s">
        <v>41</v>
      </c>
      <c r="T2139" s="30" t="s">
        <v>39</v>
      </c>
      <c r="U2139" s="31">
        <v>0.92592592592592582</v>
      </c>
      <c r="V2139" s="82">
        <v>1</v>
      </c>
      <c r="AA2139" s="82"/>
      <c r="AF2139" s="84"/>
      <c r="AG2139" s="31">
        <v>0</v>
      </c>
      <c r="AH2139" t="s">
        <v>44</v>
      </c>
    </row>
    <row r="2140" spans="1:34">
      <c r="A2140" s="15" t="s">
        <v>2251</v>
      </c>
      <c r="B2140" s="12" t="s">
        <v>1447</v>
      </c>
      <c r="C2140" s="43" t="s">
        <v>1911</v>
      </c>
      <c r="D2140" t="s">
        <v>41</v>
      </c>
      <c r="E2140" s="30" t="s">
        <v>39</v>
      </c>
      <c r="F2140" s="31">
        <v>0.77519379844961234</v>
      </c>
      <c r="G2140" s="82">
        <v>1</v>
      </c>
      <c r="L2140" s="82"/>
      <c r="Q2140" s="84"/>
      <c r="R2140" s="30" t="s">
        <v>212</v>
      </c>
      <c r="S2140" s="30" t="s">
        <v>41</v>
      </c>
      <c r="T2140" s="30" t="s">
        <v>39</v>
      </c>
      <c r="U2140" s="31">
        <v>0.92592592592592582</v>
      </c>
      <c r="V2140" s="82">
        <v>1</v>
      </c>
      <c r="AA2140" s="82"/>
      <c r="AF2140" s="84"/>
      <c r="AG2140" s="31">
        <v>0</v>
      </c>
      <c r="AH2140" t="s">
        <v>44</v>
      </c>
    </row>
    <row r="2141" spans="1:34">
      <c r="A2141" s="15" t="s">
        <v>2252</v>
      </c>
      <c r="B2141" s="12" t="s">
        <v>1447</v>
      </c>
      <c r="C2141" s="43" t="s">
        <v>212</v>
      </c>
      <c r="D2141" t="s">
        <v>41</v>
      </c>
      <c r="E2141" s="30" t="s">
        <v>39</v>
      </c>
      <c r="F2141" s="31">
        <v>0.92592592592592582</v>
      </c>
      <c r="G2141" s="82">
        <v>1</v>
      </c>
      <c r="L2141" s="82"/>
      <c r="Q2141" s="84"/>
      <c r="R2141" s="30" t="s">
        <v>212</v>
      </c>
      <c r="S2141" s="30" t="s">
        <v>41</v>
      </c>
      <c r="T2141" s="30" t="s">
        <v>39</v>
      </c>
      <c r="U2141" s="31">
        <v>0.92592592592592582</v>
      </c>
      <c r="V2141" s="82">
        <v>1</v>
      </c>
      <c r="AA2141" s="82"/>
      <c r="AF2141" s="84"/>
      <c r="AG2141" s="31">
        <v>0</v>
      </c>
      <c r="AH2141" t="s">
        <v>44</v>
      </c>
    </row>
    <row r="2142" spans="1:34">
      <c r="A2142" s="15" t="s">
        <v>2253</v>
      </c>
      <c r="B2142" s="12" t="s">
        <v>1447</v>
      </c>
      <c r="C2142" s="43" t="s">
        <v>212</v>
      </c>
      <c r="D2142" t="s">
        <v>41</v>
      </c>
      <c r="E2142" s="30" t="s">
        <v>39</v>
      </c>
      <c r="F2142" s="31">
        <v>0.92592592592592582</v>
      </c>
      <c r="G2142" s="82">
        <v>1</v>
      </c>
      <c r="L2142" s="82"/>
      <c r="Q2142" s="84"/>
      <c r="R2142" s="30" t="s">
        <v>212</v>
      </c>
      <c r="S2142" s="30" t="s">
        <v>41</v>
      </c>
      <c r="T2142" s="30" t="s">
        <v>39</v>
      </c>
      <c r="U2142" s="31">
        <v>0.92592592592592582</v>
      </c>
      <c r="V2142" s="82">
        <v>1</v>
      </c>
      <c r="AA2142" s="82"/>
      <c r="AF2142" s="84"/>
      <c r="AG2142" s="31">
        <v>0</v>
      </c>
      <c r="AH2142" t="s">
        <v>44</v>
      </c>
    </row>
    <row r="2143" spans="1:34">
      <c r="A2143" s="15" t="s">
        <v>2254</v>
      </c>
      <c r="B2143" s="12" t="s">
        <v>1447</v>
      </c>
      <c r="C2143" s="43" t="s">
        <v>1911</v>
      </c>
      <c r="D2143" t="s">
        <v>41</v>
      </c>
      <c r="E2143" s="30" t="s">
        <v>39</v>
      </c>
      <c r="F2143" s="31">
        <v>0.77519379844961234</v>
      </c>
      <c r="G2143" s="82">
        <v>1</v>
      </c>
      <c r="L2143" s="82"/>
      <c r="Q2143" s="84"/>
      <c r="R2143" s="30" t="s">
        <v>212</v>
      </c>
      <c r="S2143" s="30" t="s">
        <v>41</v>
      </c>
      <c r="T2143" s="30" t="s">
        <v>39</v>
      </c>
      <c r="U2143" s="31">
        <v>0.92592592592592582</v>
      </c>
      <c r="V2143" s="82">
        <v>1</v>
      </c>
      <c r="AA2143" s="82"/>
      <c r="AF2143" s="84"/>
      <c r="AG2143" s="31">
        <v>0</v>
      </c>
      <c r="AH2143" t="s">
        <v>44</v>
      </c>
    </row>
    <row r="2144" spans="1:34">
      <c r="A2144" s="15" t="s">
        <v>2255</v>
      </c>
      <c r="B2144" s="12" t="s">
        <v>1447</v>
      </c>
      <c r="C2144" s="43" t="s">
        <v>1911</v>
      </c>
      <c r="D2144" t="s">
        <v>41</v>
      </c>
      <c r="E2144" s="30" t="s">
        <v>39</v>
      </c>
      <c r="F2144" s="31">
        <v>0.77519379844961234</v>
      </c>
      <c r="G2144" s="82">
        <v>1</v>
      </c>
      <c r="L2144" s="82"/>
      <c r="Q2144" s="84"/>
      <c r="R2144" s="30" t="s">
        <v>212</v>
      </c>
      <c r="S2144" s="30" t="s">
        <v>41</v>
      </c>
      <c r="T2144" s="30" t="s">
        <v>39</v>
      </c>
      <c r="U2144" s="31">
        <v>0.92592592592592582</v>
      </c>
      <c r="V2144" s="82">
        <v>1</v>
      </c>
      <c r="AA2144" s="82"/>
      <c r="AF2144" s="84"/>
      <c r="AG2144" s="31">
        <v>0</v>
      </c>
      <c r="AH2144" t="s">
        <v>44</v>
      </c>
    </row>
    <row r="2145" spans="1:34">
      <c r="A2145" s="15" t="s">
        <v>2256</v>
      </c>
      <c r="B2145" s="12" t="s">
        <v>1447</v>
      </c>
      <c r="C2145" s="43" t="s">
        <v>1911</v>
      </c>
      <c r="D2145" t="s">
        <v>41</v>
      </c>
      <c r="E2145" s="30" t="s">
        <v>39</v>
      </c>
      <c r="F2145" s="31">
        <v>0.77519379844961234</v>
      </c>
      <c r="G2145" s="82">
        <v>1</v>
      </c>
      <c r="L2145" s="82"/>
      <c r="Q2145" s="84"/>
      <c r="R2145" s="30" t="s">
        <v>212</v>
      </c>
      <c r="S2145" s="30" t="s">
        <v>41</v>
      </c>
      <c r="T2145" s="30" t="s">
        <v>39</v>
      </c>
      <c r="U2145" s="31">
        <v>0.92592592592592582</v>
      </c>
      <c r="V2145" s="82">
        <v>1</v>
      </c>
      <c r="AA2145" s="82"/>
      <c r="AF2145" s="84"/>
      <c r="AG2145" s="31">
        <v>0</v>
      </c>
      <c r="AH2145" t="s">
        <v>44</v>
      </c>
    </row>
    <row r="2146" spans="1:34">
      <c r="A2146" s="15" t="s">
        <v>2257</v>
      </c>
      <c r="B2146" s="12" t="s">
        <v>1447</v>
      </c>
      <c r="C2146" s="43" t="s">
        <v>1911</v>
      </c>
      <c r="D2146" t="s">
        <v>41</v>
      </c>
      <c r="E2146" s="30" t="s">
        <v>39</v>
      </c>
      <c r="F2146" s="31">
        <v>0.77519379844961234</v>
      </c>
      <c r="G2146" s="82">
        <v>1</v>
      </c>
      <c r="L2146" s="82"/>
      <c r="Q2146" s="84"/>
      <c r="R2146" s="30" t="s">
        <v>212</v>
      </c>
      <c r="S2146" s="30" t="s">
        <v>41</v>
      </c>
      <c r="T2146" s="30" t="s">
        <v>39</v>
      </c>
      <c r="U2146" s="31">
        <v>0.92592592592592582</v>
      </c>
      <c r="V2146" s="82">
        <v>1</v>
      </c>
      <c r="AA2146" s="82"/>
      <c r="AF2146" s="84"/>
      <c r="AG2146" s="31">
        <v>0</v>
      </c>
      <c r="AH2146" t="s">
        <v>44</v>
      </c>
    </row>
    <row r="2147" spans="1:34">
      <c r="A2147" s="15" t="s">
        <v>2258</v>
      </c>
      <c r="B2147" s="12" t="s">
        <v>1447</v>
      </c>
      <c r="C2147" s="43" t="s">
        <v>212</v>
      </c>
      <c r="D2147" t="s">
        <v>41</v>
      </c>
      <c r="E2147" s="30" t="s">
        <v>39</v>
      </c>
      <c r="F2147" s="31">
        <v>0.92592592592592582</v>
      </c>
      <c r="G2147" s="82">
        <v>1</v>
      </c>
      <c r="L2147" s="82"/>
      <c r="Q2147" s="84"/>
      <c r="R2147" s="30" t="s">
        <v>212</v>
      </c>
      <c r="S2147" s="30" t="s">
        <v>41</v>
      </c>
      <c r="T2147" s="30" t="s">
        <v>39</v>
      </c>
      <c r="U2147" s="31">
        <v>0.92592592592592582</v>
      </c>
      <c r="V2147" s="82">
        <v>1</v>
      </c>
      <c r="AA2147" s="82"/>
      <c r="AF2147" s="84"/>
      <c r="AG2147" s="31">
        <v>0</v>
      </c>
      <c r="AH2147" t="s">
        <v>44</v>
      </c>
    </row>
    <row r="2148" spans="1:34">
      <c r="A2148" s="15" t="s">
        <v>2259</v>
      </c>
      <c r="B2148" s="12" t="s">
        <v>1447</v>
      </c>
      <c r="C2148" s="43" t="s">
        <v>212</v>
      </c>
      <c r="D2148" t="s">
        <v>41</v>
      </c>
      <c r="E2148" s="30" t="s">
        <v>39</v>
      </c>
      <c r="F2148" s="31">
        <v>0.92592592592592582</v>
      </c>
      <c r="G2148" s="82">
        <v>1</v>
      </c>
      <c r="L2148" s="82"/>
      <c r="Q2148" s="84"/>
      <c r="R2148" s="30" t="s">
        <v>212</v>
      </c>
      <c r="S2148" s="30" t="s">
        <v>41</v>
      </c>
      <c r="T2148" s="30" t="s">
        <v>39</v>
      </c>
      <c r="U2148" s="31">
        <v>0.92592592592592582</v>
      </c>
      <c r="V2148" s="82">
        <v>1</v>
      </c>
      <c r="AA2148" s="82"/>
      <c r="AF2148" s="84"/>
      <c r="AG2148" s="31">
        <v>0</v>
      </c>
      <c r="AH2148" t="s">
        <v>44</v>
      </c>
    </row>
    <row r="2149" spans="1:34" s="6" customFormat="1">
      <c r="A2149" s="18" t="s">
        <v>2260</v>
      </c>
      <c r="B2149" s="19" t="s">
        <v>1505</v>
      </c>
      <c r="C2149" s="42" t="s">
        <v>160</v>
      </c>
      <c r="D2149" s="6" t="s">
        <v>38</v>
      </c>
      <c r="E2149" s="28" t="s">
        <v>39</v>
      </c>
      <c r="F2149" s="29">
        <v>0.81300813008130079</v>
      </c>
      <c r="G2149" s="83">
        <v>1</v>
      </c>
      <c r="H2149" s="28"/>
      <c r="I2149" s="28"/>
      <c r="J2149" s="28"/>
      <c r="K2149" s="29"/>
      <c r="L2149" s="83"/>
      <c r="M2149" s="74"/>
      <c r="N2149" s="28"/>
      <c r="O2149" s="28"/>
      <c r="P2149" s="29"/>
      <c r="Q2149" s="85"/>
      <c r="R2149" s="54" t="s">
        <v>161</v>
      </c>
      <c r="S2149" s="28" t="s">
        <v>38</v>
      </c>
      <c r="T2149" s="28" t="s">
        <v>39</v>
      </c>
      <c r="U2149" s="29">
        <v>0.83333333333333337</v>
      </c>
      <c r="V2149" s="83">
        <v>1</v>
      </c>
      <c r="W2149" s="28"/>
      <c r="X2149" s="28"/>
      <c r="Y2149" s="28"/>
      <c r="Z2149" s="29"/>
      <c r="AA2149" s="83"/>
      <c r="AB2149" s="74"/>
      <c r="AC2149" s="28"/>
      <c r="AD2149" s="28"/>
      <c r="AE2149" s="28"/>
      <c r="AF2149" s="85"/>
      <c r="AG2149" s="97">
        <v>0</v>
      </c>
      <c r="AH2149" s="6" t="s">
        <v>44</v>
      </c>
    </row>
    <row r="2150" spans="1:34">
      <c r="A2150" s="15" t="s">
        <v>2261</v>
      </c>
      <c r="B2150" s="12" t="s">
        <v>1505</v>
      </c>
      <c r="C2150" s="43" t="s">
        <v>160</v>
      </c>
      <c r="D2150" t="s">
        <v>38</v>
      </c>
      <c r="E2150" s="30" t="s">
        <v>39</v>
      </c>
      <c r="F2150" s="31">
        <v>0.81300813008130079</v>
      </c>
      <c r="G2150" s="82">
        <v>1</v>
      </c>
      <c r="L2150" s="82"/>
      <c r="Q2150" s="84"/>
      <c r="R2150" s="30" t="s">
        <v>161</v>
      </c>
      <c r="S2150" s="30" t="s">
        <v>38</v>
      </c>
      <c r="T2150" s="30" t="s">
        <v>39</v>
      </c>
      <c r="U2150" s="31">
        <v>0.83333333333333337</v>
      </c>
      <c r="V2150" s="82">
        <v>1</v>
      </c>
      <c r="AA2150" s="82"/>
      <c r="AF2150" s="84"/>
      <c r="AG2150" s="31">
        <v>0</v>
      </c>
      <c r="AH2150" t="s">
        <v>44</v>
      </c>
    </row>
    <row r="2151" spans="1:34">
      <c r="A2151" s="15" t="s">
        <v>2262</v>
      </c>
      <c r="B2151" s="12" t="s">
        <v>1505</v>
      </c>
      <c r="C2151" s="43" t="s">
        <v>160</v>
      </c>
      <c r="D2151" t="s">
        <v>38</v>
      </c>
      <c r="E2151" s="30" t="s">
        <v>39</v>
      </c>
      <c r="F2151" s="31">
        <v>0.81300813008130079</v>
      </c>
      <c r="G2151" s="82">
        <v>1</v>
      </c>
      <c r="L2151" s="82"/>
      <c r="Q2151" s="84"/>
      <c r="R2151" s="30" t="s">
        <v>161</v>
      </c>
      <c r="S2151" s="30" t="s">
        <v>38</v>
      </c>
      <c r="T2151" s="30" t="s">
        <v>39</v>
      </c>
      <c r="U2151" s="31">
        <v>0.83333333333333337</v>
      </c>
      <c r="V2151" s="82">
        <v>1</v>
      </c>
      <c r="AA2151" s="82"/>
      <c r="AF2151" s="84"/>
      <c r="AG2151" s="31">
        <v>0</v>
      </c>
      <c r="AH2151" t="s">
        <v>44</v>
      </c>
    </row>
    <row r="2152" spans="1:34">
      <c r="A2152" s="15" t="s">
        <v>2263</v>
      </c>
      <c r="B2152" s="12" t="s">
        <v>1505</v>
      </c>
      <c r="C2152" s="43" t="s">
        <v>160</v>
      </c>
      <c r="D2152" t="s">
        <v>38</v>
      </c>
      <c r="E2152" s="30" t="s">
        <v>39</v>
      </c>
      <c r="F2152" s="31">
        <v>0.81300813008130079</v>
      </c>
      <c r="G2152" s="82">
        <v>1</v>
      </c>
      <c r="L2152" s="82"/>
      <c r="Q2152" s="84"/>
      <c r="R2152" s="30" t="s">
        <v>161</v>
      </c>
      <c r="S2152" s="30" t="s">
        <v>38</v>
      </c>
      <c r="T2152" s="30" t="s">
        <v>39</v>
      </c>
      <c r="U2152" s="31">
        <v>0.83333333333333337</v>
      </c>
      <c r="V2152" s="82">
        <v>1</v>
      </c>
      <c r="AA2152" s="82"/>
      <c r="AF2152" s="84"/>
      <c r="AG2152" s="31">
        <v>0</v>
      </c>
      <c r="AH2152" t="s">
        <v>44</v>
      </c>
    </row>
    <row r="2153" spans="1:34">
      <c r="A2153" s="15" t="s">
        <v>2264</v>
      </c>
      <c r="B2153" s="12" t="s">
        <v>1505</v>
      </c>
      <c r="C2153" s="43" t="s">
        <v>160</v>
      </c>
      <c r="D2153" t="s">
        <v>38</v>
      </c>
      <c r="E2153" s="30" t="s">
        <v>39</v>
      </c>
      <c r="F2153" s="31">
        <v>0.81300813008130079</v>
      </c>
      <c r="G2153" s="82">
        <v>1</v>
      </c>
      <c r="L2153" s="82"/>
      <c r="Q2153" s="84"/>
      <c r="R2153" s="30" t="s">
        <v>161</v>
      </c>
      <c r="S2153" s="30" t="s">
        <v>38</v>
      </c>
      <c r="T2153" s="30" t="s">
        <v>39</v>
      </c>
      <c r="U2153" s="31">
        <v>0.83333333333333337</v>
      </c>
      <c r="V2153" s="82">
        <v>1</v>
      </c>
      <c r="AA2153" s="82"/>
      <c r="AF2153" s="84"/>
      <c r="AG2153" s="31">
        <v>0</v>
      </c>
      <c r="AH2153" t="s">
        <v>44</v>
      </c>
    </row>
    <row r="2154" spans="1:34">
      <c r="A2154" s="15" t="s">
        <v>2265</v>
      </c>
      <c r="B2154" s="12" t="s">
        <v>1505</v>
      </c>
      <c r="C2154" s="43" t="s">
        <v>160</v>
      </c>
      <c r="D2154" t="s">
        <v>38</v>
      </c>
      <c r="E2154" s="30" t="s">
        <v>39</v>
      </c>
      <c r="F2154" s="31">
        <v>0.81300813008130079</v>
      </c>
      <c r="G2154" s="82">
        <v>1</v>
      </c>
      <c r="L2154" s="82"/>
      <c r="Q2154" s="84"/>
      <c r="R2154" s="30" t="s">
        <v>161</v>
      </c>
      <c r="S2154" s="30" t="s">
        <v>38</v>
      </c>
      <c r="T2154" s="30" t="s">
        <v>39</v>
      </c>
      <c r="U2154" s="31">
        <v>0.83333333333333337</v>
      </c>
      <c r="V2154" s="82">
        <v>1</v>
      </c>
      <c r="AA2154" s="82"/>
      <c r="AF2154" s="84"/>
      <c r="AG2154" s="31">
        <v>0</v>
      </c>
      <c r="AH2154" t="s">
        <v>44</v>
      </c>
    </row>
    <row r="2155" spans="1:34">
      <c r="A2155" s="15" t="s">
        <v>2266</v>
      </c>
      <c r="B2155" s="12" t="s">
        <v>1505</v>
      </c>
      <c r="C2155" s="43" t="s">
        <v>160</v>
      </c>
      <c r="D2155" t="s">
        <v>38</v>
      </c>
      <c r="E2155" s="30" t="s">
        <v>39</v>
      </c>
      <c r="F2155" s="31">
        <v>0.81300813008130079</v>
      </c>
      <c r="G2155" s="82">
        <v>1</v>
      </c>
      <c r="L2155" s="82"/>
      <c r="Q2155" s="84"/>
      <c r="R2155" s="30" t="s">
        <v>161</v>
      </c>
      <c r="S2155" s="30" t="s">
        <v>38</v>
      </c>
      <c r="T2155" s="30" t="s">
        <v>39</v>
      </c>
      <c r="U2155" s="31">
        <v>0.83333333333333337</v>
      </c>
      <c r="V2155" s="82">
        <v>1</v>
      </c>
      <c r="AA2155" s="82"/>
      <c r="AF2155" s="84"/>
      <c r="AG2155" s="31">
        <v>0</v>
      </c>
      <c r="AH2155" t="s">
        <v>44</v>
      </c>
    </row>
    <row r="2156" spans="1:34">
      <c r="A2156" s="15" t="s">
        <v>2267</v>
      </c>
      <c r="B2156" s="12" t="s">
        <v>1505</v>
      </c>
      <c r="C2156" s="43" t="s">
        <v>2268</v>
      </c>
      <c r="D2156" t="s">
        <v>409</v>
      </c>
      <c r="E2156" s="30" t="s">
        <v>2269</v>
      </c>
      <c r="F2156" s="31">
        <v>0.99009900990099009</v>
      </c>
      <c r="G2156" s="82">
        <v>1</v>
      </c>
      <c r="L2156" s="82"/>
      <c r="Q2156" s="84"/>
      <c r="R2156" s="30" t="s">
        <v>2270</v>
      </c>
      <c r="S2156" s="30" t="s">
        <v>409</v>
      </c>
      <c r="T2156" s="30" t="s">
        <v>2269</v>
      </c>
      <c r="U2156" s="31">
        <v>0.86956521739130443</v>
      </c>
      <c r="V2156" s="82">
        <v>1</v>
      </c>
      <c r="AA2156" s="82"/>
      <c r="AF2156" s="84"/>
      <c r="AG2156" s="31">
        <v>0</v>
      </c>
      <c r="AH2156" t="s">
        <v>44</v>
      </c>
    </row>
    <row r="2157" spans="1:34">
      <c r="A2157" s="15" t="s">
        <v>2271</v>
      </c>
      <c r="B2157" s="12" t="s">
        <v>1505</v>
      </c>
      <c r="C2157" s="43" t="s">
        <v>2268</v>
      </c>
      <c r="D2157" t="s">
        <v>409</v>
      </c>
      <c r="E2157" s="30" t="s">
        <v>2269</v>
      </c>
      <c r="F2157" s="31">
        <v>0.99009900990099009</v>
      </c>
      <c r="G2157" s="82">
        <v>1</v>
      </c>
      <c r="L2157" s="82"/>
      <c r="Q2157" s="84"/>
      <c r="R2157" s="30" t="s">
        <v>2270</v>
      </c>
      <c r="S2157" s="30" t="s">
        <v>409</v>
      </c>
      <c r="T2157" s="30" t="s">
        <v>2269</v>
      </c>
      <c r="U2157" s="31">
        <v>0.86956521739130443</v>
      </c>
      <c r="V2157" s="82">
        <v>1</v>
      </c>
      <c r="AA2157" s="82"/>
      <c r="AF2157" s="84"/>
      <c r="AG2157" s="31">
        <v>0</v>
      </c>
      <c r="AH2157" t="s">
        <v>44</v>
      </c>
    </row>
    <row r="2158" spans="1:34">
      <c r="A2158" s="15" t="s">
        <v>2272</v>
      </c>
      <c r="B2158" s="12" t="s">
        <v>1505</v>
      </c>
      <c r="C2158" s="43" t="s">
        <v>2268</v>
      </c>
      <c r="D2158" t="s">
        <v>409</v>
      </c>
      <c r="E2158" s="30" t="s">
        <v>2269</v>
      </c>
      <c r="F2158" s="31">
        <v>0.99009900990099009</v>
      </c>
      <c r="G2158" s="82">
        <v>1</v>
      </c>
      <c r="L2158" s="82"/>
      <c r="Q2158" s="84"/>
      <c r="R2158" s="30" t="s">
        <v>2270</v>
      </c>
      <c r="S2158" s="30" t="s">
        <v>409</v>
      </c>
      <c r="T2158" s="30" t="s">
        <v>2269</v>
      </c>
      <c r="U2158" s="31">
        <v>0.86956521739130443</v>
      </c>
      <c r="V2158" s="82">
        <v>1</v>
      </c>
      <c r="AA2158" s="82"/>
      <c r="AF2158" s="84"/>
      <c r="AG2158" s="31">
        <v>0</v>
      </c>
      <c r="AH2158" t="s">
        <v>44</v>
      </c>
    </row>
    <row r="2159" spans="1:34">
      <c r="A2159" s="15" t="s">
        <v>2273</v>
      </c>
      <c r="B2159" s="12" t="s">
        <v>1505</v>
      </c>
      <c r="C2159" s="43" t="s">
        <v>2268</v>
      </c>
      <c r="D2159" t="s">
        <v>409</v>
      </c>
      <c r="E2159" s="30" t="s">
        <v>2269</v>
      </c>
      <c r="F2159" s="31">
        <v>0.99009900990099009</v>
      </c>
      <c r="G2159" s="82">
        <v>1</v>
      </c>
      <c r="L2159" s="82"/>
      <c r="Q2159" s="84"/>
      <c r="R2159" s="30" t="s">
        <v>2270</v>
      </c>
      <c r="S2159" s="30" t="s">
        <v>409</v>
      </c>
      <c r="T2159" s="30" t="s">
        <v>2269</v>
      </c>
      <c r="U2159" s="31">
        <v>0.86956521739130443</v>
      </c>
      <c r="V2159" s="82">
        <v>1</v>
      </c>
      <c r="AA2159" s="82"/>
      <c r="AF2159" s="84"/>
      <c r="AG2159" s="31">
        <v>0</v>
      </c>
      <c r="AH2159" t="s">
        <v>44</v>
      </c>
    </row>
    <row r="2160" spans="1:34">
      <c r="A2160" s="15" t="s">
        <v>2274</v>
      </c>
      <c r="B2160" s="12" t="s">
        <v>1505</v>
      </c>
      <c r="C2160" s="43" t="s">
        <v>2268</v>
      </c>
      <c r="D2160" t="s">
        <v>409</v>
      </c>
      <c r="E2160" s="30" t="s">
        <v>2269</v>
      </c>
      <c r="F2160" s="31">
        <v>0.99009900990099009</v>
      </c>
      <c r="G2160" s="82">
        <v>1</v>
      </c>
      <c r="L2160" s="82"/>
      <c r="Q2160" s="84"/>
      <c r="R2160" s="30" t="s">
        <v>2270</v>
      </c>
      <c r="S2160" s="30" t="s">
        <v>409</v>
      </c>
      <c r="T2160" s="30" t="s">
        <v>2269</v>
      </c>
      <c r="U2160" s="31">
        <v>0.86956521739130443</v>
      </c>
      <c r="V2160" s="82">
        <v>1</v>
      </c>
      <c r="AA2160" s="82"/>
      <c r="AF2160" s="84"/>
      <c r="AG2160" s="31">
        <v>0</v>
      </c>
      <c r="AH2160" t="s">
        <v>44</v>
      </c>
    </row>
    <row r="2161" spans="1:34">
      <c r="A2161" s="15" t="s">
        <v>2275</v>
      </c>
      <c r="B2161" s="12" t="s">
        <v>1505</v>
      </c>
      <c r="C2161" s="43" t="s">
        <v>2268</v>
      </c>
      <c r="D2161" t="s">
        <v>409</v>
      </c>
      <c r="E2161" s="30" t="s">
        <v>2269</v>
      </c>
      <c r="F2161" s="31">
        <v>0.99009900990099009</v>
      </c>
      <c r="G2161" s="82">
        <v>1</v>
      </c>
      <c r="L2161" s="82"/>
      <c r="Q2161" s="84"/>
      <c r="R2161" s="30" t="s">
        <v>2270</v>
      </c>
      <c r="S2161" s="30" t="s">
        <v>409</v>
      </c>
      <c r="T2161" s="30" t="s">
        <v>2269</v>
      </c>
      <c r="U2161" s="31">
        <v>0.86956521739130443</v>
      </c>
      <c r="V2161" s="82">
        <v>1</v>
      </c>
      <c r="AA2161" s="82"/>
      <c r="AF2161" s="84"/>
      <c r="AG2161" s="31">
        <v>0</v>
      </c>
      <c r="AH2161" t="s">
        <v>44</v>
      </c>
    </row>
    <row r="2162" spans="1:34">
      <c r="A2162" s="15" t="s">
        <v>2276</v>
      </c>
      <c r="B2162" s="12" t="s">
        <v>1505</v>
      </c>
      <c r="C2162" s="43" t="s">
        <v>2268</v>
      </c>
      <c r="D2162" t="s">
        <v>409</v>
      </c>
      <c r="E2162" s="30" t="s">
        <v>2269</v>
      </c>
      <c r="F2162" s="31">
        <v>0.99009900990099009</v>
      </c>
      <c r="G2162" s="82">
        <v>1</v>
      </c>
      <c r="L2162" s="82"/>
      <c r="Q2162" s="84"/>
      <c r="R2162" s="30" t="s">
        <v>2270</v>
      </c>
      <c r="S2162" s="30" t="s">
        <v>409</v>
      </c>
      <c r="T2162" s="30" t="s">
        <v>2269</v>
      </c>
      <c r="U2162" s="31">
        <v>0.86956521739130443</v>
      </c>
      <c r="V2162" s="82">
        <v>1</v>
      </c>
      <c r="AA2162" s="82"/>
      <c r="AF2162" s="84"/>
      <c r="AG2162" s="31">
        <v>0</v>
      </c>
      <c r="AH2162" t="s">
        <v>44</v>
      </c>
    </row>
    <row r="2163" spans="1:34">
      <c r="A2163" s="15" t="s">
        <v>2277</v>
      </c>
      <c r="B2163" s="12" t="s">
        <v>1505</v>
      </c>
      <c r="C2163" s="43" t="s">
        <v>2268</v>
      </c>
      <c r="D2163" t="s">
        <v>409</v>
      </c>
      <c r="E2163" s="30" t="s">
        <v>2269</v>
      </c>
      <c r="F2163" s="31">
        <v>0.99009900990099009</v>
      </c>
      <c r="G2163" s="82">
        <v>1</v>
      </c>
      <c r="L2163" s="82"/>
      <c r="Q2163" s="84"/>
      <c r="R2163" s="30" t="s">
        <v>2270</v>
      </c>
      <c r="S2163" s="30" t="s">
        <v>409</v>
      </c>
      <c r="T2163" s="30" t="s">
        <v>2269</v>
      </c>
      <c r="U2163" s="31">
        <v>0.86956521739130443</v>
      </c>
      <c r="V2163" s="82">
        <v>1</v>
      </c>
      <c r="AA2163" s="82"/>
      <c r="AF2163" s="84"/>
      <c r="AG2163" s="31">
        <v>0</v>
      </c>
      <c r="AH2163" t="s">
        <v>44</v>
      </c>
    </row>
    <row r="2164" spans="1:34">
      <c r="A2164" s="15" t="s">
        <v>2278</v>
      </c>
      <c r="B2164" s="12" t="s">
        <v>1505</v>
      </c>
      <c r="C2164" s="43" t="s">
        <v>2268</v>
      </c>
      <c r="D2164" t="s">
        <v>409</v>
      </c>
      <c r="E2164" s="30" t="s">
        <v>2269</v>
      </c>
      <c r="F2164" s="31">
        <v>0.99009900990099009</v>
      </c>
      <c r="G2164" s="82">
        <v>1</v>
      </c>
      <c r="L2164" s="82"/>
      <c r="Q2164" s="84"/>
      <c r="R2164" s="30" t="s">
        <v>2270</v>
      </c>
      <c r="S2164" s="30" t="s">
        <v>409</v>
      </c>
      <c r="T2164" s="30" t="s">
        <v>2269</v>
      </c>
      <c r="U2164" s="31">
        <v>0.86956521739130443</v>
      </c>
      <c r="V2164" s="82">
        <v>1</v>
      </c>
      <c r="AA2164" s="82"/>
      <c r="AF2164" s="84"/>
      <c r="AG2164" s="98">
        <v>0</v>
      </c>
      <c r="AH2164" t="s">
        <v>44</v>
      </c>
    </row>
    <row r="2165" spans="1:34">
      <c r="A2165" s="15" t="s">
        <v>2279</v>
      </c>
      <c r="B2165" s="12" t="s">
        <v>1505</v>
      </c>
      <c r="C2165" s="43" t="s">
        <v>2268</v>
      </c>
      <c r="D2165" t="s">
        <v>409</v>
      </c>
      <c r="E2165" s="30" t="s">
        <v>2269</v>
      </c>
      <c r="F2165" s="31">
        <v>0.99009900990099009</v>
      </c>
      <c r="G2165" s="82">
        <v>1</v>
      </c>
      <c r="L2165" s="82"/>
      <c r="Q2165" s="84"/>
      <c r="R2165" s="30" t="s">
        <v>2270</v>
      </c>
      <c r="S2165" s="30" t="s">
        <v>409</v>
      </c>
      <c r="T2165" s="30" t="s">
        <v>2269</v>
      </c>
      <c r="U2165" s="31">
        <v>0.86956521739130443</v>
      </c>
      <c r="V2165" s="82">
        <v>1</v>
      </c>
      <c r="AA2165" s="82"/>
      <c r="AF2165" s="84"/>
      <c r="AG2165" s="31">
        <v>0</v>
      </c>
      <c r="AH2165" t="s">
        <v>44</v>
      </c>
    </row>
    <row r="2166" spans="1:34">
      <c r="A2166" s="15" t="s">
        <v>2280</v>
      </c>
      <c r="B2166" s="12" t="s">
        <v>1505</v>
      </c>
      <c r="C2166" s="43" t="s">
        <v>2268</v>
      </c>
      <c r="D2166" t="s">
        <v>409</v>
      </c>
      <c r="E2166" s="30" t="s">
        <v>2269</v>
      </c>
      <c r="F2166" s="31">
        <v>0.99009900990099009</v>
      </c>
      <c r="G2166" s="82">
        <v>1</v>
      </c>
      <c r="L2166" s="82"/>
      <c r="Q2166" s="84"/>
      <c r="R2166" s="30" t="s">
        <v>2270</v>
      </c>
      <c r="S2166" s="30" t="s">
        <v>409</v>
      </c>
      <c r="T2166" s="30" t="s">
        <v>2269</v>
      </c>
      <c r="U2166" s="31">
        <v>0.86956521739130443</v>
      </c>
      <c r="V2166" s="82">
        <v>1</v>
      </c>
      <c r="AA2166" s="82"/>
      <c r="AF2166" s="84"/>
      <c r="AG2166" s="31">
        <v>0</v>
      </c>
      <c r="AH2166" t="s">
        <v>44</v>
      </c>
    </row>
    <row r="2167" spans="1:34">
      <c r="A2167" s="15" t="s">
        <v>2281</v>
      </c>
      <c r="B2167" s="12" t="s">
        <v>1505</v>
      </c>
      <c r="C2167" s="43" t="s">
        <v>2268</v>
      </c>
      <c r="D2167" t="s">
        <v>409</v>
      </c>
      <c r="E2167" s="30" t="s">
        <v>2269</v>
      </c>
      <c r="F2167" s="31">
        <v>0.99009900990099009</v>
      </c>
      <c r="G2167" s="82">
        <v>1</v>
      </c>
      <c r="L2167" s="82"/>
      <c r="Q2167" s="84"/>
      <c r="R2167" s="30" t="s">
        <v>2270</v>
      </c>
      <c r="S2167" s="30" t="s">
        <v>409</v>
      </c>
      <c r="T2167" s="30" t="s">
        <v>2269</v>
      </c>
      <c r="U2167" s="31">
        <v>0.86956521739130443</v>
      </c>
      <c r="V2167" s="82">
        <v>1</v>
      </c>
      <c r="AA2167" s="82"/>
      <c r="AF2167" s="84"/>
      <c r="AG2167" s="31">
        <v>0</v>
      </c>
      <c r="AH2167" t="s">
        <v>44</v>
      </c>
    </row>
    <row r="2168" spans="1:34" s="6" customFormat="1">
      <c r="A2168" s="18" t="s">
        <v>2282</v>
      </c>
      <c r="B2168" s="19" t="s">
        <v>1555</v>
      </c>
      <c r="C2168" s="42" t="s">
        <v>2051</v>
      </c>
      <c r="D2168" s="6" t="s">
        <v>38</v>
      </c>
      <c r="E2168" s="28" t="s">
        <v>39</v>
      </c>
      <c r="F2168" s="29">
        <v>0.63694267515923564</v>
      </c>
      <c r="G2168" s="83">
        <v>1</v>
      </c>
      <c r="H2168" s="28"/>
      <c r="I2168" s="28"/>
      <c r="J2168" s="28"/>
      <c r="K2168" s="29"/>
      <c r="L2168" s="83"/>
      <c r="M2168" s="74"/>
      <c r="N2168" s="28"/>
      <c r="O2168" s="28"/>
      <c r="P2168" s="29"/>
      <c r="Q2168" s="85"/>
      <c r="R2168" s="54" t="s">
        <v>160</v>
      </c>
      <c r="S2168" s="47" t="s">
        <v>38</v>
      </c>
      <c r="T2168" s="47" t="s">
        <v>39</v>
      </c>
      <c r="U2168" s="48">
        <v>0.69930069930069938</v>
      </c>
      <c r="V2168" s="49">
        <v>1</v>
      </c>
      <c r="W2168" s="28"/>
      <c r="X2168" s="28"/>
      <c r="Y2168" s="28"/>
      <c r="Z2168" s="29"/>
      <c r="AA2168" s="83"/>
      <c r="AB2168" s="74"/>
      <c r="AC2168" s="28"/>
      <c r="AD2168" s="28"/>
      <c r="AE2168" s="28"/>
      <c r="AF2168" s="85"/>
      <c r="AG2168" s="97">
        <v>0</v>
      </c>
      <c r="AH2168" s="6" t="s">
        <v>44</v>
      </c>
    </row>
    <row r="2169" spans="1:34">
      <c r="A2169" s="15" t="s">
        <v>2283</v>
      </c>
      <c r="B2169" s="12" t="s">
        <v>1555</v>
      </c>
      <c r="C2169" s="43" t="s">
        <v>2051</v>
      </c>
      <c r="D2169" t="s">
        <v>38</v>
      </c>
      <c r="E2169" s="30" t="s">
        <v>39</v>
      </c>
      <c r="F2169" s="31">
        <v>0.63694267515923564</v>
      </c>
      <c r="G2169" s="82">
        <v>1</v>
      </c>
      <c r="L2169" s="82"/>
      <c r="Q2169" s="84"/>
      <c r="R2169" s="55" t="s">
        <v>160</v>
      </c>
      <c r="S2169" s="26" t="s">
        <v>38</v>
      </c>
      <c r="T2169" s="26" t="s">
        <v>39</v>
      </c>
      <c r="U2169" s="27">
        <v>0.69930069930069938</v>
      </c>
      <c r="V2169" s="33">
        <v>1</v>
      </c>
      <c r="AA2169" s="82"/>
      <c r="AF2169" s="84"/>
      <c r="AG2169" s="31">
        <v>0</v>
      </c>
      <c r="AH2169" t="s">
        <v>44</v>
      </c>
    </row>
    <row r="2170" spans="1:34">
      <c r="A2170" s="15" t="s">
        <v>2284</v>
      </c>
      <c r="B2170" s="12" t="s">
        <v>1555</v>
      </c>
      <c r="C2170" s="43" t="s">
        <v>2051</v>
      </c>
      <c r="D2170" t="s">
        <v>38</v>
      </c>
      <c r="E2170" s="30" t="s">
        <v>39</v>
      </c>
      <c r="F2170" s="31">
        <v>0.63694267515923564</v>
      </c>
      <c r="G2170" s="82">
        <v>1</v>
      </c>
      <c r="L2170" s="82"/>
      <c r="Q2170" s="84"/>
      <c r="R2170" s="30" t="s">
        <v>160</v>
      </c>
      <c r="S2170" s="30" t="s">
        <v>38</v>
      </c>
      <c r="T2170" s="30" t="s">
        <v>39</v>
      </c>
      <c r="U2170" s="31">
        <v>0.69930069930069938</v>
      </c>
      <c r="V2170" s="82">
        <v>1</v>
      </c>
      <c r="AA2170" s="82"/>
      <c r="AF2170" s="84"/>
      <c r="AG2170" s="31">
        <v>0</v>
      </c>
      <c r="AH2170" t="s">
        <v>44</v>
      </c>
    </row>
    <row r="2171" spans="1:34">
      <c r="A2171" s="15" t="s">
        <v>2285</v>
      </c>
      <c r="B2171" s="12" t="s">
        <v>1555</v>
      </c>
      <c r="C2171" s="43" t="s">
        <v>2051</v>
      </c>
      <c r="D2171" t="s">
        <v>38</v>
      </c>
      <c r="E2171" s="30" t="s">
        <v>39</v>
      </c>
      <c r="F2171" s="31">
        <v>0.63694267515923564</v>
      </c>
      <c r="G2171" s="82">
        <v>1</v>
      </c>
      <c r="L2171" s="82"/>
      <c r="Q2171" s="84"/>
      <c r="R2171" s="30" t="s">
        <v>160</v>
      </c>
      <c r="S2171" s="30" t="s">
        <v>38</v>
      </c>
      <c r="T2171" s="30" t="s">
        <v>39</v>
      </c>
      <c r="U2171" s="31">
        <v>0.69930069930069938</v>
      </c>
      <c r="V2171" s="82">
        <v>1</v>
      </c>
      <c r="AA2171" s="82"/>
      <c r="AF2171" s="84"/>
      <c r="AG2171" s="31">
        <v>0</v>
      </c>
      <c r="AH2171" t="s">
        <v>44</v>
      </c>
    </row>
    <row r="2172" spans="1:34">
      <c r="A2172" s="15" t="s">
        <v>2286</v>
      </c>
      <c r="B2172" s="12" t="s">
        <v>1555</v>
      </c>
      <c r="C2172" s="43" t="s">
        <v>2051</v>
      </c>
      <c r="D2172" t="s">
        <v>38</v>
      </c>
      <c r="E2172" s="30" t="s">
        <v>39</v>
      </c>
      <c r="F2172" s="31">
        <v>0.63694267515923564</v>
      </c>
      <c r="G2172" s="82">
        <v>0.6</v>
      </c>
      <c r="H2172" s="43" t="s">
        <v>1952</v>
      </c>
      <c r="I2172" t="s">
        <v>38</v>
      </c>
      <c r="J2172" s="30" t="s">
        <v>39</v>
      </c>
      <c r="K2172" s="31">
        <v>0.84033613445378152</v>
      </c>
      <c r="L2172" s="82">
        <v>0.4</v>
      </c>
      <c r="Q2172" s="84"/>
      <c r="R2172" s="92" t="s">
        <v>160</v>
      </c>
      <c r="S2172" s="30" t="s">
        <v>38</v>
      </c>
      <c r="T2172" s="30" t="s">
        <v>39</v>
      </c>
      <c r="U2172" s="31">
        <v>0.69930069930069938</v>
      </c>
      <c r="V2172" s="82">
        <v>1</v>
      </c>
      <c r="AA2172" s="82"/>
      <c r="AF2172" s="84"/>
      <c r="AG2172" s="31">
        <v>0</v>
      </c>
      <c r="AH2172" t="s">
        <v>44</v>
      </c>
    </row>
    <row r="2173" spans="1:34">
      <c r="A2173" s="15" t="s">
        <v>2287</v>
      </c>
      <c r="B2173" s="12" t="s">
        <v>1555</v>
      </c>
      <c r="C2173" s="43" t="s">
        <v>1952</v>
      </c>
      <c r="D2173" t="s">
        <v>38</v>
      </c>
      <c r="E2173" s="30" t="s">
        <v>39</v>
      </c>
      <c r="F2173" s="31">
        <v>0.84033613445378152</v>
      </c>
      <c r="G2173" s="82">
        <v>1</v>
      </c>
      <c r="L2173" s="82"/>
      <c r="Q2173" s="84"/>
      <c r="R2173" s="92" t="s">
        <v>160</v>
      </c>
      <c r="S2173" s="30" t="s">
        <v>38</v>
      </c>
      <c r="T2173" s="30" t="s">
        <v>39</v>
      </c>
      <c r="U2173" s="31">
        <v>0.69930069930069938</v>
      </c>
      <c r="V2173" s="82">
        <v>0.6</v>
      </c>
      <c r="W2173" s="30" t="s">
        <v>1949</v>
      </c>
      <c r="X2173" s="30" t="s">
        <v>41</v>
      </c>
      <c r="Y2173" s="30" t="s">
        <v>1950</v>
      </c>
      <c r="Z2173" s="31">
        <v>0.68</v>
      </c>
      <c r="AA2173" s="82">
        <v>0.4</v>
      </c>
      <c r="AF2173" s="84"/>
      <c r="AG2173" s="31">
        <v>0</v>
      </c>
      <c r="AH2173" t="s">
        <v>44</v>
      </c>
    </row>
    <row r="2174" spans="1:34">
      <c r="A2174" s="15" t="s">
        <v>2288</v>
      </c>
      <c r="B2174" s="12" t="s">
        <v>1555</v>
      </c>
      <c r="C2174" s="43" t="s">
        <v>2051</v>
      </c>
      <c r="D2174" t="s">
        <v>38</v>
      </c>
      <c r="E2174" s="30" t="s">
        <v>39</v>
      </c>
      <c r="F2174" s="31">
        <v>0.63694267515923564</v>
      </c>
      <c r="G2174" s="82">
        <v>1</v>
      </c>
      <c r="L2174" s="82"/>
      <c r="Q2174" s="84"/>
      <c r="R2174" s="55" t="s">
        <v>160</v>
      </c>
      <c r="S2174" s="26" t="s">
        <v>38</v>
      </c>
      <c r="T2174" s="26" t="s">
        <v>39</v>
      </c>
      <c r="U2174" s="27">
        <v>0.69930069930069938</v>
      </c>
      <c r="V2174" s="33">
        <v>1</v>
      </c>
      <c r="AA2174" s="82"/>
      <c r="AF2174" s="84"/>
      <c r="AG2174" s="31">
        <v>0</v>
      </c>
      <c r="AH2174" t="s">
        <v>44</v>
      </c>
    </row>
    <row r="2175" spans="1:34">
      <c r="A2175" s="15" t="s">
        <v>2289</v>
      </c>
      <c r="B2175" s="12" t="s">
        <v>1555</v>
      </c>
      <c r="C2175" s="43" t="s">
        <v>2051</v>
      </c>
      <c r="D2175" t="s">
        <v>38</v>
      </c>
      <c r="E2175" s="30" t="s">
        <v>39</v>
      </c>
      <c r="F2175" s="31">
        <v>0.63694267515923564</v>
      </c>
      <c r="G2175" s="82">
        <v>1</v>
      </c>
      <c r="L2175" s="82"/>
      <c r="Q2175" s="84"/>
      <c r="R2175" s="55" t="s">
        <v>160</v>
      </c>
      <c r="S2175" s="26" t="s">
        <v>38</v>
      </c>
      <c r="T2175" s="26" t="s">
        <v>39</v>
      </c>
      <c r="U2175" s="27">
        <v>0.69930069930069938</v>
      </c>
      <c r="V2175" s="33">
        <v>1</v>
      </c>
      <c r="AA2175" s="82"/>
      <c r="AF2175" s="84"/>
      <c r="AG2175" s="31">
        <v>0</v>
      </c>
      <c r="AH2175" t="s">
        <v>44</v>
      </c>
    </row>
    <row r="2176" spans="1:34">
      <c r="A2176" s="15" t="s">
        <v>2290</v>
      </c>
      <c r="B2176" s="12" t="s">
        <v>1555</v>
      </c>
      <c r="C2176" s="43" t="s">
        <v>2051</v>
      </c>
      <c r="D2176" t="s">
        <v>38</v>
      </c>
      <c r="E2176" s="30" t="s">
        <v>39</v>
      </c>
      <c r="F2176" s="31">
        <v>0.63694267515923564</v>
      </c>
      <c r="G2176" s="82">
        <v>1</v>
      </c>
      <c r="L2176" s="82"/>
      <c r="Q2176" s="84"/>
      <c r="R2176" s="92" t="s">
        <v>160</v>
      </c>
      <c r="S2176" s="30" t="s">
        <v>38</v>
      </c>
      <c r="T2176" s="30" t="s">
        <v>39</v>
      </c>
      <c r="U2176" s="31">
        <v>0.69930069930069938</v>
      </c>
      <c r="V2176" s="82">
        <v>1</v>
      </c>
      <c r="AA2176" s="82"/>
      <c r="AF2176" s="84"/>
      <c r="AG2176" s="31">
        <v>0</v>
      </c>
      <c r="AH2176" t="s">
        <v>44</v>
      </c>
    </row>
    <row r="2177" spans="1:34">
      <c r="A2177" s="15" t="s">
        <v>2291</v>
      </c>
      <c r="B2177" s="12" t="s">
        <v>1555</v>
      </c>
      <c r="C2177" s="43" t="s">
        <v>2051</v>
      </c>
      <c r="D2177" t="s">
        <v>38</v>
      </c>
      <c r="E2177" s="30" t="s">
        <v>39</v>
      </c>
      <c r="F2177" s="31">
        <v>0.63694267515923564</v>
      </c>
      <c r="G2177" s="82">
        <v>1</v>
      </c>
      <c r="L2177" s="82"/>
      <c r="Q2177" s="84"/>
      <c r="R2177" s="92" t="s">
        <v>160</v>
      </c>
      <c r="S2177" s="30" t="s">
        <v>38</v>
      </c>
      <c r="T2177" s="30" t="s">
        <v>39</v>
      </c>
      <c r="U2177" s="31">
        <v>0.69930069930069938</v>
      </c>
      <c r="V2177" s="82">
        <v>1</v>
      </c>
      <c r="AA2177" s="82"/>
      <c r="AF2177" s="84"/>
      <c r="AG2177" s="31">
        <v>0</v>
      </c>
      <c r="AH2177" t="s">
        <v>44</v>
      </c>
    </row>
    <row r="2178" spans="1:34">
      <c r="A2178" s="15" t="s">
        <v>2292</v>
      </c>
      <c r="B2178" s="12" t="s">
        <v>1555</v>
      </c>
      <c r="C2178" s="43" t="s">
        <v>2051</v>
      </c>
      <c r="D2178" t="s">
        <v>38</v>
      </c>
      <c r="E2178" s="30" t="s">
        <v>39</v>
      </c>
      <c r="F2178" s="31">
        <v>0.63694267515923564</v>
      </c>
      <c r="G2178" s="82">
        <v>0.6</v>
      </c>
      <c r="H2178" s="43" t="s">
        <v>1952</v>
      </c>
      <c r="I2178" t="s">
        <v>38</v>
      </c>
      <c r="J2178" s="30" t="s">
        <v>39</v>
      </c>
      <c r="K2178" s="31">
        <v>0.84033613445378152</v>
      </c>
      <c r="L2178" s="82">
        <v>0.4</v>
      </c>
      <c r="Q2178" s="84"/>
      <c r="R2178" s="92" t="s">
        <v>160</v>
      </c>
      <c r="S2178" s="30" t="s">
        <v>38</v>
      </c>
      <c r="T2178" s="30" t="s">
        <v>39</v>
      </c>
      <c r="U2178" s="31">
        <v>0.69930069930069938</v>
      </c>
      <c r="V2178" s="82">
        <v>1</v>
      </c>
      <c r="AA2178" s="82"/>
      <c r="AF2178" s="84"/>
      <c r="AG2178" s="31">
        <v>0</v>
      </c>
      <c r="AH2178" t="s">
        <v>44</v>
      </c>
    </row>
    <row r="2179" spans="1:34">
      <c r="A2179" s="15" t="s">
        <v>2293</v>
      </c>
      <c r="B2179" s="12" t="s">
        <v>1555</v>
      </c>
      <c r="C2179" s="43" t="s">
        <v>1952</v>
      </c>
      <c r="D2179" t="s">
        <v>38</v>
      </c>
      <c r="E2179" s="30" t="s">
        <v>39</v>
      </c>
      <c r="F2179" s="31">
        <v>0.84033613445378152</v>
      </c>
      <c r="G2179" s="82">
        <v>1</v>
      </c>
      <c r="L2179" s="82"/>
      <c r="Q2179" s="84"/>
      <c r="R2179" s="92" t="s">
        <v>160</v>
      </c>
      <c r="S2179" s="30" t="s">
        <v>38</v>
      </c>
      <c r="T2179" s="30" t="s">
        <v>39</v>
      </c>
      <c r="U2179" s="31">
        <v>0.69930069930069938</v>
      </c>
      <c r="V2179" s="82">
        <v>0.6</v>
      </c>
      <c r="W2179" s="30" t="s">
        <v>1949</v>
      </c>
      <c r="X2179" s="30" t="s">
        <v>41</v>
      </c>
      <c r="Y2179" s="30" t="s">
        <v>1950</v>
      </c>
      <c r="Z2179" s="31">
        <v>0.68</v>
      </c>
      <c r="AA2179" s="82">
        <v>0.4</v>
      </c>
      <c r="AF2179" s="84"/>
      <c r="AG2179" s="31">
        <v>0</v>
      </c>
      <c r="AH2179" t="s">
        <v>44</v>
      </c>
    </row>
    <row r="2180" spans="1:34">
      <c r="A2180" s="15" t="s">
        <v>2294</v>
      </c>
      <c r="B2180" s="12" t="s">
        <v>1555</v>
      </c>
      <c r="C2180" s="43" t="s">
        <v>2051</v>
      </c>
      <c r="D2180" t="s">
        <v>38</v>
      </c>
      <c r="E2180" s="30" t="s">
        <v>39</v>
      </c>
      <c r="F2180" s="31">
        <v>0.63694267515923564</v>
      </c>
      <c r="G2180" s="82">
        <v>1</v>
      </c>
      <c r="L2180" s="82"/>
      <c r="Q2180" s="84"/>
      <c r="R2180" s="55" t="s">
        <v>160</v>
      </c>
      <c r="S2180" s="26" t="s">
        <v>38</v>
      </c>
      <c r="T2180" s="26" t="s">
        <v>39</v>
      </c>
      <c r="U2180" s="27">
        <v>0.69930069930069938</v>
      </c>
      <c r="V2180" s="33">
        <v>1</v>
      </c>
      <c r="AA2180" s="82"/>
      <c r="AF2180" s="84"/>
      <c r="AG2180" s="31">
        <v>0</v>
      </c>
      <c r="AH2180" t="s">
        <v>44</v>
      </c>
    </row>
    <row r="2181" spans="1:34">
      <c r="A2181" s="15" t="s">
        <v>2295</v>
      </c>
      <c r="B2181" s="12" t="s">
        <v>1555</v>
      </c>
      <c r="C2181" s="43" t="s">
        <v>2051</v>
      </c>
      <c r="D2181" t="s">
        <v>38</v>
      </c>
      <c r="E2181" s="30" t="s">
        <v>39</v>
      </c>
      <c r="F2181" s="31">
        <v>0.63694267515923564</v>
      </c>
      <c r="G2181" s="82">
        <v>1</v>
      </c>
      <c r="L2181" s="82"/>
      <c r="Q2181" s="84"/>
      <c r="R2181" s="55" t="s">
        <v>160</v>
      </c>
      <c r="S2181" s="26" t="s">
        <v>38</v>
      </c>
      <c r="T2181" s="26" t="s">
        <v>39</v>
      </c>
      <c r="U2181" s="27">
        <v>0.69930069930069938</v>
      </c>
      <c r="V2181" s="33">
        <v>1</v>
      </c>
      <c r="AA2181" s="82"/>
      <c r="AF2181" s="84"/>
      <c r="AG2181" s="98">
        <v>0</v>
      </c>
      <c r="AH2181" t="s">
        <v>44</v>
      </c>
    </row>
    <row r="2182" spans="1:34">
      <c r="A2182" s="15" t="s">
        <v>2296</v>
      </c>
      <c r="B2182" s="12" t="s">
        <v>1555</v>
      </c>
      <c r="C2182" s="43" t="s">
        <v>2051</v>
      </c>
      <c r="D2182" t="s">
        <v>38</v>
      </c>
      <c r="E2182" s="30" t="s">
        <v>39</v>
      </c>
      <c r="F2182" s="31">
        <v>0.63694267515923564</v>
      </c>
      <c r="G2182" s="82">
        <v>1</v>
      </c>
      <c r="L2182" s="82"/>
      <c r="Q2182" s="84"/>
      <c r="R2182" s="92" t="s">
        <v>160</v>
      </c>
      <c r="S2182" s="30" t="s">
        <v>38</v>
      </c>
      <c r="T2182" s="30" t="s">
        <v>39</v>
      </c>
      <c r="U2182" s="31">
        <v>0.69930069930069938</v>
      </c>
      <c r="V2182" s="82">
        <v>1</v>
      </c>
      <c r="AA2182" s="82"/>
      <c r="AF2182" s="84"/>
      <c r="AG2182" s="31">
        <v>0</v>
      </c>
      <c r="AH2182" t="s">
        <v>44</v>
      </c>
    </row>
    <row r="2183" spans="1:34">
      <c r="A2183" s="15" t="s">
        <v>2297</v>
      </c>
      <c r="B2183" s="12" t="s">
        <v>1555</v>
      </c>
      <c r="C2183" s="43" t="s">
        <v>2051</v>
      </c>
      <c r="D2183" t="s">
        <v>38</v>
      </c>
      <c r="E2183" s="30" t="s">
        <v>39</v>
      </c>
      <c r="F2183" s="31">
        <v>0.63694267515923564</v>
      </c>
      <c r="G2183" s="82">
        <v>1</v>
      </c>
      <c r="L2183" s="82"/>
      <c r="Q2183" s="84"/>
      <c r="R2183" s="92" t="s">
        <v>160</v>
      </c>
      <c r="S2183" s="30" t="s">
        <v>38</v>
      </c>
      <c r="T2183" s="30" t="s">
        <v>39</v>
      </c>
      <c r="U2183" s="31">
        <v>0.69930069930069938</v>
      </c>
      <c r="V2183" s="82">
        <v>1</v>
      </c>
      <c r="AA2183" s="82"/>
      <c r="AF2183" s="84"/>
      <c r="AG2183" s="31">
        <v>0</v>
      </c>
      <c r="AH2183" t="s">
        <v>44</v>
      </c>
    </row>
    <row r="2184" spans="1:34">
      <c r="A2184" s="15" t="s">
        <v>2298</v>
      </c>
      <c r="B2184" s="12" t="s">
        <v>1555</v>
      </c>
      <c r="C2184" s="43" t="s">
        <v>2051</v>
      </c>
      <c r="D2184" t="s">
        <v>38</v>
      </c>
      <c r="E2184" s="30" t="s">
        <v>39</v>
      </c>
      <c r="F2184" s="31">
        <v>0.63694267515923564</v>
      </c>
      <c r="G2184" s="82">
        <v>0.6</v>
      </c>
      <c r="H2184" s="43" t="s">
        <v>1952</v>
      </c>
      <c r="I2184" t="s">
        <v>38</v>
      </c>
      <c r="J2184" s="30" t="s">
        <v>39</v>
      </c>
      <c r="K2184" s="31">
        <v>0.84033613445378152</v>
      </c>
      <c r="L2184" s="82">
        <v>0.4</v>
      </c>
      <c r="Q2184" s="84"/>
      <c r="R2184" s="92" t="s">
        <v>160</v>
      </c>
      <c r="S2184" s="30" t="s">
        <v>38</v>
      </c>
      <c r="T2184" s="30" t="s">
        <v>39</v>
      </c>
      <c r="U2184" s="31">
        <v>0.69930069930069938</v>
      </c>
      <c r="V2184" s="82">
        <v>1</v>
      </c>
      <c r="AA2184" s="82"/>
      <c r="AF2184" s="84"/>
      <c r="AG2184" s="31">
        <v>0</v>
      </c>
      <c r="AH2184" t="s">
        <v>44</v>
      </c>
    </row>
    <row r="2185" spans="1:34">
      <c r="A2185" s="15" t="s">
        <v>2299</v>
      </c>
      <c r="B2185" s="12" t="s">
        <v>1555</v>
      </c>
      <c r="C2185" s="43" t="s">
        <v>1952</v>
      </c>
      <c r="D2185" t="s">
        <v>38</v>
      </c>
      <c r="E2185" s="30" t="s">
        <v>39</v>
      </c>
      <c r="F2185" s="31">
        <v>0.84033613445378152</v>
      </c>
      <c r="G2185" s="82">
        <v>1</v>
      </c>
      <c r="L2185" s="82"/>
      <c r="Q2185" s="84"/>
      <c r="R2185" s="94" t="s">
        <v>160</v>
      </c>
      <c r="S2185" s="63" t="s">
        <v>38</v>
      </c>
      <c r="T2185" s="63" t="s">
        <v>39</v>
      </c>
      <c r="U2185" s="93">
        <v>0.69930069930069938</v>
      </c>
      <c r="V2185" s="95">
        <v>0.6</v>
      </c>
      <c r="W2185" s="63" t="s">
        <v>1949</v>
      </c>
      <c r="X2185" s="63" t="s">
        <v>41</v>
      </c>
      <c r="Y2185" s="63" t="s">
        <v>1950</v>
      </c>
      <c r="Z2185" s="93">
        <v>0.68</v>
      </c>
      <c r="AA2185" s="95">
        <v>0.4</v>
      </c>
      <c r="AF2185" s="84"/>
      <c r="AG2185" s="31">
        <v>0</v>
      </c>
      <c r="AH2185" t="s">
        <v>44</v>
      </c>
    </row>
    <row r="2186" spans="1:34" s="6" customFormat="1">
      <c r="A2186" s="18" t="s">
        <v>2300</v>
      </c>
      <c r="B2186" s="19" t="s">
        <v>1640</v>
      </c>
      <c r="C2186" s="42" t="s">
        <v>1948</v>
      </c>
      <c r="D2186" s="6" t="s">
        <v>41</v>
      </c>
      <c r="E2186" s="28" t="s">
        <v>39</v>
      </c>
      <c r="F2186" s="29">
        <v>0.86206896551724144</v>
      </c>
      <c r="G2186" s="83">
        <v>1</v>
      </c>
      <c r="H2186" s="28"/>
      <c r="I2186" s="28"/>
      <c r="J2186" s="28"/>
      <c r="K2186" s="29"/>
      <c r="L2186" s="83"/>
      <c r="M2186" s="74"/>
      <c r="N2186" s="28"/>
      <c r="O2186" s="28"/>
      <c r="P2186" s="29"/>
      <c r="Q2186" s="85"/>
      <c r="R2186" s="54" t="s">
        <v>2134</v>
      </c>
      <c r="S2186" s="28" t="s">
        <v>41</v>
      </c>
      <c r="T2186" s="28" t="s">
        <v>39</v>
      </c>
      <c r="U2186" s="29">
        <v>0.64935064935064934</v>
      </c>
      <c r="V2186" s="83">
        <v>1</v>
      </c>
      <c r="W2186" s="28"/>
      <c r="X2186" s="28"/>
      <c r="Y2186" s="28"/>
      <c r="Z2186" s="29"/>
      <c r="AA2186" s="83"/>
      <c r="AB2186" s="74"/>
      <c r="AC2186" s="28"/>
      <c r="AD2186" s="28"/>
      <c r="AE2186" s="28"/>
      <c r="AF2186" s="85"/>
      <c r="AG2186" s="97">
        <v>0</v>
      </c>
      <c r="AH2186" s="6" t="s">
        <v>44</v>
      </c>
    </row>
    <row r="2187" spans="1:34">
      <c r="A2187" s="15" t="s">
        <v>2301</v>
      </c>
      <c r="B2187" s="12" t="s">
        <v>1640</v>
      </c>
      <c r="C2187" s="43" t="s">
        <v>1948</v>
      </c>
      <c r="D2187" t="s">
        <v>41</v>
      </c>
      <c r="E2187" s="30" t="s">
        <v>39</v>
      </c>
      <c r="F2187" s="31">
        <v>0.86206896551724144</v>
      </c>
      <c r="G2187" s="82">
        <v>1</v>
      </c>
      <c r="L2187" s="82"/>
      <c r="Q2187" s="84"/>
      <c r="R2187" s="30" t="s">
        <v>2134</v>
      </c>
      <c r="S2187" s="30" t="s">
        <v>41</v>
      </c>
      <c r="T2187" s="30" t="s">
        <v>39</v>
      </c>
      <c r="U2187" s="31">
        <v>0.64935064935064934</v>
      </c>
      <c r="V2187" s="82">
        <v>1</v>
      </c>
      <c r="AA2187" s="82"/>
      <c r="AF2187" s="84"/>
      <c r="AG2187" s="31">
        <v>0</v>
      </c>
      <c r="AH2187" t="s">
        <v>44</v>
      </c>
    </row>
    <row r="2188" spans="1:34">
      <c r="A2188" s="15" t="s">
        <v>2302</v>
      </c>
      <c r="B2188" s="12" t="s">
        <v>1640</v>
      </c>
      <c r="C2188" s="43" t="s">
        <v>1948</v>
      </c>
      <c r="D2188" t="s">
        <v>41</v>
      </c>
      <c r="E2188" s="30" t="s">
        <v>39</v>
      </c>
      <c r="F2188" s="31">
        <v>0.86206896551724144</v>
      </c>
      <c r="G2188" s="82">
        <v>1</v>
      </c>
      <c r="L2188" s="82"/>
      <c r="Q2188" s="84"/>
      <c r="R2188" s="30" t="s">
        <v>2134</v>
      </c>
      <c r="S2188" s="30" t="s">
        <v>41</v>
      </c>
      <c r="T2188" s="30" t="s">
        <v>39</v>
      </c>
      <c r="U2188" s="31">
        <v>0.64935064935064934</v>
      </c>
      <c r="V2188" s="82">
        <v>1</v>
      </c>
      <c r="AA2188" s="82"/>
      <c r="AF2188" s="84"/>
      <c r="AG2188" s="31">
        <v>0</v>
      </c>
      <c r="AH2188" t="s">
        <v>44</v>
      </c>
    </row>
    <row r="2189" spans="1:34">
      <c r="A2189" s="15" t="s">
        <v>2303</v>
      </c>
      <c r="B2189" s="12" t="s">
        <v>1640</v>
      </c>
      <c r="C2189" s="43" t="s">
        <v>1948</v>
      </c>
      <c r="D2189" t="s">
        <v>41</v>
      </c>
      <c r="E2189" s="30" t="s">
        <v>39</v>
      </c>
      <c r="F2189" s="31">
        <v>0.86206896551724144</v>
      </c>
      <c r="G2189" s="82">
        <v>1</v>
      </c>
      <c r="L2189" s="82"/>
      <c r="Q2189" s="84"/>
      <c r="R2189" s="30" t="s">
        <v>2134</v>
      </c>
      <c r="S2189" s="30" t="s">
        <v>41</v>
      </c>
      <c r="T2189" s="30" t="s">
        <v>39</v>
      </c>
      <c r="U2189" s="31">
        <v>0.64935064935064934</v>
      </c>
      <c r="V2189" s="82">
        <v>1</v>
      </c>
      <c r="AA2189" s="82"/>
      <c r="AF2189" s="84"/>
      <c r="AG2189" s="31">
        <v>0</v>
      </c>
      <c r="AH2189" t="s">
        <v>44</v>
      </c>
    </row>
    <row r="2190" spans="1:34">
      <c r="A2190" s="15" t="s">
        <v>2304</v>
      </c>
      <c r="B2190" s="12" t="s">
        <v>1640</v>
      </c>
      <c r="C2190" s="43" t="s">
        <v>1948</v>
      </c>
      <c r="D2190" t="s">
        <v>41</v>
      </c>
      <c r="E2190" s="30" t="s">
        <v>39</v>
      </c>
      <c r="F2190" s="31">
        <v>0.86206896551724144</v>
      </c>
      <c r="G2190" s="82">
        <v>1</v>
      </c>
      <c r="L2190" s="82"/>
      <c r="Q2190" s="84"/>
      <c r="R2190" s="30" t="s">
        <v>2134</v>
      </c>
      <c r="S2190" s="30" t="s">
        <v>41</v>
      </c>
      <c r="T2190" s="30" t="s">
        <v>39</v>
      </c>
      <c r="U2190" s="31">
        <v>0.64935064935064934</v>
      </c>
      <c r="V2190" s="82">
        <v>1</v>
      </c>
      <c r="AA2190" s="82"/>
      <c r="AF2190" s="84"/>
      <c r="AG2190" s="31">
        <v>0</v>
      </c>
      <c r="AH2190" t="s">
        <v>44</v>
      </c>
    </row>
    <row r="2191" spans="1:34">
      <c r="A2191" s="15" t="s">
        <v>2305</v>
      </c>
      <c r="B2191" s="12" t="s">
        <v>1640</v>
      </c>
      <c r="C2191" s="43" t="s">
        <v>1948</v>
      </c>
      <c r="D2191" t="s">
        <v>41</v>
      </c>
      <c r="E2191" s="30" t="s">
        <v>39</v>
      </c>
      <c r="F2191" s="31">
        <v>0.86206896551724144</v>
      </c>
      <c r="G2191" s="82">
        <v>1</v>
      </c>
      <c r="L2191" s="82"/>
      <c r="Q2191" s="84"/>
      <c r="R2191" s="30" t="s">
        <v>2134</v>
      </c>
      <c r="S2191" s="30" t="s">
        <v>41</v>
      </c>
      <c r="T2191" s="30" t="s">
        <v>39</v>
      </c>
      <c r="U2191" s="31">
        <v>0.64935064935064934</v>
      </c>
      <c r="V2191" s="82">
        <v>1</v>
      </c>
      <c r="AA2191" s="82"/>
      <c r="AF2191" s="84"/>
      <c r="AG2191" s="31">
        <v>0</v>
      </c>
      <c r="AH2191" t="s">
        <v>44</v>
      </c>
    </row>
    <row r="2192" spans="1:34">
      <c r="A2192" s="15" t="s">
        <v>2306</v>
      </c>
      <c r="B2192" s="12" t="s">
        <v>1640</v>
      </c>
      <c r="C2192" s="43" t="s">
        <v>1948</v>
      </c>
      <c r="D2192" t="s">
        <v>41</v>
      </c>
      <c r="E2192" s="30" t="s">
        <v>39</v>
      </c>
      <c r="F2192" s="31">
        <v>0.86206896551724144</v>
      </c>
      <c r="G2192" s="82">
        <v>1</v>
      </c>
      <c r="L2192" s="82"/>
      <c r="Q2192" s="84"/>
      <c r="R2192" s="30" t="s">
        <v>2134</v>
      </c>
      <c r="S2192" s="30" t="s">
        <v>41</v>
      </c>
      <c r="T2192" s="30" t="s">
        <v>39</v>
      </c>
      <c r="U2192" s="31">
        <v>0.64935064935064934</v>
      </c>
      <c r="V2192" s="82">
        <v>1</v>
      </c>
      <c r="AA2192" s="82"/>
      <c r="AF2192" s="84"/>
      <c r="AG2192" s="31">
        <v>0</v>
      </c>
      <c r="AH2192" t="s">
        <v>44</v>
      </c>
    </row>
    <row r="2193" spans="1:34">
      <c r="A2193" s="15" t="s">
        <v>2307</v>
      </c>
      <c r="B2193" s="12" t="s">
        <v>1640</v>
      </c>
      <c r="C2193" s="43" t="s">
        <v>1948</v>
      </c>
      <c r="D2193" t="s">
        <v>41</v>
      </c>
      <c r="E2193" s="30" t="s">
        <v>39</v>
      </c>
      <c r="F2193" s="31">
        <v>0.86206896551724144</v>
      </c>
      <c r="G2193" s="82">
        <v>1</v>
      </c>
      <c r="L2193" s="82"/>
      <c r="Q2193" s="84"/>
      <c r="R2193" s="30" t="s">
        <v>2134</v>
      </c>
      <c r="S2193" s="30" t="s">
        <v>41</v>
      </c>
      <c r="T2193" s="30" t="s">
        <v>39</v>
      </c>
      <c r="U2193" s="31">
        <v>0.64935064935064934</v>
      </c>
      <c r="V2193" s="82">
        <v>1</v>
      </c>
      <c r="AA2193" s="82"/>
      <c r="AF2193" s="84"/>
      <c r="AG2193" s="31">
        <v>0</v>
      </c>
      <c r="AH2193" t="s">
        <v>44</v>
      </c>
    </row>
    <row r="2194" spans="1:34">
      <c r="A2194" s="15" t="s">
        <v>2308</v>
      </c>
      <c r="B2194" s="12" t="s">
        <v>1640</v>
      </c>
      <c r="C2194" s="43" t="s">
        <v>1948</v>
      </c>
      <c r="D2194" t="s">
        <v>41</v>
      </c>
      <c r="E2194" s="30" t="s">
        <v>39</v>
      </c>
      <c r="F2194" s="31">
        <v>0.86206896551724144</v>
      </c>
      <c r="G2194" s="82">
        <v>1</v>
      </c>
      <c r="L2194" s="82"/>
      <c r="Q2194" s="84"/>
      <c r="R2194" s="30" t="s">
        <v>2134</v>
      </c>
      <c r="S2194" s="30" t="s">
        <v>41</v>
      </c>
      <c r="T2194" s="30" t="s">
        <v>39</v>
      </c>
      <c r="U2194" s="31">
        <v>0.64935064935064934</v>
      </c>
      <c r="V2194" s="82">
        <v>1</v>
      </c>
      <c r="AA2194" s="82"/>
      <c r="AF2194" s="84"/>
      <c r="AG2194" s="31">
        <v>0</v>
      </c>
      <c r="AH2194" t="s">
        <v>44</v>
      </c>
    </row>
    <row r="2195" spans="1:34">
      <c r="A2195" s="15" t="s">
        <v>2309</v>
      </c>
      <c r="B2195" s="12" t="s">
        <v>1640</v>
      </c>
      <c r="C2195" s="43" t="s">
        <v>1948</v>
      </c>
      <c r="D2195" t="s">
        <v>41</v>
      </c>
      <c r="E2195" s="30" t="s">
        <v>39</v>
      </c>
      <c r="F2195" s="31">
        <v>0.86206896551724144</v>
      </c>
      <c r="G2195" s="82">
        <v>1</v>
      </c>
      <c r="L2195" s="82"/>
      <c r="Q2195" s="84"/>
      <c r="R2195" s="30" t="s">
        <v>2134</v>
      </c>
      <c r="S2195" s="30" t="s">
        <v>41</v>
      </c>
      <c r="T2195" s="30" t="s">
        <v>39</v>
      </c>
      <c r="U2195" s="31">
        <v>0.64935064935064934</v>
      </c>
      <c r="V2195" s="82">
        <v>1</v>
      </c>
      <c r="AA2195" s="82"/>
      <c r="AF2195" s="84"/>
      <c r="AG2195" s="31">
        <v>0</v>
      </c>
      <c r="AH2195" t="s">
        <v>44</v>
      </c>
    </row>
    <row r="2196" spans="1:34">
      <c r="A2196" s="15" t="s">
        <v>2310</v>
      </c>
      <c r="B2196" s="12" t="s">
        <v>1640</v>
      </c>
      <c r="C2196" s="43" t="s">
        <v>1948</v>
      </c>
      <c r="D2196" t="s">
        <v>41</v>
      </c>
      <c r="E2196" s="30" t="s">
        <v>39</v>
      </c>
      <c r="F2196" s="31">
        <v>0.86206896551724144</v>
      </c>
      <c r="G2196" s="82">
        <v>1</v>
      </c>
      <c r="L2196" s="82"/>
      <c r="Q2196" s="84"/>
      <c r="R2196" s="30" t="s">
        <v>2134</v>
      </c>
      <c r="S2196" s="30" t="s">
        <v>41</v>
      </c>
      <c r="T2196" s="30" t="s">
        <v>39</v>
      </c>
      <c r="U2196" s="31">
        <v>0.64935064935064934</v>
      </c>
      <c r="V2196" s="82">
        <v>1</v>
      </c>
      <c r="AA2196" s="82"/>
      <c r="AF2196" s="84"/>
      <c r="AG2196" s="31">
        <v>0</v>
      </c>
      <c r="AH2196" t="s">
        <v>44</v>
      </c>
    </row>
    <row r="2197" spans="1:34">
      <c r="A2197" s="15" t="s">
        <v>2311</v>
      </c>
      <c r="B2197" s="12" t="s">
        <v>1640</v>
      </c>
      <c r="C2197" s="43" t="s">
        <v>1948</v>
      </c>
      <c r="D2197" t="s">
        <v>41</v>
      </c>
      <c r="E2197" s="30" t="s">
        <v>39</v>
      </c>
      <c r="F2197" s="31">
        <v>0.86206896551724144</v>
      </c>
      <c r="G2197" s="82">
        <v>1</v>
      </c>
      <c r="L2197" s="82"/>
      <c r="Q2197" s="84"/>
      <c r="R2197" s="30" t="s">
        <v>2134</v>
      </c>
      <c r="S2197" s="30" t="s">
        <v>41</v>
      </c>
      <c r="T2197" s="30" t="s">
        <v>39</v>
      </c>
      <c r="U2197" s="31">
        <v>0.64935064935064934</v>
      </c>
      <c r="V2197" s="82">
        <v>1</v>
      </c>
      <c r="AA2197" s="82"/>
      <c r="AF2197" s="84"/>
      <c r="AG2197" s="31">
        <v>0</v>
      </c>
      <c r="AH2197" t="s">
        <v>44</v>
      </c>
    </row>
    <row r="2198" spans="1:34">
      <c r="A2198" s="15" t="s">
        <v>2312</v>
      </c>
      <c r="B2198" s="12" t="s">
        <v>1640</v>
      </c>
      <c r="C2198" s="43" t="s">
        <v>1948</v>
      </c>
      <c r="D2198" t="s">
        <v>41</v>
      </c>
      <c r="E2198" s="30" t="s">
        <v>39</v>
      </c>
      <c r="F2198" s="31">
        <v>0.86206896551724144</v>
      </c>
      <c r="G2198" s="82">
        <v>1</v>
      </c>
      <c r="L2198" s="82"/>
      <c r="Q2198" s="84"/>
      <c r="R2198" s="30" t="s">
        <v>2134</v>
      </c>
      <c r="S2198" s="30" t="s">
        <v>41</v>
      </c>
      <c r="T2198" s="30" t="s">
        <v>39</v>
      </c>
      <c r="U2198" s="31">
        <v>0.64935064935064934</v>
      </c>
      <c r="V2198" s="82">
        <v>1</v>
      </c>
      <c r="AA2198" s="82"/>
      <c r="AF2198" s="84"/>
      <c r="AG2198" s="31">
        <v>0</v>
      </c>
      <c r="AH2198" t="s">
        <v>44</v>
      </c>
    </row>
    <row r="2199" spans="1:34">
      <c r="A2199" s="15" t="s">
        <v>2313</v>
      </c>
      <c r="B2199" s="12" t="s">
        <v>1640</v>
      </c>
      <c r="C2199" s="43" t="s">
        <v>1948</v>
      </c>
      <c r="D2199" t="s">
        <v>41</v>
      </c>
      <c r="E2199" s="30" t="s">
        <v>39</v>
      </c>
      <c r="F2199" s="31">
        <v>0.86206896551724144</v>
      </c>
      <c r="G2199" s="82">
        <v>1</v>
      </c>
      <c r="L2199" s="82"/>
      <c r="Q2199" s="84"/>
      <c r="R2199" s="30" t="s">
        <v>2134</v>
      </c>
      <c r="S2199" s="30" t="s">
        <v>41</v>
      </c>
      <c r="T2199" s="30" t="s">
        <v>39</v>
      </c>
      <c r="U2199" s="31">
        <v>0.64935064935064934</v>
      </c>
      <c r="V2199" s="82">
        <v>1</v>
      </c>
      <c r="AA2199" s="82"/>
      <c r="AF2199" s="84"/>
      <c r="AG2199" s="31">
        <v>0</v>
      </c>
      <c r="AH2199" t="s">
        <v>44</v>
      </c>
    </row>
    <row r="2200" spans="1:34">
      <c r="A2200" s="15" t="s">
        <v>2314</v>
      </c>
      <c r="B2200" s="12" t="s">
        <v>1640</v>
      </c>
      <c r="C2200" s="43" t="s">
        <v>1948</v>
      </c>
      <c r="D2200" t="s">
        <v>41</v>
      </c>
      <c r="E2200" s="30" t="s">
        <v>39</v>
      </c>
      <c r="F2200" s="31">
        <v>0.86206896551724144</v>
      </c>
      <c r="G2200" s="82">
        <v>1</v>
      </c>
      <c r="L2200" s="82"/>
      <c r="Q2200" s="84"/>
      <c r="R2200" s="30" t="s">
        <v>2134</v>
      </c>
      <c r="S2200" s="30" t="s">
        <v>41</v>
      </c>
      <c r="T2200" s="30" t="s">
        <v>39</v>
      </c>
      <c r="U2200" s="31">
        <v>0.64935064935064934</v>
      </c>
      <c r="V2200" s="82">
        <v>1</v>
      </c>
      <c r="AA2200" s="82"/>
      <c r="AF2200" s="84"/>
      <c r="AG2200" s="31">
        <v>0</v>
      </c>
      <c r="AH2200" t="s">
        <v>44</v>
      </c>
    </row>
    <row r="2201" spans="1:34">
      <c r="A2201" s="15" t="s">
        <v>2315</v>
      </c>
      <c r="B2201" s="12" t="s">
        <v>1640</v>
      </c>
      <c r="C2201" s="43" t="s">
        <v>1948</v>
      </c>
      <c r="D2201" t="s">
        <v>41</v>
      </c>
      <c r="E2201" s="30" t="s">
        <v>39</v>
      </c>
      <c r="F2201" s="31">
        <v>0.86206896551724144</v>
      </c>
      <c r="G2201" s="82">
        <v>1</v>
      </c>
      <c r="L2201" s="82"/>
      <c r="Q2201" s="84"/>
      <c r="R2201" s="30" t="s">
        <v>2134</v>
      </c>
      <c r="S2201" s="30" t="s">
        <v>41</v>
      </c>
      <c r="T2201" s="30" t="s">
        <v>39</v>
      </c>
      <c r="U2201" s="31">
        <v>0.64935064935064934</v>
      </c>
      <c r="V2201" s="82">
        <v>1</v>
      </c>
      <c r="AA2201" s="82"/>
      <c r="AF2201" s="84"/>
      <c r="AG2201" s="31">
        <v>0</v>
      </c>
      <c r="AH2201" t="s">
        <v>44</v>
      </c>
    </row>
    <row r="2202" spans="1:34" s="6" customFormat="1">
      <c r="A2202" s="18" t="s">
        <v>2316</v>
      </c>
      <c r="B2202" s="19" t="s">
        <v>1690</v>
      </c>
      <c r="C2202" s="42" t="s">
        <v>410</v>
      </c>
      <c r="D2202" s="6" t="s">
        <v>38</v>
      </c>
      <c r="E2202" s="28" t="s">
        <v>42</v>
      </c>
      <c r="F2202" s="29">
        <v>3.2258064516129035</v>
      </c>
      <c r="G2202" s="83">
        <v>0.66666666666666663</v>
      </c>
      <c r="H2202" s="42" t="s">
        <v>2032</v>
      </c>
      <c r="I2202" s="28" t="s">
        <v>38</v>
      </c>
      <c r="J2202" s="28" t="s">
        <v>1879</v>
      </c>
      <c r="K2202" s="29">
        <v>0.9009009009009008</v>
      </c>
      <c r="L2202" s="83">
        <v>0.33333333333333331</v>
      </c>
      <c r="M2202" s="74"/>
      <c r="N2202" s="28"/>
      <c r="O2202" s="28"/>
      <c r="P2202" s="29"/>
      <c r="Q2202" s="85"/>
      <c r="R2202" s="91" t="s">
        <v>411</v>
      </c>
      <c r="S2202" s="28" t="s">
        <v>38</v>
      </c>
      <c r="T2202" s="28" t="s">
        <v>42</v>
      </c>
      <c r="U2202" s="29">
        <v>2.5</v>
      </c>
      <c r="V2202" s="83">
        <v>0.6</v>
      </c>
      <c r="W2202" s="28" t="s">
        <v>160</v>
      </c>
      <c r="X2202" s="28" t="s">
        <v>38</v>
      </c>
      <c r="Y2202" s="28" t="s">
        <v>39</v>
      </c>
      <c r="Z2202" s="29">
        <v>0.90909090909090906</v>
      </c>
      <c r="AA2202" s="83">
        <v>0.2</v>
      </c>
      <c r="AB2202" s="28" t="s">
        <v>1878</v>
      </c>
      <c r="AC2202" s="28" t="s">
        <v>38</v>
      </c>
      <c r="AD2202" s="28" t="s">
        <v>1879</v>
      </c>
      <c r="AE2202" s="29">
        <v>0.84745762711864414</v>
      </c>
      <c r="AF2202" s="85">
        <v>0.2</v>
      </c>
      <c r="AG2202" s="97">
        <v>0</v>
      </c>
      <c r="AH2202" s="6" t="s">
        <v>44</v>
      </c>
    </row>
    <row r="2203" spans="1:34">
      <c r="A2203" s="15" t="s">
        <v>2317</v>
      </c>
      <c r="B2203" s="12" t="s">
        <v>1690</v>
      </c>
      <c r="C2203" s="43" t="s">
        <v>410</v>
      </c>
      <c r="D2203" t="s">
        <v>38</v>
      </c>
      <c r="E2203" s="30" t="s">
        <v>42</v>
      </c>
      <c r="F2203" s="31">
        <v>3.2258064516129035</v>
      </c>
      <c r="G2203" s="82">
        <v>0.66666666666666663</v>
      </c>
      <c r="H2203" s="30" t="s">
        <v>2032</v>
      </c>
      <c r="I2203" s="30" t="s">
        <v>38</v>
      </c>
      <c r="J2203" s="30" t="s">
        <v>1879</v>
      </c>
      <c r="K2203" s="31">
        <v>0.9009009009009008</v>
      </c>
      <c r="L2203" s="82">
        <v>0.33333333333333331</v>
      </c>
      <c r="Q2203" s="84"/>
      <c r="R2203" s="92" t="s">
        <v>411</v>
      </c>
      <c r="S2203" s="30" t="s">
        <v>38</v>
      </c>
      <c r="T2203" s="30" t="s">
        <v>42</v>
      </c>
      <c r="U2203" s="31">
        <v>2.5</v>
      </c>
      <c r="V2203" s="82">
        <v>0.6</v>
      </c>
      <c r="W2203" s="30" t="s">
        <v>160</v>
      </c>
      <c r="X2203" s="30" t="s">
        <v>38</v>
      </c>
      <c r="Y2203" s="30" t="s">
        <v>39</v>
      </c>
      <c r="Z2203" s="31">
        <v>0.90909090909090906</v>
      </c>
      <c r="AA2203" s="82">
        <v>0.2</v>
      </c>
      <c r="AB2203" s="30" t="s">
        <v>1878</v>
      </c>
      <c r="AC2203" s="30" t="s">
        <v>38</v>
      </c>
      <c r="AD2203" s="30" t="s">
        <v>1879</v>
      </c>
      <c r="AE2203" s="31">
        <v>0.84745762711864414</v>
      </c>
      <c r="AF2203" s="84">
        <v>0.2</v>
      </c>
      <c r="AG2203" s="31">
        <v>0</v>
      </c>
      <c r="AH2203" t="s">
        <v>44</v>
      </c>
    </row>
    <row r="2204" spans="1:34">
      <c r="A2204" s="15" t="s">
        <v>2318</v>
      </c>
      <c r="B2204" s="12" t="s">
        <v>1690</v>
      </c>
      <c r="C2204" s="43" t="s">
        <v>410</v>
      </c>
      <c r="D2204" t="s">
        <v>38</v>
      </c>
      <c r="E2204" s="30" t="s">
        <v>42</v>
      </c>
      <c r="F2204" s="31">
        <v>3.2258064516129035</v>
      </c>
      <c r="G2204" s="82">
        <v>0.66666666666666663</v>
      </c>
      <c r="H2204" s="30" t="s">
        <v>2032</v>
      </c>
      <c r="I2204" s="30" t="s">
        <v>38</v>
      </c>
      <c r="J2204" s="30" t="s">
        <v>1879</v>
      </c>
      <c r="K2204" s="31">
        <v>0.9009009009009008</v>
      </c>
      <c r="L2204" s="82">
        <v>0.33333333333333331</v>
      </c>
      <c r="Q2204" s="84"/>
      <c r="R2204" s="30" t="s">
        <v>411</v>
      </c>
      <c r="S2204" s="30" t="s">
        <v>38</v>
      </c>
      <c r="T2204" s="30" t="s">
        <v>42</v>
      </c>
      <c r="U2204" s="31">
        <v>2.5</v>
      </c>
      <c r="V2204" s="82">
        <v>0.6</v>
      </c>
      <c r="W2204" s="30" t="s">
        <v>160</v>
      </c>
      <c r="X2204" s="30" t="s">
        <v>38</v>
      </c>
      <c r="Y2204" s="30" t="s">
        <v>39</v>
      </c>
      <c r="Z2204" s="31">
        <v>0.90909090909090906</v>
      </c>
      <c r="AA2204" s="82">
        <v>0.2</v>
      </c>
      <c r="AB2204" s="73" t="s">
        <v>1878</v>
      </c>
      <c r="AC2204" s="30" t="s">
        <v>38</v>
      </c>
      <c r="AD2204" s="30" t="s">
        <v>1879</v>
      </c>
      <c r="AE2204" s="30">
        <v>0.84745762711864414</v>
      </c>
      <c r="AF2204" s="84">
        <v>0.2</v>
      </c>
      <c r="AG2204" s="31">
        <v>0</v>
      </c>
      <c r="AH2204" t="s">
        <v>44</v>
      </c>
    </row>
    <row r="2205" spans="1:34">
      <c r="A2205" s="15" t="s">
        <v>2319</v>
      </c>
      <c r="B2205" s="12" t="s">
        <v>1690</v>
      </c>
      <c r="C2205" s="43" t="s">
        <v>410</v>
      </c>
      <c r="D2205" t="s">
        <v>38</v>
      </c>
      <c r="E2205" s="30" t="s">
        <v>42</v>
      </c>
      <c r="F2205" s="31">
        <v>3.2258064516129035</v>
      </c>
      <c r="G2205" s="82">
        <v>0.66666666666666663</v>
      </c>
      <c r="H2205" s="30" t="s">
        <v>2032</v>
      </c>
      <c r="I2205" s="30" t="s">
        <v>38</v>
      </c>
      <c r="J2205" s="30" t="s">
        <v>1879</v>
      </c>
      <c r="K2205" s="31">
        <v>0.9009009009009008</v>
      </c>
      <c r="L2205" s="82">
        <v>0.33333333333333331</v>
      </c>
      <c r="Q2205" s="84"/>
      <c r="R2205" s="30" t="s">
        <v>411</v>
      </c>
      <c r="S2205" s="30" t="s">
        <v>38</v>
      </c>
      <c r="T2205" s="30" t="s">
        <v>42</v>
      </c>
      <c r="U2205" s="31">
        <v>2.5</v>
      </c>
      <c r="V2205" s="82">
        <v>0.6</v>
      </c>
      <c r="W2205" s="30" t="s">
        <v>160</v>
      </c>
      <c r="X2205" s="30" t="s">
        <v>38</v>
      </c>
      <c r="Y2205" s="30" t="s">
        <v>39</v>
      </c>
      <c r="Z2205" s="31">
        <v>0.90909090909090906</v>
      </c>
      <c r="AA2205" s="82">
        <v>0.2</v>
      </c>
      <c r="AB2205" s="73" t="s">
        <v>1878</v>
      </c>
      <c r="AC2205" s="30" t="s">
        <v>38</v>
      </c>
      <c r="AD2205" s="30" t="s">
        <v>1879</v>
      </c>
      <c r="AE2205" s="30">
        <v>0.84745762711864414</v>
      </c>
      <c r="AF2205" s="84">
        <v>0.2</v>
      </c>
      <c r="AG2205" s="31">
        <v>0</v>
      </c>
      <c r="AH2205" t="s">
        <v>44</v>
      </c>
    </row>
    <row r="2206" spans="1:34">
      <c r="A2206" s="15" t="s">
        <v>2320</v>
      </c>
      <c r="B2206" s="12" t="s">
        <v>1690</v>
      </c>
      <c r="C2206" s="43" t="s">
        <v>410</v>
      </c>
      <c r="D2206" t="s">
        <v>38</v>
      </c>
      <c r="E2206" s="30" t="s">
        <v>42</v>
      </c>
      <c r="F2206" s="31">
        <v>3.2258064516129035</v>
      </c>
      <c r="G2206" s="82">
        <v>0.66666666666666663</v>
      </c>
      <c r="H2206" s="30" t="s">
        <v>2032</v>
      </c>
      <c r="I2206" s="30" t="s">
        <v>38</v>
      </c>
      <c r="J2206" s="30" t="s">
        <v>1879</v>
      </c>
      <c r="K2206" s="31">
        <v>0.9009009009009008</v>
      </c>
      <c r="L2206" s="82">
        <v>0.33333333333333331</v>
      </c>
      <c r="Q2206" s="84"/>
      <c r="R2206" s="30" t="s">
        <v>411</v>
      </c>
      <c r="S2206" s="30" t="s">
        <v>38</v>
      </c>
      <c r="T2206" s="30" t="s">
        <v>42</v>
      </c>
      <c r="U2206" s="31">
        <v>2.5</v>
      </c>
      <c r="V2206" s="82">
        <v>0.6</v>
      </c>
      <c r="W2206" s="30" t="s">
        <v>160</v>
      </c>
      <c r="X2206" s="30" t="s">
        <v>38</v>
      </c>
      <c r="Y2206" s="30" t="s">
        <v>39</v>
      </c>
      <c r="Z2206" s="31">
        <v>0.90909090909090906</v>
      </c>
      <c r="AA2206" s="82">
        <v>0.2</v>
      </c>
      <c r="AB2206" s="73" t="s">
        <v>1878</v>
      </c>
      <c r="AC2206" s="30" t="s">
        <v>38</v>
      </c>
      <c r="AD2206" s="30" t="s">
        <v>1879</v>
      </c>
      <c r="AE2206" s="30">
        <v>0.84745762711864414</v>
      </c>
      <c r="AF2206" s="84">
        <v>0.2</v>
      </c>
      <c r="AG2206" s="31">
        <v>0</v>
      </c>
      <c r="AH2206" t="s">
        <v>44</v>
      </c>
    </row>
    <row r="2207" spans="1:34">
      <c r="A2207" s="15" t="s">
        <v>2321</v>
      </c>
      <c r="B2207" s="12" t="s">
        <v>1690</v>
      </c>
      <c r="C2207" s="43" t="s">
        <v>410</v>
      </c>
      <c r="D2207" t="s">
        <v>38</v>
      </c>
      <c r="E2207" s="30" t="s">
        <v>42</v>
      </c>
      <c r="F2207" s="31">
        <v>3.2258064516129035</v>
      </c>
      <c r="G2207" s="82">
        <v>0.66666666666666663</v>
      </c>
      <c r="H2207" s="30" t="s">
        <v>2032</v>
      </c>
      <c r="I2207" s="30" t="s">
        <v>38</v>
      </c>
      <c r="J2207" s="30" t="s">
        <v>1879</v>
      </c>
      <c r="K2207" s="31">
        <v>0.9009009009009008</v>
      </c>
      <c r="L2207" s="82">
        <v>0.33333333333333331</v>
      </c>
      <c r="Q2207" s="84"/>
      <c r="R2207" s="30" t="s">
        <v>411</v>
      </c>
      <c r="S2207" s="30" t="s">
        <v>38</v>
      </c>
      <c r="T2207" s="30" t="s">
        <v>42</v>
      </c>
      <c r="U2207" s="31">
        <v>2.5</v>
      </c>
      <c r="V2207" s="82">
        <v>0.6</v>
      </c>
      <c r="W2207" s="30" t="s">
        <v>160</v>
      </c>
      <c r="X2207" s="30" t="s">
        <v>38</v>
      </c>
      <c r="Y2207" s="30" t="s">
        <v>39</v>
      </c>
      <c r="Z2207" s="31">
        <v>0.90909090909090906</v>
      </c>
      <c r="AA2207" s="82">
        <v>0.2</v>
      </c>
      <c r="AB2207" s="73" t="s">
        <v>1878</v>
      </c>
      <c r="AC2207" s="30" t="s">
        <v>38</v>
      </c>
      <c r="AD2207" s="30" t="s">
        <v>1879</v>
      </c>
      <c r="AE2207" s="30">
        <v>0.84745762711864414</v>
      </c>
      <c r="AF2207" s="84">
        <v>0.2</v>
      </c>
      <c r="AG2207" s="31">
        <v>0</v>
      </c>
      <c r="AH2207" t="s">
        <v>44</v>
      </c>
    </row>
    <row r="2208" spans="1:34">
      <c r="A2208" s="15" t="s">
        <v>2322</v>
      </c>
      <c r="B2208" s="12" t="s">
        <v>1690</v>
      </c>
      <c r="C2208" s="43" t="s">
        <v>410</v>
      </c>
      <c r="D2208" t="s">
        <v>38</v>
      </c>
      <c r="E2208" s="30" t="s">
        <v>42</v>
      </c>
      <c r="F2208" s="31">
        <v>3.2258064516129035</v>
      </c>
      <c r="G2208" s="82">
        <v>0.66666666666666663</v>
      </c>
      <c r="H2208" s="30" t="s">
        <v>2032</v>
      </c>
      <c r="I2208" s="30" t="s">
        <v>38</v>
      </c>
      <c r="J2208" s="30" t="s">
        <v>1879</v>
      </c>
      <c r="K2208" s="31">
        <v>0.9009009009009008</v>
      </c>
      <c r="L2208" s="82">
        <v>0.33333333333333331</v>
      </c>
      <c r="Q2208" s="84"/>
      <c r="R2208" s="30" t="s">
        <v>411</v>
      </c>
      <c r="S2208" s="30" t="s">
        <v>38</v>
      </c>
      <c r="T2208" s="30" t="s">
        <v>42</v>
      </c>
      <c r="U2208" s="31">
        <v>2.5</v>
      </c>
      <c r="V2208" s="82">
        <v>0.6</v>
      </c>
      <c r="W2208" s="30" t="s">
        <v>160</v>
      </c>
      <c r="X2208" s="30" t="s">
        <v>38</v>
      </c>
      <c r="Y2208" s="30" t="s">
        <v>39</v>
      </c>
      <c r="Z2208" s="31">
        <v>0.90909090909090906</v>
      </c>
      <c r="AA2208" s="82">
        <v>0.2</v>
      </c>
      <c r="AB2208" s="73" t="s">
        <v>1878</v>
      </c>
      <c r="AC2208" s="30" t="s">
        <v>38</v>
      </c>
      <c r="AD2208" s="30" t="s">
        <v>1879</v>
      </c>
      <c r="AE2208" s="30">
        <v>0.84745762711864414</v>
      </c>
      <c r="AF2208" s="84">
        <v>0.2</v>
      </c>
      <c r="AG2208" s="31">
        <v>0</v>
      </c>
      <c r="AH2208" t="s">
        <v>44</v>
      </c>
    </row>
    <row r="2209" spans="1:34">
      <c r="A2209" s="15" t="s">
        <v>2323</v>
      </c>
      <c r="B2209" s="12" t="s">
        <v>1690</v>
      </c>
      <c r="C2209" s="43" t="s">
        <v>410</v>
      </c>
      <c r="D2209" t="s">
        <v>38</v>
      </c>
      <c r="E2209" s="30" t="s">
        <v>42</v>
      </c>
      <c r="F2209" s="31">
        <v>3.2258064516129035</v>
      </c>
      <c r="G2209" s="82">
        <v>0.66666666666666663</v>
      </c>
      <c r="H2209" s="30" t="s">
        <v>2032</v>
      </c>
      <c r="I2209" s="30" t="s">
        <v>38</v>
      </c>
      <c r="J2209" s="30" t="s">
        <v>1879</v>
      </c>
      <c r="K2209" s="31">
        <v>0.9009009009009008</v>
      </c>
      <c r="L2209" s="82">
        <v>0.33333333333333331</v>
      </c>
      <c r="Q2209" s="84"/>
      <c r="R2209" s="30" t="s">
        <v>411</v>
      </c>
      <c r="S2209" s="30" t="s">
        <v>38</v>
      </c>
      <c r="T2209" s="30" t="s">
        <v>42</v>
      </c>
      <c r="U2209" s="31">
        <v>2.5</v>
      </c>
      <c r="V2209" s="82">
        <v>0.6</v>
      </c>
      <c r="W2209" s="30" t="s">
        <v>160</v>
      </c>
      <c r="X2209" s="30" t="s">
        <v>38</v>
      </c>
      <c r="Y2209" s="30" t="s">
        <v>39</v>
      </c>
      <c r="Z2209" s="31">
        <v>0.90909090909090906</v>
      </c>
      <c r="AA2209" s="82">
        <v>0.2</v>
      </c>
      <c r="AB2209" s="73" t="s">
        <v>1878</v>
      </c>
      <c r="AC2209" s="30" t="s">
        <v>38</v>
      </c>
      <c r="AD2209" s="30" t="s">
        <v>1879</v>
      </c>
      <c r="AE2209" s="30">
        <v>0.84745762711864414</v>
      </c>
      <c r="AF2209" s="84">
        <v>0.2</v>
      </c>
      <c r="AG2209" s="31">
        <v>0</v>
      </c>
      <c r="AH2209" t="s">
        <v>44</v>
      </c>
    </row>
    <row r="2210" spans="1:34">
      <c r="A2210" s="15" t="s">
        <v>2324</v>
      </c>
      <c r="B2210" s="12" t="s">
        <v>1690</v>
      </c>
      <c r="C2210" s="43" t="s">
        <v>410</v>
      </c>
      <c r="D2210" t="s">
        <v>38</v>
      </c>
      <c r="E2210" s="30" t="s">
        <v>42</v>
      </c>
      <c r="F2210" s="31">
        <v>3.2258064516129035</v>
      </c>
      <c r="G2210" s="82">
        <v>0.66666666666666663</v>
      </c>
      <c r="H2210" s="30" t="s">
        <v>2032</v>
      </c>
      <c r="I2210" s="30" t="s">
        <v>38</v>
      </c>
      <c r="J2210" s="30" t="s">
        <v>1879</v>
      </c>
      <c r="K2210" s="31">
        <v>0.9009009009009008</v>
      </c>
      <c r="L2210" s="82">
        <v>0.33333333333333331</v>
      </c>
      <c r="Q2210" s="84"/>
      <c r="R2210" s="30" t="s">
        <v>411</v>
      </c>
      <c r="S2210" s="30" t="s">
        <v>38</v>
      </c>
      <c r="T2210" s="30" t="s">
        <v>42</v>
      </c>
      <c r="U2210" s="31">
        <v>2.5</v>
      </c>
      <c r="V2210" s="82">
        <v>0.6</v>
      </c>
      <c r="W2210" s="30" t="s">
        <v>160</v>
      </c>
      <c r="X2210" s="30" t="s">
        <v>38</v>
      </c>
      <c r="Y2210" s="30" t="s">
        <v>39</v>
      </c>
      <c r="Z2210" s="31">
        <v>0.90909090909090906</v>
      </c>
      <c r="AA2210" s="82">
        <v>0.2</v>
      </c>
      <c r="AB2210" s="73" t="s">
        <v>1878</v>
      </c>
      <c r="AC2210" s="30" t="s">
        <v>38</v>
      </c>
      <c r="AD2210" s="30" t="s">
        <v>1879</v>
      </c>
      <c r="AE2210" s="30">
        <v>0.84745762711864414</v>
      </c>
      <c r="AF2210" s="84">
        <v>0.2</v>
      </c>
      <c r="AG2210" s="31">
        <v>0</v>
      </c>
      <c r="AH2210" t="s">
        <v>44</v>
      </c>
    </row>
    <row r="2211" spans="1:34">
      <c r="A2211" s="15" t="s">
        <v>2325</v>
      </c>
      <c r="B2211" s="12" t="s">
        <v>1690</v>
      </c>
      <c r="C2211" s="43" t="s">
        <v>410</v>
      </c>
      <c r="D2211" t="s">
        <v>38</v>
      </c>
      <c r="E2211" s="30" t="s">
        <v>42</v>
      </c>
      <c r="F2211" s="31">
        <v>3.2258064516129035</v>
      </c>
      <c r="G2211" s="82">
        <v>0.66666666666666663</v>
      </c>
      <c r="H2211" s="30" t="s">
        <v>2032</v>
      </c>
      <c r="I2211" s="30" t="s">
        <v>38</v>
      </c>
      <c r="J2211" s="30" t="s">
        <v>1879</v>
      </c>
      <c r="K2211" s="31">
        <v>0.9009009009009008</v>
      </c>
      <c r="L2211" s="82">
        <v>0.33333333333333331</v>
      </c>
      <c r="Q2211" s="84"/>
      <c r="R2211" s="30" t="s">
        <v>411</v>
      </c>
      <c r="S2211" s="30" t="s">
        <v>38</v>
      </c>
      <c r="T2211" s="30" t="s">
        <v>42</v>
      </c>
      <c r="U2211" s="31">
        <v>2.5</v>
      </c>
      <c r="V2211" s="82">
        <v>0.6</v>
      </c>
      <c r="W2211" s="30" t="s">
        <v>160</v>
      </c>
      <c r="X2211" s="30" t="s">
        <v>38</v>
      </c>
      <c r="Y2211" s="30" t="s">
        <v>39</v>
      </c>
      <c r="Z2211" s="31">
        <v>0.90909090909090906</v>
      </c>
      <c r="AA2211" s="82">
        <v>0.2</v>
      </c>
      <c r="AB2211" s="73" t="s">
        <v>1878</v>
      </c>
      <c r="AC2211" s="30" t="s">
        <v>38</v>
      </c>
      <c r="AD2211" s="30" t="s">
        <v>1879</v>
      </c>
      <c r="AE2211" s="30">
        <v>0.84745762711864414</v>
      </c>
      <c r="AF2211" s="84">
        <v>0.2</v>
      </c>
      <c r="AG2211" s="31">
        <v>0</v>
      </c>
      <c r="AH2211" t="s">
        <v>44</v>
      </c>
    </row>
    <row r="2212" spans="1:34" s="6" customFormat="1">
      <c r="A2212" s="18" t="s">
        <v>2326</v>
      </c>
      <c r="B2212" s="19" t="s">
        <v>1775</v>
      </c>
      <c r="C2212" s="42" t="s">
        <v>2113</v>
      </c>
      <c r="D2212" s="6" t="s">
        <v>38</v>
      </c>
      <c r="E2212" s="28" t="s">
        <v>2086</v>
      </c>
      <c r="F2212" s="29">
        <v>0.5</v>
      </c>
      <c r="G2212" s="83">
        <v>0.5</v>
      </c>
      <c r="H2212" s="42" t="s">
        <v>2121</v>
      </c>
      <c r="I2212" s="6" t="s">
        <v>38</v>
      </c>
      <c r="J2212" s="28" t="s">
        <v>1879</v>
      </c>
      <c r="K2212" s="29">
        <v>0.7407407407407407</v>
      </c>
      <c r="L2212" s="83">
        <v>0.5</v>
      </c>
      <c r="M2212" s="74"/>
      <c r="N2212" s="28"/>
      <c r="O2212" s="28"/>
      <c r="P2212" s="29"/>
      <c r="Q2212" s="85"/>
      <c r="R2212" s="54" t="s">
        <v>1929</v>
      </c>
      <c r="S2212" s="28" t="s">
        <v>41</v>
      </c>
      <c r="T2212" s="28" t="s">
        <v>42</v>
      </c>
      <c r="U2212" s="29">
        <v>1</v>
      </c>
      <c r="V2212" s="83">
        <v>1</v>
      </c>
      <c r="W2212" s="28"/>
      <c r="X2212" s="28"/>
      <c r="Y2212" s="28"/>
      <c r="Z2212" s="29"/>
      <c r="AA2212" s="83"/>
      <c r="AB2212" s="74"/>
      <c r="AC2212" s="28"/>
      <c r="AD2212" s="28"/>
      <c r="AE2212" s="28"/>
      <c r="AF2212" s="85"/>
      <c r="AG2212" s="97">
        <v>0</v>
      </c>
      <c r="AH2212" s="6" t="s">
        <v>44</v>
      </c>
    </row>
    <row r="2213" spans="1:34">
      <c r="A2213" s="15" t="s">
        <v>2327</v>
      </c>
      <c r="B2213" s="12" t="s">
        <v>1775</v>
      </c>
      <c r="C2213" s="43" t="s">
        <v>2113</v>
      </c>
      <c r="D2213" t="s">
        <v>38</v>
      </c>
      <c r="E2213" s="30" t="s">
        <v>2086</v>
      </c>
      <c r="F2213" s="31">
        <v>0.5</v>
      </c>
      <c r="G2213" s="82">
        <v>0.75</v>
      </c>
      <c r="H2213" s="43" t="s">
        <v>2121</v>
      </c>
      <c r="I2213" t="s">
        <v>38</v>
      </c>
      <c r="J2213" s="30" t="s">
        <v>1879</v>
      </c>
      <c r="K2213" s="31">
        <v>0.7407407407407407</v>
      </c>
      <c r="L2213" s="82">
        <v>0.25</v>
      </c>
      <c r="Q2213" s="84"/>
      <c r="R2213" s="92" t="s">
        <v>1929</v>
      </c>
      <c r="S2213" s="30" t="s">
        <v>41</v>
      </c>
      <c r="T2213" s="30" t="s">
        <v>42</v>
      </c>
      <c r="U2213" s="31">
        <v>1</v>
      </c>
      <c r="V2213" s="82">
        <v>1</v>
      </c>
      <c r="AA2213" s="82"/>
      <c r="AF2213" s="84"/>
      <c r="AG2213" s="31">
        <v>0</v>
      </c>
      <c r="AH2213" t="s">
        <v>44</v>
      </c>
    </row>
    <row r="2214" spans="1:34">
      <c r="A2214" s="15" t="s">
        <v>2328</v>
      </c>
      <c r="B2214" s="12" t="s">
        <v>1775</v>
      </c>
      <c r="C2214" s="43" t="s">
        <v>2113</v>
      </c>
      <c r="D2214" t="s">
        <v>38</v>
      </c>
      <c r="E2214" s="30" t="s">
        <v>2086</v>
      </c>
      <c r="F2214" s="31">
        <v>0.5</v>
      </c>
      <c r="G2214" s="82">
        <v>0.5</v>
      </c>
      <c r="H2214" s="30" t="s">
        <v>2121</v>
      </c>
      <c r="I2214" s="30" t="s">
        <v>38</v>
      </c>
      <c r="J2214" s="30" t="s">
        <v>1879</v>
      </c>
      <c r="K2214" s="31">
        <v>0.7407407407407407</v>
      </c>
      <c r="L2214" s="82">
        <v>0.5</v>
      </c>
      <c r="Q2214" s="84"/>
      <c r="R2214" s="92" t="s">
        <v>1929</v>
      </c>
      <c r="S2214" s="30" t="s">
        <v>41</v>
      </c>
      <c r="T2214" s="30" t="s">
        <v>42</v>
      </c>
      <c r="U2214" s="31">
        <v>1</v>
      </c>
      <c r="V2214" s="82">
        <v>1</v>
      </c>
      <c r="AA2214" s="82"/>
      <c r="AF2214" s="84"/>
      <c r="AG2214" s="31">
        <v>0</v>
      </c>
      <c r="AH2214" t="s">
        <v>44</v>
      </c>
    </row>
    <row r="2215" spans="1:34">
      <c r="A2215" s="15" t="s">
        <v>2329</v>
      </c>
      <c r="B2215" s="12" t="s">
        <v>1775</v>
      </c>
      <c r="C2215" s="43" t="s">
        <v>2113</v>
      </c>
      <c r="D2215" t="s">
        <v>38</v>
      </c>
      <c r="E2215" s="30" t="s">
        <v>2086</v>
      </c>
      <c r="F2215" s="31">
        <v>0.5</v>
      </c>
      <c r="G2215" s="82">
        <v>0.5</v>
      </c>
      <c r="H2215" s="30" t="s">
        <v>2121</v>
      </c>
      <c r="I2215" s="30" t="s">
        <v>38</v>
      </c>
      <c r="J2215" s="30" t="s">
        <v>1879</v>
      </c>
      <c r="K2215" s="31">
        <v>0.7407407407407407</v>
      </c>
      <c r="L2215" s="82">
        <v>0.5</v>
      </c>
      <c r="Q2215" s="84"/>
      <c r="R2215" s="92" t="s">
        <v>1929</v>
      </c>
      <c r="S2215" s="30" t="s">
        <v>41</v>
      </c>
      <c r="T2215" s="30" t="s">
        <v>42</v>
      </c>
      <c r="U2215" s="31">
        <v>1</v>
      </c>
      <c r="V2215" s="82">
        <v>1</v>
      </c>
      <c r="AA2215" s="82"/>
      <c r="AF2215" s="84"/>
      <c r="AG2215" s="31">
        <v>0</v>
      </c>
      <c r="AH2215" t="s">
        <v>44</v>
      </c>
    </row>
    <row r="2216" spans="1:34">
      <c r="A2216" s="15" t="s">
        <v>2330</v>
      </c>
      <c r="B2216" s="12" t="s">
        <v>1775</v>
      </c>
      <c r="C2216" s="43" t="s">
        <v>160</v>
      </c>
      <c r="D2216" t="s">
        <v>38</v>
      </c>
      <c r="E2216" s="30" t="s">
        <v>39</v>
      </c>
      <c r="F2216" s="31">
        <v>0.81300813008130079</v>
      </c>
      <c r="G2216" s="82">
        <v>0.5</v>
      </c>
      <c r="H2216" s="30" t="s">
        <v>1928</v>
      </c>
      <c r="I2216" s="30" t="s">
        <v>409</v>
      </c>
      <c r="J2216" s="30" t="s">
        <v>39</v>
      </c>
      <c r="K2216" s="31">
        <v>0.95238095238095233</v>
      </c>
      <c r="L2216" s="82">
        <v>0.5</v>
      </c>
      <c r="Q2216" s="84"/>
      <c r="R2216" s="92" t="s">
        <v>1964</v>
      </c>
      <c r="S2216" s="30" t="s">
        <v>38</v>
      </c>
      <c r="T2216" s="30" t="s">
        <v>39</v>
      </c>
      <c r="U2216" s="31">
        <v>0.98039215686274506</v>
      </c>
      <c r="V2216" s="82">
        <v>1</v>
      </c>
      <c r="AA2216" s="82"/>
      <c r="AF2216" s="84"/>
      <c r="AG2216" s="31">
        <v>0</v>
      </c>
      <c r="AH2216" t="s">
        <v>44</v>
      </c>
    </row>
    <row r="2217" spans="1:34">
      <c r="A2217" s="15" t="s">
        <v>2331</v>
      </c>
      <c r="B2217" s="12" t="s">
        <v>1775</v>
      </c>
      <c r="C2217" s="43" t="s">
        <v>160</v>
      </c>
      <c r="D2217" t="s">
        <v>38</v>
      </c>
      <c r="E2217" s="30" t="s">
        <v>39</v>
      </c>
      <c r="F2217" s="31">
        <v>0.81300813008130079</v>
      </c>
      <c r="G2217" s="82">
        <v>0.5</v>
      </c>
      <c r="H2217" s="30" t="s">
        <v>1928</v>
      </c>
      <c r="I2217" s="30" t="s">
        <v>409</v>
      </c>
      <c r="J2217" s="30" t="s">
        <v>39</v>
      </c>
      <c r="K2217" s="31">
        <v>0.95238095238095233</v>
      </c>
      <c r="L2217" s="82">
        <v>0.5</v>
      </c>
      <c r="Q2217" s="84"/>
      <c r="R2217" s="92" t="s">
        <v>1964</v>
      </c>
      <c r="S2217" s="30" t="s">
        <v>38</v>
      </c>
      <c r="T2217" s="30" t="s">
        <v>39</v>
      </c>
      <c r="U2217" s="31">
        <v>0.98039215686274506</v>
      </c>
      <c r="V2217" s="82">
        <v>1</v>
      </c>
      <c r="AA2217" s="82"/>
      <c r="AF2217" s="84"/>
      <c r="AG2217" s="31">
        <v>0</v>
      </c>
      <c r="AH2217" t="s">
        <v>44</v>
      </c>
    </row>
    <row r="2218" spans="1:34">
      <c r="A2218" s="15" t="s">
        <v>2332</v>
      </c>
      <c r="B2218" s="12" t="s">
        <v>1775</v>
      </c>
      <c r="C2218" s="43" t="s">
        <v>2113</v>
      </c>
      <c r="D2218" t="s">
        <v>38</v>
      </c>
      <c r="E2218" s="30" t="s">
        <v>2086</v>
      </c>
      <c r="F2218" s="31">
        <v>0.5</v>
      </c>
      <c r="G2218" s="82">
        <v>0.5</v>
      </c>
      <c r="H2218" s="43" t="s">
        <v>2121</v>
      </c>
      <c r="I2218" t="s">
        <v>38</v>
      </c>
      <c r="J2218" s="30" t="s">
        <v>1879</v>
      </c>
      <c r="K2218" s="31">
        <v>0.7407407407407407</v>
      </c>
      <c r="L2218" s="82">
        <v>0.5</v>
      </c>
      <c r="Q2218" s="84"/>
      <c r="R2218" s="55" t="s">
        <v>1929</v>
      </c>
      <c r="S2218" s="30" t="s">
        <v>41</v>
      </c>
      <c r="T2218" s="30" t="s">
        <v>42</v>
      </c>
      <c r="U2218" s="31">
        <v>1</v>
      </c>
      <c r="V2218" s="82">
        <v>1</v>
      </c>
      <c r="AA2218" s="82"/>
      <c r="AF2218" s="84"/>
      <c r="AG2218" s="31">
        <v>0</v>
      </c>
      <c r="AH2218" t="s">
        <v>44</v>
      </c>
    </row>
    <row r="2219" spans="1:34">
      <c r="A2219" s="15" t="s">
        <v>2333</v>
      </c>
      <c r="B2219" s="12" t="s">
        <v>1775</v>
      </c>
      <c r="C2219" s="43" t="s">
        <v>2113</v>
      </c>
      <c r="D2219" t="s">
        <v>38</v>
      </c>
      <c r="E2219" s="30" t="s">
        <v>2086</v>
      </c>
      <c r="F2219" s="31">
        <v>0.5</v>
      </c>
      <c r="G2219" s="82">
        <v>0.75</v>
      </c>
      <c r="H2219" s="43" t="s">
        <v>2121</v>
      </c>
      <c r="I2219" t="s">
        <v>38</v>
      </c>
      <c r="J2219" s="30" t="s">
        <v>1879</v>
      </c>
      <c r="K2219" s="31">
        <v>0.7407407407407407</v>
      </c>
      <c r="L2219" s="82">
        <v>0.25</v>
      </c>
      <c r="Q2219" s="84"/>
      <c r="R2219" s="92" t="s">
        <v>1929</v>
      </c>
      <c r="S2219" s="30" t="s">
        <v>41</v>
      </c>
      <c r="T2219" s="30" t="s">
        <v>42</v>
      </c>
      <c r="U2219" s="31">
        <v>1</v>
      </c>
      <c r="V2219" s="82">
        <v>1</v>
      </c>
      <c r="AA2219" s="82"/>
      <c r="AF2219" s="84"/>
      <c r="AG2219" s="31">
        <v>0</v>
      </c>
      <c r="AH2219" t="s">
        <v>44</v>
      </c>
    </row>
    <row r="2220" spans="1:34">
      <c r="A2220" s="15" t="s">
        <v>2334</v>
      </c>
      <c r="B2220" s="12" t="s">
        <v>1775</v>
      </c>
      <c r="C2220" s="43" t="s">
        <v>2113</v>
      </c>
      <c r="D2220" t="s">
        <v>38</v>
      </c>
      <c r="E2220" s="30" t="s">
        <v>2086</v>
      </c>
      <c r="F2220" s="31">
        <v>0.5</v>
      </c>
      <c r="G2220" s="82">
        <v>0.5</v>
      </c>
      <c r="H2220" s="30" t="s">
        <v>2121</v>
      </c>
      <c r="I2220" s="30" t="s">
        <v>38</v>
      </c>
      <c r="J2220" s="30" t="s">
        <v>1879</v>
      </c>
      <c r="K2220" s="31">
        <v>0.7407407407407407</v>
      </c>
      <c r="L2220" s="82">
        <v>0.5</v>
      </c>
      <c r="Q2220" s="84"/>
      <c r="R2220" s="92" t="s">
        <v>1929</v>
      </c>
      <c r="S2220" s="30" t="s">
        <v>41</v>
      </c>
      <c r="T2220" s="30" t="s">
        <v>42</v>
      </c>
      <c r="U2220" s="31">
        <v>1</v>
      </c>
      <c r="V2220" s="82">
        <v>1</v>
      </c>
      <c r="AA2220" s="82"/>
      <c r="AF2220" s="84"/>
      <c r="AG2220" s="31">
        <v>0</v>
      </c>
      <c r="AH2220" t="s">
        <v>44</v>
      </c>
    </row>
    <row r="2221" spans="1:34">
      <c r="A2221" s="15" t="s">
        <v>2335</v>
      </c>
      <c r="B2221" s="12" t="s">
        <v>1775</v>
      </c>
      <c r="C2221" s="43" t="s">
        <v>2113</v>
      </c>
      <c r="D2221" t="s">
        <v>38</v>
      </c>
      <c r="E2221" s="30" t="s">
        <v>2086</v>
      </c>
      <c r="F2221" s="31">
        <v>0.5</v>
      </c>
      <c r="G2221" s="82">
        <v>0.5</v>
      </c>
      <c r="H2221" s="30" t="s">
        <v>2121</v>
      </c>
      <c r="I2221" s="30" t="s">
        <v>38</v>
      </c>
      <c r="J2221" s="30" t="s">
        <v>1879</v>
      </c>
      <c r="K2221" s="31">
        <v>0.7407407407407407</v>
      </c>
      <c r="L2221" s="82">
        <v>0.5</v>
      </c>
      <c r="Q2221" s="84"/>
      <c r="R2221" s="92" t="s">
        <v>1929</v>
      </c>
      <c r="S2221" s="30" t="s">
        <v>41</v>
      </c>
      <c r="T2221" s="30" t="s">
        <v>42</v>
      </c>
      <c r="U2221" s="31">
        <v>1</v>
      </c>
      <c r="V2221" s="82">
        <v>1</v>
      </c>
      <c r="AA2221" s="82"/>
      <c r="AF2221" s="84"/>
      <c r="AG2221" s="31">
        <v>0</v>
      </c>
      <c r="AH2221" t="s">
        <v>44</v>
      </c>
    </row>
    <row r="2222" spans="1:34">
      <c r="A2222" s="15" t="s">
        <v>2336</v>
      </c>
      <c r="B2222" s="12" t="s">
        <v>1775</v>
      </c>
      <c r="C2222" s="43" t="s">
        <v>160</v>
      </c>
      <c r="D2222" t="s">
        <v>38</v>
      </c>
      <c r="E2222" s="30" t="s">
        <v>39</v>
      </c>
      <c r="F2222" s="31">
        <v>0.81300813008130079</v>
      </c>
      <c r="G2222" s="82">
        <v>0.5</v>
      </c>
      <c r="H2222" s="30" t="s">
        <v>1928</v>
      </c>
      <c r="I2222" s="30" t="s">
        <v>409</v>
      </c>
      <c r="J2222" s="30" t="s">
        <v>39</v>
      </c>
      <c r="K2222" s="31">
        <v>0.95238095238095233</v>
      </c>
      <c r="L2222" s="82">
        <v>0.5</v>
      </c>
      <c r="Q2222" s="84"/>
      <c r="R2222" s="92" t="s">
        <v>1964</v>
      </c>
      <c r="S2222" s="30" t="s">
        <v>38</v>
      </c>
      <c r="T2222" s="30" t="s">
        <v>39</v>
      </c>
      <c r="U2222" s="31">
        <v>0.98039215686274506</v>
      </c>
      <c r="V2222" s="82">
        <v>1</v>
      </c>
      <c r="AA2222" s="82"/>
      <c r="AF2222" s="84"/>
      <c r="AG2222" s="31">
        <v>0</v>
      </c>
      <c r="AH2222" t="s">
        <v>44</v>
      </c>
    </row>
    <row r="2223" spans="1:34">
      <c r="A2223" s="15" t="s">
        <v>2337</v>
      </c>
      <c r="B2223" s="12" t="s">
        <v>1775</v>
      </c>
      <c r="C2223" s="43" t="s">
        <v>160</v>
      </c>
      <c r="D2223" t="s">
        <v>38</v>
      </c>
      <c r="E2223" s="30" t="s">
        <v>39</v>
      </c>
      <c r="F2223" s="31">
        <v>0.81300813008130079</v>
      </c>
      <c r="G2223" s="82">
        <v>0.5</v>
      </c>
      <c r="H2223" s="30" t="s">
        <v>1928</v>
      </c>
      <c r="I2223" s="30" t="s">
        <v>409</v>
      </c>
      <c r="J2223" s="30" t="s">
        <v>39</v>
      </c>
      <c r="K2223" s="31">
        <v>0.95238095238095233</v>
      </c>
      <c r="L2223" s="82">
        <v>0.5</v>
      </c>
      <c r="Q2223" s="84"/>
      <c r="R2223" s="92" t="s">
        <v>1964</v>
      </c>
      <c r="S2223" s="30" t="s">
        <v>38</v>
      </c>
      <c r="T2223" s="30" t="s">
        <v>39</v>
      </c>
      <c r="U2223" s="31">
        <v>0.98039215686274506</v>
      </c>
      <c r="V2223" s="82">
        <v>1</v>
      </c>
      <c r="AA2223" s="82"/>
      <c r="AF2223" s="84"/>
      <c r="AG2223" s="31">
        <v>0</v>
      </c>
      <c r="AH2223" t="s">
        <v>44</v>
      </c>
    </row>
    <row r="2224" spans="1:34">
      <c r="A2224" s="15" t="s">
        <v>2338</v>
      </c>
      <c r="B2224" s="12" t="s">
        <v>1775</v>
      </c>
      <c r="C2224" s="43" t="s">
        <v>2113</v>
      </c>
      <c r="D2224" t="s">
        <v>38</v>
      </c>
      <c r="E2224" s="30" t="s">
        <v>2086</v>
      </c>
      <c r="F2224" s="31">
        <v>0.5</v>
      </c>
      <c r="G2224" s="82">
        <v>0.5</v>
      </c>
      <c r="H2224" s="43" t="s">
        <v>2121</v>
      </c>
      <c r="I2224" t="s">
        <v>38</v>
      </c>
      <c r="J2224" s="30" t="s">
        <v>1879</v>
      </c>
      <c r="K2224" s="31">
        <v>0.7407407407407407</v>
      </c>
      <c r="L2224" s="82">
        <v>0.5</v>
      </c>
      <c r="Q2224" s="84"/>
      <c r="R2224" s="55" t="s">
        <v>1929</v>
      </c>
      <c r="S2224" s="30" t="s">
        <v>41</v>
      </c>
      <c r="T2224" s="30" t="s">
        <v>42</v>
      </c>
      <c r="U2224" s="31">
        <v>1</v>
      </c>
      <c r="V2224" s="82">
        <v>1</v>
      </c>
      <c r="AA2224" s="82"/>
      <c r="AF2224" s="84"/>
      <c r="AG2224" s="31">
        <v>0</v>
      </c>
      <c r="AH2224" t="s">
        <v>44</v>
      </c>
    </row>
    <row r="2225" spans="1:34">
      <c r="A2225" s="15" t="s">
        <v>2339</v>
      </c>
      <c r="B2225" s="12" t="s">
        <v>1775</v>
      </c>
      <c r="C2225" s="43" t="s">
        <v>2113</v>
      </c>
      <c r="D2225" t="s">
        <v>38</v>
      </c>
      <c r="E2225" s="30" t="s">
        <v>2086</v>
      </c>
      <c r="F2225" s="31">
        <v>0.5</v>
      </c>
      <c r="G2225" s="82">
        <v>0.75</v>
      </c>
      <c r="H2225" s="43" t="s">
        <v>2121</v>
      </c>
      <c r="I2225" t="s">
        <v>38</v>
      </c>
      <c r="J2225" s="30" t="s">
        <v>1879</v>
      </c>
      <c r="K2225" s="31">
        <v>0.7407407407407407</v>
      </c>
      <c r="L2225" s="82">
        <v>0.25</v>
      </c>
      <c r="Q2225" s="84"/>
      <c r="R2225" s="92" t="s">
        <v>1929</v>
      </c>
      <c r="S2225" s="30" t="s">
        <v>41</v>
      </c>
      <c r="T2225" s="30" t="s">
        <v>42</v>
      </c>
      <c r="U2225" s="31">
        <v>1</v>
      </c>
      <c r="V2225" s="82">
        <v>1</v>
      </c>
      <c r="AA2225" s="82"/>
      <c r="AF2225" s="84"/>
      <c r="AG2225" s="31">
        <v>0</v>
      </c>
      <c r="AH2225" t="s">
        <v>44</v>
      </c>
    </row>
    <row r="2226" spans="1:34">
      <c r="A2226" s="15" t="s">
        <v>2340</v>
      </c>
      <c r="B2226" s="12" t="s">
        <v>1775</v>
      </c>
      <c r="C2226" s="43" t="s">
        <v>2113</v>
      </c>
      <c r="D2226" t="s">
        <v>38</v>
      </c>
      <c r="E2226" s="30" t="s">
        <v>2086</v>
      </c>
      <c r="F2226" s="31">
        <v>0.5</v>
      </c>
      <c r="G2226" s="82">
        <v>0.5</v>
      </c>
      <c r="H2226" s="30" t="s">
        <v>2121</v>
      </c>
      <c r="I2226" s="30" t="s">
        <v>38</v>
      </c>
      <c r="J2226" s="30" t="s">
        <v>1879</v>
      </c>
      <c r="K2226" s="31">
        <v>0.7407407407407407</v>
      </c>
      <c r="L2226" s="82">
        <v>0.5</v>
      </c>
      <c r="Q2226" s="84"/>
      <c r="R2226" s="92" t="s">
        <v>1929</v>
      </c>
      <c r="S2226" s="30" t="s">
        <v>41</v>
      </c>
      <c r="T2226" s="30" t="s">
        <v>42</v>
      </c>
      <c r="U2226" s="31">
        <v>1</v>
      </c>
      <c r="V2226" s="82">
        <v>1</v>
      </c>
      <c r="AA2226" s="82"/>
      <c r="AF2226" s="84"/>
      <c r="AG2226" s="31">
        <v>0</v>
      </c>
      <c r="AH2226" t="s">
        <v>44</v>
      </c>
    </row>
    <row r="2227" spans="1:34">
      <c r="A2227" s="15" t="s">
        <v>2341</v>
      </c>
      <c r="B2227" s="12" t="s">
        <v>1775</v>
      </c>
      <c r="C2227" s="43" t="s">
        <v>2113</v>
      </c>
      <c r="D2227" t="s">
        <v>38</v>
      </c>
      <c r="E2227" s="30" t="s">
        <v>2086</v>
      </c>
      <c r="F2227" s="31">
        <v>0.5</v>
      </c>
      <c r="G2227" s="82">
        <v>0.5</v>
      </c>
      <c r="H2227" s="30" t="s">
        <v>2121</v>
      </c>
      <c r="I2227" s="30" t="s">
        <v>38</v>
      </c>
      <c r="J2227" s="30" t="s">
        <v>1879</v>
      </c>
      <c r="K2227" s="31">
        <v>0.7407407407407407</v>
      </c>
      <c r="L2227" s="82">
        <v>0.5</v>
      </c>
      <c r="Q2227" s="84"/>
      <c r="R2227" s="30" t="s">
        <v>1929</v>
      </c>
      <c r="S2227" s="30" t="s">
        <v>41</v>
      </c>
      <c r="T2227" s="30" t="s">
        <v>42</v>
      </c>
      <c r="U2227" s="31">
        <v>1</v>
      </c>
      <c r="V2227" s="82">
        <v>1</v>
      </c>
      <c r="AA2227" s="82"/>
      <c r="AF2227" s="84"/>
      <c r="AG2227" s="31">
        <v>0</v>
      </c>
      <c r="AH2227" t="s">
        <v>44</v>
      </c>
    </row>
    <row r="2228" spans="1:34">
      <c r="A2228" s="15" t="s">
        <v>2342</v>
      </c>
      <c r="B2228" s="12" t="s">
        <v>1775</v>
      </c>
      <c r="C2228" s="43" t="s">
        <v>160</v>
      </c>
      <c r="D2228" t="s">
        <v>38</v>
      </c>
      <c r="E2228" s="30" t="s">
        <v>39</v>
      </c>
      <c r="F2228" s="31">
        <v>0.81300813008130079</v>
      </c>
      <c r="G2228" s="82">
        <v>0.5</v>
      </c>
      <c r="H2228" s="30" t="s">
        <v>1928</v>
      </c>
      <c r="I2228" s="30" t="s">
        <v>409</v>
      </c>
      <c r="J2228" s="30" t="s">
        <v>39</v>
      </c>
      <c r="K2228" s="31">
        <v>0.95238095238095233</v>
      </c>
      <c r="L2228" s="82">
        <v>0.5</v>
      </c>
      <c r="Q2228" s="84"/>
      <c r="R2228" s="30" t="s">
        <v>1964</v>
      </c>
      <c r="S2228" s="30" t="s">
        <v>38</v>
      </c>
      <c r="T2228" s="30" t="s">
        <v>39</v>
      </c>
      <c r="U2228" s="31">
        <v>0.98039215686274506</v>
      </c>
      <c r="V2228" s="82">
        <v>1</v>
      </c>
      <c r="AA2228" s="82"/>
      <c r="AF2228" s="84"/>
      <c r="AG2228" s="31">
        <v>0</v>
      </c>
      <c r="AH2228" t="s">
        <v>44</v>
      </c>
    </row>
    <row r="2229" spans="1:34">
      <c r="A2229" s="15" t="s">
        <v>2343</v>
      </c>
      <c r="B2229" s="12" t="s">
        <v>1775</v>
      </c>
      <c r="C2229" s="43" t="s">
        <v>160</v>
      </c>
      <c r="D2229" t="s">
        <v>38</v>
      </c>
      <c r="E2229" s="30" t="s">
        <v>39</v>
      </c>
      <c r="F2229" s="31">
        <v>0.81300813008130079</v>
      </c>
      <c r="G2229" s="82">
        <v>0.5</v>
      </c>
      <c r="H2229" s="30" t="s">
        <v>1928</v>
      </c>
      <c r="I2229" s="30" t="s">
        <v>409</v>
      </c>
      <c r="J2229" s="30" t="s">
        <v>39</v>
      </c>
      <c r="K2229" s="31">
        <v>0.95238095238095233</v>
      </c>
      <c r="L2229" s="82">
        <v>0.5</v>
      </c>
      <c r="Q2229" s="84"/>
      <c r="R2229" s="30" t="s">
        <v>1964</v>
      </c>
      <c r="S2229" s="30" t="s">
        <v>38</v>
      </c>
      <c r="T2229" s="30" t="s">
        <v>39</v>
      </c>
      <c r="U2229" s="31">
        <v>0.98039215686274506</v>
      </c>
      <c r="V2229" s="82">
        <v>1</v>
      </c>
      <c r="AA2229" s="82"/>
      <c r="AF2229" s="84"/>
      <c r="AG2229" s="31">
        <v>0</v>
      </c>
      <c r="AH2229" t="s">
        <v>44</v>
      </c>
    </row>
    <row r="2230" spans="1:34" s="6" customFormat="1">
      <c r="A2230" s="18" t="s">
        <v>2344</v>
      </c>
      <c r="B2230" s="19" t="s">
        <v>1825</v>
      </c>
      <c r="C2230" s="42" t="s">
        <v>1958</v>
      </c>
      <c r="D2230" s="6" t="s">
        <v>41</v>
      </c>
      <c r="E2230" s="28" t="s">
        <v>42</v>
      </c>
      <c r="F2230" s="29">
        <v>1</v>
      </c>
      <c r="G2230" s="83">
        <v>1</v>
      </c>
      <c r="H2230" s="28"/>
      <c r="I2230" s="28"/>
      <c r="J2230" s="28"/>
      <c r="K2230" s="29"/>
      <c r="L2230" s="83"/>
      <c r="M2230" s="74"/>
      <c r="N2230" s="28"/>
      <c r="O2230" s="28"/>
      <c r="P2230" s="29"/>
      <c r="Q2230" s="85"/>
      <c r="R2230" s="54" t="s">
        <v>1929</v>
      </c>
      <c r="S2230" s="28" t="s">
        <v>41</v>
      </c>
      <c r="T2230" s="28" t="s">
        <v>42</v>
      </c>
      <c r="U2230" s="29">
        <v>1</v>
      </c>
      <c r="V2230" s="83">
        <v>1</v>
      </c>
      <c r="W2230" s="28"/>
      <c r="X2230" s="28"/>
      <c r="Y2230" s="28"/>
      <c r="Z2230" s="29"/>
      <c r="AA2230" s="83"/>
      <c r="AB2230" s="74"/>
      <c r="AC2230" s="28"/>
      <c r="AD2230" s="28"/>
      <c r="AE2230" s="28"/>
      <c r="AF2230" s="85"/>
      <c r="AG2230" s="29">
        <v>0</v>
      </c>
      <c r="AH2230" s="6" t="s">
        <v>44</v>
      </c>
    </row>
    <row r="2231" spans="1:34">
      <c r="A2231" s="15" t="s">
        <v>2345</v>
      </c>
      <c r="B2231" s="12" t="s">
        <v>1825</v>
      </c>
      <c r="C2231" s="43" t="s">
        <v>1958</v>
      </c>
      <c r="D2231" t="s">
        <v>41</v>
      </c>
      <c r="E2231" s="30" t="s">
        <v>42</v>
      </c>
      <c r="F2231" s="31">
        <v>1</v>
      </c>
      <c r="G2231" s="82">
        <v>1</v>
      </c>
      <c r="L2231" s="82"/>
      <c r="Q2231" s="84"/>
      <c r="R2231" s="30" t="s">
        <v>1929</v>
      </c>
      <c r="S2231" s="30" t="s">
        <v>41</v>
      </c>
      <c r="T2231" s="30" t="s">
        <v>42</v>
      </c>
      <c r="U2231" s="31">
        <v>1</v>
      </c>
      <c r="V2231" s="82">
        <v>1</v>
      </c>
      <c r="AA2231" s="82"/>
      <c r="AF2231" s="84"/>
      <c r="AG2231" s="31">
        <v>0</v>
      </c>
      <c r="AH2231" t="s">
        <v>44</v>
      </c>
    </row>
    <row r="2232" spans="1:34">
      <c r="A2232" s="15" t="s">
        <v>2346</v>
      </c>
      <c r="B2232" s="12" t="s">
        <v>1825</v>
      </c>
      <c r="C2232" s="43" t="s">
        <v>1958</v>
      </c>
      <c r="D2232" t="s">
        <v>41</v>
      </c>
      <c r="E2232" s="30" t="s">
        <v>42</v>
      </c>
      <c r="F2232" s="31">
        <v>1</v>
      </c>
      <c r="G2232" s="82">
        <v>1</v>
      </c>
      <c r="L2232" s="82"/>
      <c r="Q2232" s="84"/>
      <c r="R2232" s="30" t="s">
        <v>1929</v>
      </c>
      <c r="S2232" s="30" t="s">
        <v>41</v>
      </c>
      <c r="T2232" s="30" t="s">
        <v>42</v>
      </c>
      <c r="U2232" s="31">
        <v>1</v>
      </c>
      <c r="V2232" s="82">
        <v>1</v>
      </c>
      <c r="AA2232" s="82"/>
      <c r="AF2232" s="84"/>
      <c r="AG2232" s="31">
        <v>0</v>
      </c>
      <c r="AH2232" t="s">
        <v>44</v>
      </c>
    </row>
    <row r="2233" spans="1:34">
      <c r="A2233" s="15" t="s">
        <v>2347</v>
      </c>
      <c r="B2233" s="12" t="s">
        <v>1825</v>
      </c>
      <c r="C2233" s="43" t="s">
        <v>1958</v>
      </c>
      <c r="D2233" t="s">
        <v>41</v>
      </c>
      <c r="E2233" s="30" t="s">
        <v>42</v>
      </c>
      <c r="F2233" s="31">
        <v>1</v>
      </c>
      <c r="G2233" s="82">
        <v>1</v>
      </c>
      <c r="L2233" s="82"/>
      <c r="Q2233" s="84"/>
      <c r="R2233" s="30" t="s">
        <v>1929</v>
      </c>
      <c r="S2233" s="30" t="s">
        <v>41</v>
      </c>
      <c r="T2233" s="30" t="s">
        <v>42</v>
      </c>
      <c r="U2233" s="31">
        <v>1</v>
      </c>
      <c r="V2233" s="82">
        <v>1</v>
      </c>
      <c r="AA2233" s="82"/>
      <c r="AF2233" s="84"/>
      <c r="AG2233" s="31">
        <v>0</v>
      </c>
      <c r="AH2233" t="s">
        <v>44</v>
      </c>
    </row>
    <row r="2234" spans="1:34">
      <c r="A2234" s="15" t="s">
        <v>2348</v>
      </c>
      <c r="B2234" s="12" t="s">
        <v>1825</v>
      </c>
      <c r="C2234" s="43" t="s">
        <v>1958</v>
      </c>
      <c r="D2234" t="s">
        <v>41</v>
      </c>
      <c r="E2234" s="30" t="s">
        <v>42</v>
      </c>
      <c r="F2234" s="31">
        <v>1</v>
      </c>
      <c r="G2234" s="82">
        <v>1</v>
      </c>
      <c r="L2234" s="82"/>
      <c r="Q2234" s="84"/>
      <c r="R2234" s="30" t="s">
        <v>1929</v>
      </c>
      <c r="S2234" s="30" t="s">
        <v>41</v>
      </c>
      <c r="T2234" s="30" t="s">
        <v>42</v>
      </c>
      <c r="U2234" s="31">
        <v>1</v>
      </c>
      <c r="V2234" s="82">
        <v>0.66666666666666663</v>
      </c>
      <c r="W2234" s="30" t="s">
        <v>161</v>
      </c>
      <c r="X2234" s="30" t="s">
        <v>38</v>
      </c>
      <c r="Y2234" s="30" t="s">
        <v>39</v>
      </c>
      <c r="Z2234" s="31">
        <v>0.83333333333333337</v>
      </c>
      <c r="AA2234" s="82">
        <v>0.33333333333333331</v>
      </c>
      <c r="AF2234" s="84"/>
      <c r="AG2234" s="31">
        <v>0</v>
      </c>
      <c r="AH2234" t="s">
        <v>44</v>
      </c>
    </row>
    <row r="2235" spans="1:34">
      <c r="A2235" s="15" t="s">
        <v>2349</v>
      </c>
      <c r="B2235" s="12" t="s">
        <v>1825</v>
      </c>
      <c r="C2235" s="43" t="s">
        <v>37</v>
      </c>
      <c r="D2235" t="s">
        <v>38</v>
      </c>
      <c r="E2235" s="30" t="s">
        <v>39</v>
      </c>
      <c r="F2235" s="31">
        <v>0.970873786407767</v>
      </c>
      <c r="G2235" s="82">
        <v>1</v>
      </c>
      <c r="L2235" s="82"/>
      <c r="Q2235" s="84"/>
      <c r="R2235" s="30" t="s">
        <v>161</v>
      </c>
      <c r="S2235" s="30" t="s">
        <v>38</v>
      </c>
      <c r="T2235" s="30" t="s">
        <v>39</v>
      </c>
      <c r="U2235" s="31">
        <v>0.83333333333333337</v>
      </c>
      <c r="V2235" s="82">
        <v>0.75</v>
      </c>
      <c r="W2235" s="30" t="s">
        <v>1964</v>
      </c>
      <c r="X2235" s="30" t="s">
        <v>38</v>
      </c>
      <c r="Y2235" s="30" t="s">
        <v>39</v>
      </c>
      <c r="Z2235" s="31">
        <v>0.98039215686274506</v>
      </c>
      <c r="AA2235" s="82">
        <v>0.25</v>
      </c>
      <c r="AF2235" s="84"/>
      <c r="AG2235" s="31">
        <v>0</v>
      </c>
      <c r="AH2235" t="s">
        <v>44</v>
      </c>
    </row>
    <row r="2236" spans="1:34">
      <c r="A2236" s="15" t="s">
        <v>2350</v>
      </c>
      <c r="B2236" s="12" t="s">
        <v>1825</v>
      </c>
      <c r="C2236" s="43" t="s">
        <v>37</v>
      </c>
      <c r="D2236" t="s">
        <v>38</v>
      </c>
      <c r="E2236" s="30" t="s">
        <v>39</v>
      </c>
      <c r="F2236" s="31">
        <v>0.970873786407767</v>
      </c>
      <c r="G2236" s="82">
        <v>1</v>
      </c>
      <c r="L2236" s="82"/>
      <c r="Q2236" s="84"/>
      <c r="R2236" s="30" t="s">
        <v>161</v>
      </c>
      <c r="S2236" s="30" t="s">
        <v>38</v>
      </c>
      <c r="T2236" s="30" t="s">
        <v>39</v>
      </c>
      <c r="U2236" s="31">
        <v>0.83333333333333337</v>
      </c>
      <c r="V2236" s="82">
        <v>0.5</v>
      </c>
      <c r="W2236" s="30" t="s">
        <v>1964</v>
      </c>
      <c r="X2236" s="30" t="s">
        <v>38</v>
      </c>
      <c r="Y2236" s="30" t="s">
        <v>39</v>
      </c>
      <c r="Z2236" s="31">
        <v>0.98039215686274506</v>
      </c>
      <c r="AA2236" s="82">
        <v>0.5</v>
      </c>
      <c r="AF2236" s="84"/>
      <c r="AG2236" s="31">
        <v>0</v>
      </c>
      <c r="AH2236" t="s">
        <v>44</v>
      </c>
    </row>
    <row r="2237" spans="1:34">
      <c r="A2237" s="15" t="s">
        <v>2351</v>
      </c>
      <c r="B2237" s="12" t="s">
        <v>1825</v>
      </c>
      <c r="C2237" s="43" t="s">
        <v>1958</v>
      </c>
      <c r="D2237" t="s">
        <v>41</v>
      </c>
      <c r="E2237" s="30" t="s">
        <v>42</v>
      </c>
      <c r="F2237" s="31">
        <v>1</v>
      </c>
      <c r="G2237" s="82">
        <v>1</v>
      </c>
      <c r="L2237" s="82"/>
      <c r="Q2237" s="84"/>
      <c r="R2237" s="30" t="s">
        <v>1967</v>
      </c>
      <c r="S2237" s="30" t="s">
        <v>409</v>
      </c>
      <c r="T2237" s="30" t="s">
        <v>39</v>
      </c>
      <c r="U2237" s="31">
        <v>0.95238095238095233</v>
      </c>
      <c r="V2237" s="82">
        <v>1</v>
      </c>
      <c r="AA2237" s="82"/>
      <c r="AF2237" s="84"/>
      <c r="AG2237" s="31">
        <v>0</v>
      </c>
      <c r="AH2237" t="s">
        <v>44</v>
      </c>
    </row>
    <row r="2238" spans="1:34">
      <c r="A2238" s="15" t="s">
        <v>2352</v>
      </c>
      <c r="B2238" s="12" t="s">
        <v>1825</v>
      </c>
      <c r="C2238" s="43" t="s">
        <v>1958</v>
      </c>
      <c r="D2238" t="s">
        <v>41</v>
      </c>
      <c r="E2238" s="30" t="s">
        <v>42</v>
      </c>
      <c r="F2238" s="31">
        <v>1</v>
      </c>
      <c r="G2238" s="82">
        <v>1</v>
      </c>
      <c r="L2238" s="82"/>
      <c r="Q2238" s="84"/>
      <c r="R2238" s="30" t="s">
        <v>1967</v>
      </c>
      <c r="S2238" s="30" t="s">
        <v>409</v>
      </c>
      <c r="T2238" s="30" t="s">
        <v>39</v>
      </c>
      <c r="U2238" s="31">
        <v>0.95238095238095233</v>
      </c>
      <c r="V2238" s="82">
        <v>1</v>
      </c>
      <c r="AA2238" s="82"/>
      <c r="AF2238" s="84"/>
      <c r="AG2238" s="31">
        <v>0</v>
      </c>
      <c r="AH2238" t="s">
        <v>44</v>
      </c>
    </row>
    <row r="2239" spans="1:34">
      <c r="A2239" s="15" t="s">
        <v>2353</v>
      </c>
      <c r="B2239" s="12" t="s">
        <v>1825</v>
      </c>
      <c r="C2239" s="43" t="s">
        <v>1958</v>
      </c>
      <c r="D2239" t="s">
        <v>41</v>
      </c>
      <c r="E2239" s="30" t="s">
        <v>42</v>
      </c>
      <c r="F2239" s="31">
        <v>1</v>
      </c>
      <c r="G2239" s="82">
        <v>1</v>
      </c>
      <c r="L2239" s="82"/>
      <c r="Q2239" s="84"/>
      <c r="R2239" s="30" t="s">
        <v>1967</v>
      </c>
      <c r="S2239" s="30" t="s">
        <v>409</v>
      </c>
      <c r="T2239" s="30" t="s">
        <v>39</v>
      </c>
      <c r="U2239" s="31">
        <v>0.95238095238095233</v>
      </c>
      <c r="V2239" s="82">
        <v>1</v>
      </c>
      <c r="AA2239" s="82"/>
      <c r="AF2239" s="84"/>
      <c r="AG2239" s="31">
        <v>0</v>
      </c>
      <c r="AH2239" t="s">
        <v>44</v>
      </c>
    </row>
    <row r="2240" spans="1:34">
      <c r="A2240" s="15" t="s">
        <v>2354</v>
      </c>
      <c r="B2240" s="12" t="s">
        <v>1825</v>
      </c>
      <c r="C2240" s="43" t="s">
        <v>1958</v>
      </c>
      <c r="D2240" t="s">
        <v>41</v>
      </c>
      <c r="E2240" s="30" t="s">
        <v>42</v>
      </c>
      <c r="F2240" s="31">
        <v>1</v>
      </c>
      <c r="G2240" s="82">
        <v>1</v>
      </c>
      <c r="L2240" s="82"/>
      <c r="Q2240" s="84"/>
      <c r="R2240" s="30" t="s">
        <v>1967</v>
      </c>
      <c r="S2240" s="30" t="s">
        <v>409</v>
      </c>
      <c r="T2240" s="30" t="s">
        <v>39</v>
      </c>
      <c r="U2240" s="31">
        <v>0.95238095238095233</v>
      </c>
      <c r="V2240" s="82">
        <v>1</v>
      </c>
      <c r="AA2240" s="82"/>
      <c r="AF2240" s="84"/>
      <c r="AG2240" s="31">
        <v>0</v>
      </c>
      <c r="AH2240" t="s">
        <v>44</v>
      </c>
    </row>
    <row r="2241" spans="1:34">
      <c r="A2241" s="15" t="s">
        <v>2355</v>
      </c>
      <c r="B2241" s="12" t="s">
        <v>1825</v>
      </c>
      <c r="C2241" s="43" t="s">
        <v>1958</v>
      </c>
      <c r="D2241" t="s">
        <v>41</v>
      </c>
      <c r="E2241" s="30" t="s">
        <v>42</v>
      </c>
      <c r="F2241" s="31">
        <v>1</v>
      </c>
      <c r="G2241" s="82">
        <v>1</v>
      </c>
      <c r="L2241" s="82"/>
      <c r="Q2241" s="84"/>
      <c r="R2241" s="30" t="s">
        <v>1967</v>
      </c>
      <c r="S2241" s="30" t="s">
        <v>409</v>
      </c>
      <c r="T2241" s="30" t="s">
        <v>39</v>
      </c>
      <c r="U2241" s="31">
        <v>0.95238095238095233</v>
      </c>
      <c r="V2241" s="82">
        <v>0.66</v>
      </c>
      <c r="W2241" s="30" t="s">
        <v>161</v>
      </c>
      <c r="X2241" s="30" t="s">
        <v>38</v>
      </c>
      <c r="Y2241" s="30" t="s">
        <v>39</v>
      </c>
      <c r="Z2241" s="31">
        <v>0.83333333333333337</v>
      </c>
      <c r="AA2241" s="82">
        <v>0.33333333333333331</v>
      </c>
      <c r="AF2241" s="84"/>
      <c r="AG2241" s="31">
        <v>0</v>
      </c>
      <c r="AH2241" t="s">
        <v>44</v>
      </c>
    </row>
    <row r="2242" spans="1:34">
      <c r="A2242" s="15" t="s">
        <v>2356</v>
      </c>
      <c r="B2242" s="12" t="s">
        <v>1825</v>
      </c>
      <c r="C2242" s="43" t="s">
        <v>37</v>
      </c>
      <c r="D2242" t="s">
        <v>38</v>
      </c>
      <c r="E2242" s="30" t="s">
        <v>39</v>
      </c>
      <c r="F2242" s="31">
        <v>0.970873786407767</v>
      </c>
      <c r="G2242" s="82">
        <v>1</v>
      </c>
      <c r="L2242" s="82"/>
      <c r="Q2242" s="84"/>
      <c r="R2242" s="30" t="s">
        <v>161</v>
      </c>
      <c r="S2242" s="30" t="s">
        <v>38</v>
      </c>
      <c r="T2242" s="30" t="s">
        <v>39</v>
      </c>
      <c r="U2242" s="31">
        <v>0.83333333333333337</v>
      </c>
      <c r="V2242" s="82">
        <v>0.75</v>
      </c>
      <c r="W2242" s="30" t="s">
        <v>1964</v>
      </c>
      <c r="X2242" s="30" t="s">
        <v>38</v>
      </c>
      <c r="Y2242" s="30" t="s">
        <v>39</v>
      </c>
      <c r="Z2242" s="31">
        <v>0.98039215686274506</v>
      </c>
      <c r="AA2242" s="82">
        <v>0.25</v>
      </c>
      <c r="AF2242" s="84"/>
      <c r="AG2242" s="31">
        <v>0</v>
      </c>
      <c r="AH2242" t="s">
        <v>44</v>
      </c>
    </row>
    <row r="2243" spans="1:34">
      <c r="A2243" s="15" t="s">
        <v>2357</v>
      </c>
      <c r="B2243" s="12" t="s">
        <v>1825</v>
      </c>
      <c r="C2243" s="43" t="s">
        <v>37</v>
      </c>
      <c r="D2243" t="s">
        <v>38</v>
      </c>
      <c r="E2243" s="30" t="s">
        <v>39</v>
      </c>
      <c r="F2243" s="31">
        <v>0.970873786407767</v>
      </c>
      <c r="G2243" s="82">
        <v>1</v>
      </c>
      <c r="L2243" s="82"/>
      <c r="Q2243" s="84"/>
      <c r="R2243" s="30" t="s">
        <v>161</v>
      </c>
      <c r="S2243" s="30" t="s">
        <v>38</v>
      </c>
      <c r="T2243" s="30" t="s">
        <v>39</v>
      </c>
      <c r="U2243" s="31">
        <v>0.83333333333333337</v>
      </c>
      <c r="V2243" s="82">
        <v>0.5</v>
      </c>
      <c r="W2243" s="30" t="s">
        <v>1964</v>
      </c>
      <c r="X2243" s="30" t="s">
        <v>38</v>
      </c>
      <c r="Y2243" s="30" t="s">
        <v>39</v>
      </c>
      <c r="Z2243" s="31">
        <v>0.98039215686274506</v>
      </c>
      <c r="AA2243" s="82">
        <v>0.5</v>
      </c>
      <c r="AF2243" s="84"/>
      <c r="AG2243" s="31">
        <v>0</v>
      </c>
      <c r="AH2243" t="s">
        <v>44</v>
      </c>
    </row>
    <row r="2244" spans="1:34">
      <c r="A2244" s="15" t="s">
        <v>2358</v>
      </c>
      <c r="B2244" s="12" t="s">
        <v>1825</v>
      </c>
      <c r="C2244" s="43" t="s">
        <v>1958</v>
      </c>
      <c r="D2244" t="s">
        <v>41</v>
      </c>
      <c r="E2244" s="30" t="s">
        <v>42</v>
      </c>
      <c r="F2244" s="31">
        <v>1</v>
      </c>
      <c r="G2244" s="82">
        <v>1</v>
      </c>
      <c r="L2244" s="82"/>
      <c r="Q2244" s="84"/>
      <c r="R2244" s="30" t="s">
        <v>1967</v>
      </c>
      <c r="S2244" s="30" t="s">
        <v>409</v>
      </c>
      <c r="T2244" s="30" t="s">
        <v>39</v>
      </c>
      <c r="U2244" s="31">
        <v>0.95238095238095233</v>
      </c>
      <c r="V2244" s="82">
        <v>1</v>
      </c>
      <c r="AA2244" s="82"/>
      <c r="AF2244" s="84"/>
      <c r="AG2244" s="31">
        <v>0</v>
      </c>
      <c r="AH2244" t="s">
        <v>44</v>
      </c>
    </row>
    <row r="2245" spans="1:34">
      <c r="A2245" s="15" t="s">
        <v>2359</v>
      </c>
      <c r="B2245" s="12" t="s">
        <v>1825</v>
      </c>
      <c r="C2245" s="43" t="s">
        <v>1958</v>
      </c>
      <c r="D2245" t="s">
        <v>41</v>
      </c>
      <c r="E2245" s="30" t="s">
        <v>42</v>
      </c>
      <c r="F2245" s="31">
        <v>1</v>
      </c>
      <c r="G2245" s="82">
        <v>1</v>
      </c>
      <c r="L2245" s="82"/>
      <c r="Q2245" s="84"/>
      <c r="R2245" s="30" t="s">
        <v>1967</v>
      </c>
      <c r="S2245" s="30" t="s">
        <v>409</v>
      </c>
      <c r="T2245" s="30" t="s">
        <v>39</v>
      </c>
      <c r="U2245" s="31">
        <v>0.95238095238095233</v>
      </c>
      <c r="V2245" s="82">
        <v>1</v>
      </c>
      <c r="AA2245" s="82"/>
      <c r="AF2245" s="84"/>
      <c r="AG2245" s="31">
        <v>0</v>
      </c>
      <c r="AH2245" t="s">
        <v>44</v>
      </c>
    </row>
    <row r="2246" spans="1:34">
      <c r="A2246" s="15" t="s">
        <v>2360</v>
      </c>
      <c r="B2246" s="12" t="s">
        <v>1825</v>
      </c>
      <c r="C2246" s="43" t="s">
        <v>1958</v>
      </c>
      <c r="D2246" t="s">
        <v>41</v>
      </c>
      <c r="E2246" s="30" t="s">
        <v>42</v>
      </c>
      <c r="F2246" s="31">
        <v>1</v>
      </c>
      <c r="G2246" s="82">
        <v>1</v>
      </c>
      <c r="L2246" s="82"/>
      <c r="Q2246" s="84"/>
      <c r="R2246" s="30" t="s">
        <v>1967</v>
      </c>
      <c r="S2246" s="30" t="s">
        <v>409</v>
      </c>
      <c r="T2246" s="30" t="s">
        <v>39</v>
      </c>
      <c r="U2246" s="31">
        <v>0.95238095238095233</v>
      </c>
      <c r="V2246" s="82">
        <v>1</v>
      </c>
      <c r="AA2246" s="82"/>
      <c r="AF2246" s="84"/>
      <c r="AG2246" s="31">
        <v>0</v>
      </c>
      <c r="AH2246" t="s">
        <v>44</v>
      </c>
    </row>
    <row r="2247" spans="1:34">
      <c r="A2247" s="15" t="s">
        <v>2361</v>
      </c>
      <c r="B2247" s="12" t="s">
        <v>1825</v>
      </c>
      <c r="C2247" s="43" t="s">
        <v>1958</v>
      </c>
      <c r="D2247" t="s">
        <v>41</v>
      </c>
      <c r="E2247" s="30" t="s">
        <v>42</v>
      </c>
      <c r="F2247" s="31">
        <v>1</v>
      </c>
      <c r="G2247" s="82">
        <v>1</v>
      </c>
      <c r="L2247" s="82"/>
      <c r="Q2247" s="84"/>
      <c r="R2247" s="30" t="s">
        <v>1967</v>
      </c>
      <c r="S2247" s="30" t="s">
        <v>409</v>
      </c>
      <c r="T2247" s="30" t="s">
        <v>39</v>
      </c>
      <c r="U2247" s="31">
        <v>0.95238095238095233</v>
      </c>
      <c r="V2247" s="82">
        <v>1</v>
      </c>
      <c r="AA2247" s="82"/>
      <c r="AF2247" s="84"/>
      <c r="AG2247" s="31">
        <v>0</v>
      </c>
      <c r="AH2247" t="s">
        <v>44</v>
      </c>
    </row>
    <row r="2248" spans="1:34">
      <c r="A2248" s="15" t="s">
        <v>2362</v>
      </c>
      <c r="B2248" s="12" t="s">
        <v>1825</v>
      </c>
      <c r="C2248" s="43" t="s">
        <v>1958</v>
      </c>
      <c r="D2248" t="s">
        <v>41</v>
      </c>
      <c r="E2248" s="30" t="s">
        <v>42</v>
      </c>
      <c r="F2248" s="31">
        <v>1</v>
      </c>
      <c r="G2248" s="82">
        <v>1</v>
      </c>
      <c r="L2248" s="82"/>
      <c r="Q2248" s="84"/>
      <c r="R2248" s="30" t="s">
        <v>1967</v>
      </c>
      <c r="S2248" s="30" t="s">
        <v>409</v>
      </c>
      <c r="T2248" s="30" t="s">
        <v>39</v>
      </c>
      <c r="U2248" s="31">
        <v>0.95238095238095233</v>
      </c>
      <c r="V2248" s="82">
        <v>0.8</v>
      </c>
      <c r="W2248" s="30" t="s">
        <v>161</v>
      </c>
      <c r="X2248" s="30" t="s">
        <v>38</v>
      </c>
      <c r="Y2248" s="30" t="s">
        <v>39</v>
      </c>
      <c r="Z2248" s="31">
        <v>0.83333333333333337</v>
      </c>
      <c r="AA2248" s="82">
        <v>0.2</v>
      </c>
      <c r="AF2248" s="84"/>
      <c r="AG2248" s="31">
        <v>0</v>
      </c>
      <c r="AH2248" t="s">
        <v>44</v>
      </c>
    </row>
    <row r="2249" spans="1:34">
      <c r="A2249" s="15" t="s">
        <v>2363</v>
      </c>
      <c r="B2249" s="12" t="s">
        <v>1825</v>
      </c>
      <c r="C2249" s="43" t="s">
        <v>37</v>
      </c>
      <c r="D2249" t="s">
        <v>38</v>
      </c>
      <c r="E2249" s="30" t="s">
        <v>39</v>
      </c>
      <c r="F2249" s="31">
        <v>0.970873786407767</v>
      </c>
      <c r="G2249" s="82">
        <v>1</v>
      </c>
      <c r="L2249" s="82"/>
      <c r="Q2249" s="84"/>
      <c r="R2249" s="30" t="s">
        <v>161</v>
      </c>
      <c r="S2249" s="30" t="s">
        <v>38</v>
      </c>
      <c r="T2249" s="30" t="s">
        <v>39</v>
      </c>
      <c r="U2249" s="31">
        <v>0.83333333333333337</v>
      </c>
      <c r="V2249" s="82">
        <v>0.66666666666666663</v>
      </c>
      <c r="W2249" s="30" t="s">
        <v>1964</v>
      </c>
      <c r="X2249" s="30" t="s">
        <v>38</v>
      </c>
      <c r="Y2249" s="30" t="s">
        <v>39</v>
      </c>
      <c r="Z2249" s="31">
        <v>0.98039215686274506</v>
      </c>
      <c r="AA2249" s="82">
        <v>0.33333333333333331</v>
      </c>
      <c r="AF2249" s="84"/>
      <c r="AG2249" s="31">
        <v>0</v>
      </c>
      <c r="AH2249" t="s">
        <v>44</v>
      </c>
    </row>
    <row r="2250" spans="1:34">
      <c r="A2250" t="s">
        <v>2394</v>
      </c>
      <c r="B2250" t="s">
        <v>2395</v>
      </c>
      <c r="C2250" s="43" t="s">
        <v>37</v>
      </c>
      <c r="D2250" t="s">
        <v>38</v>
      </c>
      <c r="E2250" s="30" t="s">
        <v>39</v>
      </c>
      <c r="F2250" s="31">
        <v>0.94339622641509424</v>
      </c>
      <c r="G2250" s="82">
        <v>1</v>
      </c>
      <c r="R2250" s="26" t="s">
        <v>161</v>
      </c>
      <c r="S2250" s="26" t="s">
        <v>38</v>
      </c>
      <c r="T2250" s="26" t="s">
        <v>39</v>
      </c>
      <c r="U2250" s="27">
        <v>0.83333333333333337</v>
      </c>
      <c r="V2250" s="33">
        <v>1</v>
      </c>
      <c r="AG2250" s="31">
        <v>0</v>
      </c>
      <c r="AH2250" t="s">
        <v>44</v>
      </c>
    </row>
    <row r="2251" spans="1:34">
      <c r="A2251" t="s">
        <v>2396</v>
      </c>
      <c r="B2251" t="s">
        <v>2395</v>
      </c>
      <c r="C2251" s="43" t="s">
        <v>37</v>
      </c>
      <c r="D2251" t="s">
        <v>38</v>
      </c>
      <c r="E2251" s="30" t="s">
        <v>39</v>
      </c>
      <c r="F2251" s="31">
        <v>0.94339622641509424</v>
      </c>
      <c r="G2251" s="82">
        <v>1</v>
      </c>
      <c r="R2251" s="26" t="s">
        <v>43</v>
      </c>
      <c r="S2251" s="26" t="s">
        <v>38</v>
      </c>
      <c r="T2251" s="26" t="s">
        <v>39</v>
      </c>
      <c r="U2251" s="27">
        <v>0.84745762711864414</v>
      </c>
      <c r="V2251" s="33">
        <v>1</v>
      </c>
      <c r="AG2251" s="31">
        <v>0</v>
      </c>
      <c r="AH2251" t="s">
        <v>44</v>
      </c>
    </row>
    <row r="2252" spans="1:34">
      <c r="A2252" t="s">
        <v>2397</v>
      </c>
      <c r="B2252" t="s">
        <v>2395</v>
      </c>
      <c r="C2252" s="43" t="s">
        <v>37</v>
      </c>
      <c r="D2252" t="s">
        <v>38</v>
      </c>
      <c r="E2252" s="30" t="s">
        <v>39</v>
      </c>
      <c r="F2252" s="31">
        <v>0.94339622641509424</v>
      </c>
      <c r="G2252" s="82">
        <v>1</v>
      </c>
      <c r="R2252" s="26" t="s">
        <v>43</v>
      </c>
      <c r="S2252" s="26" t="s">
        <v>38</v>
      </c>
      <c r="T2252" s="26" t="s">
        <v>39</v>
      </c>
      <c r="U2252" s="27">
        <v>0.84745762711864414</v>
      </c>
      <c r="V2252" s="33">
        <v>1</v>
      </c>
      <c r="AG2252" s="31">
        <v>0</v>
      </c>
      <c r="AH2252" t="s">
        <v>44</v>
      </c>
    </row>
    <row r="2253" spans="1:34">
      <c r="A2253" t="s">
        <v>2398</v>
      </c>
      <c r="B2253" t="s">
        <v>2395</v>
      </c>
      <c r="C2253" s="43" t="s">
        <v>37</v>
      </c>
      <c r="D2253" t="s">
        <v>38</v>
      </c>
      <c r="E2253" s="30" t="s">
        <v>39</v>
      </c>
      <c r="F2253" s="31">
        <v>0.94339622641509424</v>
      </c>
      <c r="G2253" s="82">
        <v>1</v>
      </c>
      <c r="R2253" s="26" t="s">
        <v>43</v>
      </c>
      <c r="S2253" s="26" t="s">
        <v>38</v>
      </c>
      <c r="T2253" s="26" t="s">
        <v>39</v>
      </c>
      <c r="U2253" s="27">
        <v>0.84745762711864414</v>
      </c>
      <c r="V2253" s="33">
        <v>1</v>
      </c>
      <c r="AG2253" s="31">
        <v>0</v>
      </c>
      <c r="AH2253" t="s">
        <v>44</v>
      </c>
    </row>
    <row r="2254" spans="1:34">
      <c r="A2254" t="s">
        <v>2399</v>
      </c>
      <c r="B2254" t="s">
        <v>2395</v>
      </c>
      <c r="C2254" s="43" t="s">
        <v>37</v>
      </c>
      <c r="D2254" t="s">
        <v>38</v>
      </c>
      <c r="E2254" s="30" t="s">
        <v>39</v>
      </c>
      <c r="F2254" s="31">
        <v>0.94339622641509402</v>
      </c>
      <c r="G2254" s="82">
        <v>1</v>
      </c>
      <c r="R2254" s="26" t="s">
        <v>161</v>
      </c>
      <c r="S2254" s="26" t="s">
        <v>38</v>
      </c>
      <c r="T2254" s="26" t="s">
        <v>39</v>
      </c>
      <c r="U2254" s="27">
        <v>0.85451977401129997</v>
      </c>
      <c r="V2254" s="33">
        <v>1</v>
      </c>
      <c r="AG2254" s="31">
        <v>0</v>
      </c>
      <c r="AH2254" t="s">
        <v>44</v>
      </c>
    </row>
    <row r="2255" spans="1:34">
      <c r="A2255" t="s">
        <v>2400</v>
      </c>
      <c r="B2255" t="s">
        <v>2395</v>
      </c>
      <c r="C2255" s="43" t="s">
        <v>37</v>
      </c>
      <c r="D2255" t="s">
        <v>38</v>
      </c>
      <c r="E2255" s="30" t="s">
        <v>39</v>
      </c>
      <c r="F2255" s="31">
        <v>0.94339622641509402</v>
      </c>
      <c r="G2255" s="82">
        <v>1</v>
      </c>
      <c r="R2255" s="26" t="s">
        <v>43</v>
      </c>
      <c r="S2255" s="26" t="s">
        <v>38</v>
      </c>
      <c r="T2255" s="26" t="s">
        <v>39</v>
      </c>
      <c r="U2255" s="27">
        <v>0.85875706214689296</v>
      </c>
      <c r="V2255" s="33">
        <v>1</v>
      </c>
      <c r="AG2255" s="31">
        <v>0</v>
      </c>
      <c r="AH2255" t="s">
        <v>44</v>
      </c>
    </row>
    <row r="2256" spans="1:34">
      <c r="A2256" t="s">
        <v>2401</v>
      </c>
      <c r="B2256" t="s">
        <v>2395</v>
      </c>
      <c r="C2256" s="43" t="s">
        <v>37</v>
      </c>
      <c r="D2256" t="s">
        <v>38</v>
      </c>
      <c r="E2256" s="30" t="s">
        <v>39</v>
      </c>
      <c r="F2256" s="31">
        <v>0.94339622641509402</v>
      </c>
      <c r="G2256" s="82">
        <v>1</v>
      </c>
      <c r="R2256" s="26" t="s">
        <v>43</v>
      </c>
      <c r="S2256" s="26" t="s">
        <v>38</v>
      </c>
      <c r="T2256" s="26" t="s">
        <v>39</v>
      </c>
      <c r="U2256" s="27">
        <v>0.86299435028248594</v>
      </c>
      <c r="V2256" s="33">
        <v>1</v>
      </c>
      <c r="AG2256" s="31">
        <v>0</v>
      </c>
      <c r="AH2256" t="s">
        <v>44</v>
      </c>
    </row>
    <row r="2257" spans="1:34">
      <c r="A2257" t="s">
        <v>2402</v>
      </c>
      <c r="B2257" t="s">
        <v>2395</v>
      </c>
      <c r="C2257" s="43" t="s">
        <v>37</v>
      </c>
      <c r="D2257" t="s">
        <v>38</v>
      </c>
      <c r="E2257" s="30" t="s">
        <v>39</v>
      </c>
      <c r="F2257" s="31">
        <v>0.94339622641509402</v>
      </c>
      <c r="G2257" s="82">
        <v>1</v>
      </c>
      <c r="R2257" s="26" t="s">
        <v>43</v>
      </c>
      <c r="S2257" s="26" t="s">
        <v>38</v>
      </c>
      <c r="T2257" s="26" t="s">
        <v>39</v>
      </c>
      <c r="U2257" s="27">
        <v>0.86723163841807904</v>
      </c>
      <c r="V2257" s="33">
        <v>1</v>
      </c>
      <c r="AG2257" s="31">
        <v>0</v>
      </c>
      <c r="AH2257" t="s">
        <v>44</v>
      </c>
    </row>
    <row r="2258" spans="1:34">
      <c r="A2258" t="s">
        <v>2403</v>
      </c>
      <c r="B2258" t="s">
        <v>2395</v>
      </c>
      <c r="C2258" s="43" t="s">
        <v>37</v>
      </c>
      <c r="D2258" t="s">
        <v>38</v>
      </c>
      <c r="E2258" s="30" t="s">
        <v>39</v>
      </c>
      <c r="F2258" s="31">
        <v>0.94339622641509402</v>
      </c>
      <c r="G2258" s="82">
        <v>1</v>
      </c>
      <c r="R2258" s="26" t="s">
        <v>161</v>
      </c>
      <c r="S2258" s="26" t="s">
        <v>38</v>
      </c>
      <c r="T2258" s="26" t="s">
        <v>39</v>
      </c>
      <c r="U2258" s="27">
        <v>0.87146892655367203</v>
      </c>
      <c r="V2258" s="33">
        <v>1</v>
      </c>
      <c r="AG2258" s="31">
        <v>0</v>
      </c>
      <c r="AH2258" t="s">
        <v>44</v>
      </c>
    </row>
    <row r="2259" spans="1:34">
      <c r="A2259" t="s">
        <v>2404</v>
      </c>
      <c r="B2259" t="s">
        <v>2395</v>
      </c>
      <c r="C2259" s="43" t="s">
        <v>37</v>
      </c>
      <c r="D2259" t="s">
        <v>38</v>
      </c>
      <c r="E2259" s="30" t="s">
        <v>39</v>
      </c>
      <c r="F2259" s="31">
        <v>0.94339622641509402</v>
      </c>
      <c r="G2259" s="82">
        <v>1</v>
      </c>
      <c r="R2259" s="26" t="s">
        <v>43</v>
      </c>
      <c r="S2259" s="26" t="s">
        <v>38</v>
      </c>
      <c r="T2259" s="26" t="s">
        <v>39</v>
      </c>
      <c r="U2259" s="27">
        <v>0.87570621468926602</v>
      </c>
      <c r="V2259" s="33">
        <v>1</v>
      </c>
      <c r="AG2259" s="31">
        <v>0</v>
      </c>
      <c r="AH2259" t="s">
        <v>44</v>
      </c>
    </row>
    <row r="2260" spans="1:34">
      <c r="A2260" t="s">
        <v>2405</v>
      </c>
      <c r="B2260" t="s">
        <v>2395</v>
      </c>
      <c r="C2260" s="43" t="s">
        <v>37</v>
      </c>
      <c r="D2260" t="s">
        <v>38</v>
      </c>
      <c r="E2260" s="30" t="s">
        <v>39</v>
      </c>
      <c r="F2260" s="31">
        <v>0.94339622641509402</v>
      </c>
      <c r="G2260" s="82">
        <v>1</v>
      </c>
      <c r="R2260" s="26" t="s">
        <v>43</v>
      </c>
      <c r="S2260" s="26" t="s">
        <v>38</v>
      </c>
      <c r="T2260" s="26" t="s">
        <v>39</v>
      </c>
      <c r="U2260" s="27">
        <v>0.879943502824859</v>
      </c>
      <c r="V2260" s="33">
        <v>1</v>
      </c>
      <c r="AG2260" s="31">
        <v>0</v>
      </c>
      <c r="AH2260" t="s">
        <v>44</v>
      </c>
    </row>
    <row r="2261" spans="1:34">
      <c r="A2261" t="s">
        <v>2406</v>
      </c>
      <c r="B2261" t="s">
        <v>2395</v>
      </c>
      <c r="C2261" s="43" t="s">
        <v>37</v>
      </c>
      <c r="D2261" t="s">
        <v>38</v>
      </c>
      <c r="E2261" s="30" t="s">
        <v>39</v>
      </c>
      <c r="F2261" s="31">
        <v>0.94339622641509402</v>
      </c>
      <c r="G2261" s="82">
        <v>1</v>
      </c>
      <c r="R2261" s="26" t="s">
        <v>43</v>
      </c>
      <c r="S2261" s="26" t="s">
        <v>38</v>
      </c>
      <c r="T2261" s="26" t="s">
        <v>39</v>
      </c>
      <c r="U2261" s="27">
        <v>0.88418079096045199</v>
      </c>
      <c r="V2261" s="33">
        <v>1</v>
      </c>
      <c r="AG2261" s="31">
        <v>0</v>
      </c>
      <c r="AH2261" t="s">
        <v>44</v>
      </c>
    </row>
    <row r="2262" spans="1:34">
      <c r="A2262" t="s">
        <v>2407</v>
      </c>
      <c r="B2262" t="s">
        <v>2395</v>
      </c>
      <c r="C2262" s="43" t="s">
        <v>37</v>
      </c>
      <c r="D2262" t="s">
        <v>38</v>
      </c>
      <c r="E2262" s="30" t="s">
        <v>39</v>
      </c>
      <c r="F2262" s="31">
        <v>0.94339622641509402</v>
      </c>
      <c r="G2262" s="82">
        <v>1</v>
      </c>
      <c r="R2262" s="26" t="s">
        <v>161</v>
      </c>
      <c r="S2262" s="26" t="s">
        <v>38</v>
      </c>
      <c r="T2262" s="26" t="s">
        <v>39</v>
      </c>
      <c r="U2262" s="27">
        <v>0.88841807909604498</v>
      </c>
      <c r="V2262" s="33">
        <v>1</v>
      </c>
      <c r="AG2262" s="31">
        <v>0</v>
      </c>
      <c r="AH2262" t="s">
        <v>44</v>
      </c>
    </row>
    <row r="2263" spans="1:34">
      <c r="A2263" t="s">
        <v>2408</v>
      </c>
      <c r="B2263" t="s">
        <v>2395</v>
      </c>
      <c r="C2263" s="43" t="s">
        <v>37</v>
      </c>
      <c r="D2263" t="s">
        <v>38</v>
      </c>
      <c r="E2263" s="30" t="s">
        <v>39</v>
      </c>
      <c r="F2263" s="31">
        <v>0.94339622641509402</v>
      </c>
      <c r="G2263" s="82">
        <v>1</v>
      </c>
      <c r="R2263" s="26" t="s">
        <v>43</v>
      </c>
      <c r="S2263" s="26" t="s">
        <v>38</v>
      </c>
      <c r="T2263" s="26" t="s">
        <v>39</v>
      </c>
      <c r="U2263" s="27">
        <v>0.89265536723163896</v>
      </c>
      <c r="V2263" s="33">
        <v>1</v>
      </c>
      <c r="AG2263" s="31">
        <v>0</v>
      </c>
      <c r="AH2263" t="s">
        <v>44</v>
      </c>
    </row>
    <row r="2264" spans="1:34">
      <c r="A2264" t="s">
        <v>2409</v>
      </c>
      <c r="B2264" t="s">
        <v>2395</v>
      </c>
      <c r="C2264" s="43" t="s">
        <v>37</v>
      </c>
      <c r="D2264" t="s">
        <v>38</v>
      </c>
      <c r="E2264" s="30" t="s">
        <v>39</v>
      </c>
      <c r="F2264" s="31">
        <v>0.94339622641509402</v>
      </c>
      <c r="G2264" s="82">
        <v>1</v>
      </c>
      <c r="R2264" s="26" t="s">
        <v>43</v>
      </c>
      <c r="S2264" s="26" t="s">
        <v>38</v>
      </c>
      <c r="T2264" s="26" t="s">
        <v>39</v>
      </c>
      <c r="U2264" s="27">
        <v>0.89689265536723195</v>
      </c>
      <c r="V2264" s="33">
        <v>1</v>
      </c>
      <c r="AG2264" s="31">
        <v>0</v>
      </c>
      <c r="AH2264" t="s">
        <v>44</v>
      </c>
    </row>
    <row r="2265" spans="1:34">
      <c r="A2265" t="s">
        <v>2410</v>
      </c>
      <c r="B2265" t="s">
        <v>2395</v>
      </c>
      <c r="C2265" s="43" t="s">
        <v>37</v>
      </c>
      <c r="D2265" t="s">
        <v>38</v>
      </c>
      <c r="E2265" s="30" t="s">
        <v>39</v>
      </c>
      <c r="F2265" s="31">
        <v>0.94339622641509402</v>
      </c>
      <c r="G2265" s="82">
        <v>1</v>
      </c>
      <c r="R2265" s="26" t="s">
        <v>43</v>
      </c>
      <c r="S2265" s="26" t="s">
        <v>38</v>
      </c>
      <c r="T2265" s="26" t="s">
        <v>39</v>
      </c>
      <c r="U2265" s="27">
        <v>0.90112994350282505</v>
      </c>
      <c r="V2265" s="33">
        <v>1</v>
      </c>
      <c r="AG2265" s="31">
        <v>0</v>
      </c>
      <c r="AH2265" t="s">
        <v>44</v>
      </c>
    </row>
    <row r="2266" spans="1:34">
      <c r="A2266" t="s">
        <v>2411</v>
      </c>
      <c r="B2266" t="s">
        <v>2395</v>
      </c>
      <c r="C2266" s="43" t="s">
        <v>37</v>
      </c>
      <c r="D2266" t="s">
        <v>38</v>
      </c>
      <c r="E2266" s="30" t="s">
        <v>39</v>
      </c>
      <c r="F2266" s="31">
        <v>0.94339622641509402</v>
      </c>
      <c r="G2266" s="82">
        <v>1</v>
      </c>
      <c r="R2266" s="26" t="s">
        <v>161</v>
      </c>
      <c r="S2266" s="26" t="s">
        <v>38</v>
      </c>
      <c r="T2266" s="26" t="s">
        <v>39</v>
      </c>
      <c r="U2266" s="27">
        <v>0.90536723163841804</v>
      </c>
      <c r="V2266" s="33">
        <v>1</v>
      </c>
      <c r="AG2266" s="31">
        <v>0</v>
      </c>
      <c r="AH2266" t="s">
        <v>44</v>
      </c>
    </row>
    <row r="2267" spans="1:34">
      <c r="A2267" t="s">
        <v>2412</v>
      </c>
      <c r="B2267" t="s">
        <v>2395</v>
      </c>
      <c r="C2267" s="43" t="s">
        <v>37</v>
      </c>
      <c r="D2267" t="s">
        <v>38</v>
      </c>
      <c r="E2267" s="30" t="s">
        <v>39</v>
      </c>
      <c r="F2267" s="31">
        <v>0.94339622641509402</v>
      </c>
      <c r="G2267" s="82">
        <v>1</v>
      </c>
      <c r="R2267" s="26" t="s">
        <v>43</v>
      </c>
      <c r="S2267" s="26" t="s">
        <v>38</v>
      </c>
      <c r="T2267" s="26" t="s">
        <v>39</v>
      </c>
      <c r="U2267" s="27">
        <v>0.90960451977401102</v>
      </c>
      <c r="V2267" s="33">
        <v>1</v>
      </c>
      <c r="AG2267" s="31">
        <v>0</v>
      </c>
      <c r="AH2267" t="s">
        <v>44</v>
      </c>
    </row>
    <row r="2268" spans="1:34">
      <c r="A2268" t="s">
        <v>2413</v>
      </c>
      <c r="B2268" t="s">
        <v>2395</v>
      </c>
      <c r="C2268" s="43" t="s">
        <v>37</v>
      </c>
      <c r="D2268" t="s">
        <v>38</v>
      </c>
      <c r="E2268" s="30" t="s">
        <v>39</v>
      </c>
      <c r="F2268" s="31">
        <v>0.94339622641509402</v>
      </c>
      <c r="G2268" s="82">
        <v>1</v>
      </c>
      <c r="R2268" s="26" t="s">
        <v>43</v>
      </c>
      <c r="S2268" s="26" t="s">
        <v>38</v>
      </c>
      <c r="T2268" s="26" t="s">
        <v>39</v>
      </c>
      <c r="U2268" s="27">
        <v>0.91384180790960501</v>
      </c>
      <c r="V2268" s="33">
        <v>1</v>
      </c>
      <c r="AG2268" s="31">
        <v>0</v>
      </c>
      <c r="AH2268" t="s">
        <v>44</v>
      </c>
    </row>
    <row r="2269" spans="1:34">
      <c r="A2269" t="s">
        <v>2414</v>
      </c>
      <c r="B2269" t="s">
        <v>2395</v>
      </c>
      <c r="C2269" s="43" t="s">
        <v>37</v>
      </c>
      <c r="D2269" t="s">
        <v>38</v>
      </c>
      <c r="E2269" s="30" t="s">
        <v>39</v>
      </c>
      <c r="F2269" s="31">
        <v>0.94339622641509402</v>
      </c>
      <c r="G2269" s="82">
        <v>1</v>
      </c>
      <c r="R2269" s="26" t="s">
        <v>43</v>
      </c>
      <c r="S2269" s="26" t="s">
        <v>38</v>
      </c>
      <c r="T2269" s="26" t="s">
        <v>39</v>
      </c>
      <c r="U2269" s="27">
        <v>0.918079096045198</v>
      </c>
      <c r="V2269" s="33">
        <v>1</v>
      </c>
      <c r="AG2269" s="31">
        <v>0</v>
      </c>
      <c r="AH2269" t="s">
        <v>44</v>
      </c>
    </row>
    <row r="2270" spans="1:34">
      <c r="A2270" t="s">
        <v>2415</v>
      </c>
      <c r="B2270" t="s">
        <v>2395</v>
      </c>
      <c r="C2270" s="43" t="s">
        <v>37</v>
      </c>
      <c r="D2270" t="s">
        <v>38</v>
      </c>
      <c r="E2270" s="30" t="s">
        <v>39</v>
      </c>
      <c r="F2270" s="31">
        <v>0.94339622641509402</v>
      </c>
      <c r="G2270" s="82">
        <v>1</v>
      </c>
      <c r="R2270" s="26" t="s">
        <v>161</v>
      </c>
      <c r="S2270" s="26" t="s">
        <v>38</v>
      </c>
      <c r="T2270" s="26" t="s">
        <v>39</v>
      </c>
      <c r="U2270" s="27">
        <v>0.92231638418079098</v>
      </c>
      <c r="V2270" s="33">
        <v>1</v>
      </c>
      <c r="AG2270" s="31">
        <v>0</v>
      </c>
      <c r="AH2270" t="s">
        <v>44</v>
      </c>
    </row>
    <row r="2271" spans="1:34">
      <c r="A2271" t="s">
        <v>2416</v>
      </c>
      <c r="B2271" t="s">
        <v>2395</v>
      </c>
      <c r="C2271" s="43" t="s">
        <v>37</v>
      </c>
      <c r="D2271" t="s">
        <v>38</v>
      </c>
      <c r="E2271" s="30" t="s">
        <v>39</v>
      </c>
      <c r="F2271" s="31">
        <v>0.94339622641509402</v>
      </c>
      <c r="G2271" s="82">
        <v>1</v>
      </c>
      <c r="R2271" s="26" t="s">
        <v>43</v>
      </c>
      <c r="S2271" s="26" t="s">
        <v>38</v>
      </c>
      <c r="T2271" s="26" t="s">
        <v>39</v>
      </c>
      <c r="U2271" s="27">
        <v>0.92655367231638397</v>
      </c>
      <c r="V2271" s="33">
        <v>1</v>
      </c>
      <c r="AG2271" s="31">
        <v>0</v>
      </c>
      <c r="AH2271" t="s">
        <v>44</v>
      </c>
    </row>
    <row r="2272" spans="1:34">
      <c r="A2272" t="s">
        <v>2417</v>
      </c>
      <c r="B2272" t="s">
        <v>2395</v>
      </c>
      <c r="C2272" s="43" t="s">
        <v>37</v>
      </c>
      <c r="D2272" t="s">
        <v>38</v>
      </c>
      <c r="E2272" s="30" t="s">
        <v>39</v>
      </c>
      <c r="F2272" s="31">
        <v>0.94339622641509402</v>
      </c>
      <c r="G2272" s="82">
        <v>1</v>
      </c>
      <c r="R2272" s="26" t="s">
        <v>43</v>
      </c>
      <c r="S2272" s="26" t="s">
        <v>38</v>
      </c>
      <c r="T2272" s="26" t="s">
        <v>39</v>
      </c>
      <c r="U2272" s="27">
        <v>0.93079096045197796</v>
      </c>
      <c r="V2272" s="33">
        <v>1</v>
      </c>
      <c r="AG2272" s="31">
        <v>0</v>
      </c>
      <c r="AH2272" t="s">
        <v>44</v>
      </c>
    </row>
    <row r="2273" spans="1:34">
      <c r="A2273" t="s">
        <v>2418</v>
      </c>
      <c r="B2273" t="s">
        <v>2395</v>
      </c>
      <c r="C2273" s="43" t="s">
        <v>37</v>
      </c>
      <c r="D2273" t="s">
        <v>38</v>
      </c>
      <c r="E2273" s="30" t="s">
        <v>39</v>
      </c>
      <c r="F2273" s="31">
        <v>0.94339622641509402</v>
      </c>
      <c r="G2273" s="82">
        <v>1</v>
      </c>
      <c r="R2273" s="26" t="s">
        <v>43</v>
      </c>
      <c r="S2273" s="26" t="s">
        <v>38</v>
      </c>
      <c r="T2273" s="26" t="s">
        <v>39</v>
      </c>
      <c r="U2273" s="27">
        <v>0.93502824858757105</v>
      </c>
      <c r="V2273" s="33">
        <v>1</v>
      </c>
      <c r="AG2273" s="31">
        <v>0</v>
      </c>
      <c r="AH2273" t="s">
        <v>44</v>
      </c>
    </row>
    <row r="2274" spans="1:34">
      <c r="A2274" t="s">
        <v>2419</v>
      </c>
      <c r="B2274" t="s">
        <v>2395</v>
      </c>
      <c r="C2274" s="43" t="s">
        <v>37</v>
      </c>
      <c r="D2274" t="s">
        <v>38</v>
      </c>
      <c r="E2274" s="30" t="s">
        <v>39</v>
      </c>
      <c r="F2274" s="31">
        <v>0.94339622641509402</v>
      </c>
      <c r="G2274" s="82">
        <v>1</v>
      </c>
      <c r="R2274" s="26" t="s">
        <v>161</v>
      </c>
      <c r="S2274" s="26" t="s">
        <v>38</v>
      </c>
      <c r="T2274" s="26" t="s">
        <v>39</v>
      </c>
      <c r="U2274" s="27">
        <v>0.93926553672316504</v>
      </c>
      <c r="V2274" s="33">
        <v>1</v>
      </c>
      <c r="AG2274" s="31">
        <v>0</v>
      </c>
      <c r="AH2274" t="s">
        <v>44</v>
      </c>
    </row>
    <row r="2275" spans="1:34">
      <c r="A2275" t="s">
        <v>2420</v>
      </c>
      <c r="B2275" t="s">
        <v>2395</v>
      </c>
      <c r="C2275" s="43" t="s">
        <v>37</v>
      </c>
      <c r="D2275" t="s">
        <v>38</v>
      </c>
      <c r="E2275" s="30" t="s">
        <v>39</v>
      </c>
      <c r="F2275" s="31">
        <v>0.94339622641509402</v>
      </c>
      <c r="G2275" s="82">
        <v>1</v>
      </c>
      <c r="R2275" s="26" t="s">
        <v>43</v>
      </c>
      <c r="S2275" s="26" t="s">
        <v>38</v>
      </c>
      <c r="T2275" s="26" t="s">
        <v>39</v>
      </c>
      <c r="U2275" s="27">
        <v>0.94350282485875803</v>
      </c>
      <c r="V2275" s="33">
        <v>1</v>
      </c>
      <c r="AG2275" s="31">
        <v>0</v>
      </c>
      <c r="AH2275" t="s">
        <v>44</v>
      </c>
    </row>
    <row r="2276" spans="1:34">
      <c r="A2276" t="s">
        <v>2421</v>
      </c>
      <c r="B2276" t="s">
        <v>2395</v>
      </c>
      <c r="C2276" s="43" t="s">
        <v>37</v>
      </c>
      <c r="D2276" t="s">
        <v>38</v>
      </c>
      <c r="E2276" s="30" t="s">
        <v>39</v>
      </c>
      <c r="F2276" s="31">
        <v>0.94339622641509402</v>
      </c>
      <c r="G2276" s="82">
        <v>1</v>
      </c>
      <c r="R2276" s="26" t="s">
        <v>43</v>
      </c>
      <c r="S2276" s="26" t="s">
        <v>38</v>
      </c>
      <c r="T2276" s="26" t="s">
        <v>39</v>
      </c>
      <c r="U2276" s="27">
        <v>0.94774011299435101</v>
      </c>
      <c r="V2276" s="33">
        <v>1</v>
      </c>
      <c r="AG2276" s="31">
        <v>0</v>
      </c>
      <c r="AH2276" t="s">
        <v>44</v>
      </c>
    </row>
  </sheetData>
  <autoFilter ref="A2:AH2249" xr:uid="{BA10DADA-E9A6-4EB7-8DC7-3456389684FE}"/>
  <dataValidations count="9">
    <dataValidation type="list" allowBlank="1" showInputMessage="1" showErrorMessage="1" sqref="R115:R163 R248:R296 R829:R926 R1431:R1479 R1564:R1612 R1697:R1794 R1838:R1853 W1866:W1868 W1873:W1875 W1871 W1880:W1881 R1862:R1881 W2011 R2007:R2034 R2149:R2167 R2186:R2201 R2212:R2249 W2234:W2236 W2241:W2243 W2239 W2248:W2249" xr:uid="{CFC2E83C-DEDD-414B-8FBE-BCB62D2C081C}">
      <formula1>DHW_systems_G2</formula1>
    </dataValidation>
    <dataValidation type="list" allowBlank="1" showInputMessage="1" showErrorMessage="1" sqref="R353:R520 R689:R772 W1067:W1150 AB689:AB772 R1067:R1150 W1207:W1290 AB1067:AB1150 R1207:R1290 W1613:W1696 AB1207:AB1290 R1613:R1696 W689:W772 AB353:AB520 W353:W520 AB1613:AB1696 R1931:R1940 W1911:W1940 R1911:R1920 AB1911:AB1940 W1967:W1976 R1967:R1976 R2075:R2084 AB2103:AB2112 AB2075:AB2084 R2103:R2112 W2103:W2112 W2075:W2084 R2202:R2211 AB2202:AB2211 W2202:W2211" xr:uid="{2B97D7F0-5308-49A5-8960-C23FEA3AA1E1}">
      <formula1>DHW_systems_G4</formula1>
    </dataValidation>
    <dataValidation type="list" allowBlank="1" showInputMessage="1" showErrorMessage="1" sqref="H1911:H1940 C353:C520 C689:C772 H1067:H1150 M689:M772 C1067:C1150 H1207:H1290 M1067:M1150 C1207:C1290 H1613:H1696 M1207:M1290 C1613:C1696 H689:H772 M353:M520 H353:H520 C1967:C1976 C1911:C1940 H1967:H1976 M1613:M1696 H2075:H2084 C2075:C2084 H2103:H2112 C2103:C2112 C2202:C2211 H2202:H2211" xr:uid="{7AABB955-2AE0-42B8-88D8-BA5B13579C26}">
      <formula1>Heating_systems_G4</formula1>
    </dataValidation>
    <dataValidation type="list" allowBlank="1" showInputMessage="1" showErrorMessage="1" sqref="R164:R247 R1291:R1374 R521:R688 R983:R1066 R1480:R1563 AB1856 W1856:W1857 R1854:R1861 AB1860 W1860:W1861 W1946:W1948 W1944 W1954 W1960 R1941:R1966 W1966 AB2058 R2051:R2074 W2058:W2066 AB2066 W2073:W2074 AB2073 R2113:R2130 W2118:W2124 W2129:W2130 W2173 W2179 R2168:R2185 W2185" xr:uid="{6D35FE33-2B1D-43B7-8287-3F02E9535EDA}">
      <formula1>DHW_systems_G3</formula1>
    </dataValidation>
    <dataValidation type="list" allowBlank="1" showInputMessage="1" showErrorMessage="1" sqref="C164:C247 H164:H247 M549:M618 H521:H688 M521:M534 C521:C688 M633:M688 M983:M996 C983:C1066 M1011:M1066 H983:H1066 M1291:M1304 C1291:C1374 M1319:M1374 M192:M247 M164:M177 H1291:H1374 M1480:M1493 C1480:C1563 M1508:M1563 H1480:H1563 C1854:C1861 H1965 H1953 C1941:C1966 H1959 C2051:C2074 H2117 H2123 C2113:C2130 H2129 H2172 H2178 C2168:C2185 H2184" xr:uid="{15DA28FB-76C8-4AD5-AFED-EAB1D5485A40}">
      <formula1>Heating_systems_G3</formula1>
    </dataValidation>
    <dataValidation type="list" allowBlank="1" showInputMessage="1" showErrorMessage="1" sqref="H115 C1697:C1794 M248 C829:C926 H878 H1431 M1564 H1697 M115 C115:C163 C248:C296 H829 M878 M1431 C1564:C1612 H248 M829 C1431:C1479 H1564 M1697 H1746 M1746 C1838:C1853 C1862:C1881 H2010 C2007:C2034 C2149:C2167 C2186:C2201 C2212:C2249 H2212:H2229" xr:uid="{ED8D2A29-C67D-4910-A279-38F058E453C4}">
      <formula1>Heating_systems_G2</formula1>
    </dataValidation>
    <dataValidation type="list" allowBlank="1" showInputMessage="1" showErrorMessage="1" sqref="R927:R982 R1151:R1206 R1375:R1430 R773:R828 R297:R352 R3:R114 W1810:W1812 W1802:W1804 AB1823:AB1837 W1821:W1837 R1797:R1837 R1882:R1893 W1882:W1893 R1906:R1910 W1906:W1910 AB1910 W2005 R1977:R2006 W2000 R2035:R2050 W2085 AB2088:AB2092 W2088:W2092 W2097:W2099 R2085:R2102 W2101 R2131:R2148 R2250:R2276" xr:uid="{7EDC4B4E-02A1-4D41-B77E-19433E2EF6FF}">
      <formula1>DHW_systems_G1</formula1>
    </dataValidation>
    <dataValidation type="list" allowBlank="1" showInputMessage="1" showErrorMessage="1" sqref="C927:C982 C3:C114 M1151:M1206 C297:C352 H927:H982 C1151:C1206 H1375:H1430 H3:H114 C773:C828 C1375:C1430 M1494:M1507 M297:M352 M773:M828 M535:M548 M619:M632 M997:M1010 H297:H352 H1151:H1206 H773:H828 M1305:M1318 M927:M982 M1375:M1430 M3:M114 M178:M191 H1813:H1820 C1797:C1837 M1834 H1829:H1836 H1889 C1882:C1910 H1901 H1910 H1977 H1982 H1992:H1993 C1977:C2006 H2044 C2035:C2050 H2050 M2087:M2088 H2085 C2085:C2102 H2087:H2089 H2092:H2095 M2093 H2098:H2099 C2131:C2148 C2250:C2276" xr:uid="{F616C8DF-C841-47DA-9DB0-35C730DE3092}">
      <formula1>Heating_systems_G1</formula1>
    </dataValidation>
    <dataValidation type="list" allowBlank="1" showInputMessage="1" showErrorMessage="1" sqref="W3 W1151 W927 W773 AB3 AB1151 AB927 AB773" xr:uid="{6962AB9C-3717-4EE6-B659-968795561977}">
      <formula1>"DHW_systems_G1"</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0AFD-DA3D-4F20-9B04-C8D7270EF51B}">
  <dimension ref="A1:W50"/>
  <sheetViews>
    <sheetView workbookViewId="0">
      <selection activeCell="D36" sqref="D36"/>
    </sheetView>
  </sheetViews>
  <sheetFormatPr baseColWidth="10" defaultColWidth="8.83203125" defaultRowHeight="15"/>
  <cols>
    <col min="3" max="3" width="56.83203125" customWidth="1"/>
    <col min="4" max="4" width="12.83203125" customWidth="1"/>
    <col min="5" max="5" width="8.1640625" customWidth="1"/>
    <col min="6" max="6" width="11" customWidth="1"/>
    <col min="8" max="8" width="36.83203125" bestFit="1" customWidth="1"/>
    <col min="9" max="9" width="14.6640625" bestFit="1" customWidth="1"/>
    <col min="10" max="10" width="9.5" bestFit="1" customWidth="1"/>
    <col min="11" max="11" width="11" customWidth="1"/>
    <col min="13" max="13" width="42.5" bestFit="1" customWidth="1"/>
    <col min="14" max="14" width="12.83203125" customWidth="1"/>
    <col min="16" max="16" width="11" customWidth="1"/>
    <col min="18" max="18" width="43.1640625" bestFit="1" customWidth="1"/>
    <col min="19" max="19" width="12.83203125" customWidth="1"/>
    <col min="21" max="21" width="11" customWidth="1"/>
  </cols>
  <sheetData>
    <row r="1" spans="1:21">
      <c r="C1" t="s">
        <v>2364</v>
      </c>
    </row>
    <row r="2" spans="1:21">
      <c r="I2" s="24" t="s">
        <v>2365</v>
      </c>
      <c r="J2" s="24" t="s">
        <v>2366</v>
      </c>
    </row>
    <row r="3" spans="1:21">
      <c r="A3" t="s">
        <v>2367</v>
      </c>
      <c r="I3" t="s">
        <v>41</v>
      </c>
      <c r="J3" t="s">
        <v>39</v>
      </c>
    </row>
    <row r="4" spans="1:21">
      <c r="A4" t="s">
        <v>2368</v>
      </c>
      <c r="I4" t="s">
        <v>38</v>
      </c>
      <c r="J4" t="s">
        <v>1879</v>
      </c>
    </row>
    <row r="5" spans="1:21">
      <c r="A5" t="s">
        <v>2369</v>
      </c>
      <c r="I5" t="s">
        <v>409</v>
      </c>
      <c r="J5" t="s">
        <v>2269</v>
      </c>
    </row>
    <row r="6" spans="1:21">
      <c r="A6" t="s">
        <v>2370</v>
      </c>
      <c r="J6" t="s">
        <v>42</v>
      </c>
    </row>
    <row r="7" spans="1:21">
      <c r="J7" t="s">
        <v>2086</v>
      </c>
    </row>
    <row r="8" spans="1:21">
      <c r="J8" t="s">
        <v>1950</v>
      </c>
    </row>
    <row r="9" spans="1:21">
      <c r="C9" s="100" t="s">
        <v>2371</v>
      </c>
      <c r="D9" s="100"/>
      <c r="E9" s="100"/>
      <c r="F9" s="100"/>
      <c r="H9" s="100" t="s">
        <v>2372</v>
      </c>
      <c r="I9" s="100"/>
      <c r="J9" s="100"/>
      <c r="K9" s="100"/>
      <c r="M9" s="100" t="s">
        <v>2373</v>
      </c>
      <c r="N9" s="100"/>
      <c r="O9" s="100"/>
      <c r="P9" s="100"/>
      <c r="R9" s="100" t="s">
        <v>2374</v>
      </c>
      <c r="S9" s="100"/>
      <c r="T9" s="100"/>
      <c r="U9" s="100"/>
    </row>
    <row r="10" spans="1:21">
      <c r="C10" s="21" t="s">
        <v>2375</v>
      </c>
      <c r="D10" s="21" t="s">
        <v>2376</v>
      </c>
      <c r="E10" s="21" t="s">
        <v>2377</v>
      </c>
      <c r="F10" s="21" t="s">
        <v>2378</v>
      </c>
      <c r="H10" s="21" t="s">
        <v>2375</v>
      </c>
      <c r="I10" s="21" t="s">
        <v>2376</v>
      </c>
      <c r="J10" s="21" t="s">
        <v>2377</v>
      </c>
      <c r="K10" s="21" t="s">
        <v>2378</v>
      </c>
      <c r="M10" s="21" t="s">
        <v>2375</v>
      </c>
      <c r="N10" s="21" t="s">
        <v>2376</v>
      </c>
      <c r="O10" s="21" t="s">
        <v>2377</v>
      </c>
      <c r="P10" s="21" t="s">
        <v>2378</v>
      </c>
      <c r="R10" s="81" t="s">
        <v>2375</v>
      </c>
      <c r="S10" s="81" t="s">
        <v>2376</v>
      </c>
      <c r="T10" s="81" t="s">
        <v>2377</v>
      </c>
      <c r="U10" s="81" t="s">
        <v>2378</v>
      </c>
    </row>
    <row r="11" spans="1:21">
      <c r="C11" t="s">
        <v>2379</v>
      </c>
      <c r="D11" t="s">
        <v>38</v>
      </c>
      <c r="E11" t="s">
        <v>42</v>
      </c>
      <c r="F11" s="20">
        <f>1/0.38</f>
        <v>2.6315789473684212</v>
      </c>
      <c r="G11" s="22"/>
      <c r="H11" t="s">
        <v>2113</v>
      </c>
      <c r="I11" t="s">
        <v>38</v>
      </c>
      <c r="J11" t="s">
        <v>2086</v>
      </c>
      <c r="K11" s="20">
        <f>1/2</f>
        <v>0.5</v>
      </c>
      <c r="L11" s="23"/>
      <c r="M11" t="s">
        <v>2051</v>
      </c>
      <c r="N11" t="s">
        <v>38</v>
      </c>
      <c r="O11" t="s">
        <v>39</v>
      </c>
      <c r="P11" s="20">
        <f>1/1.57</f>
        <v>0.63694267515923564</v>
      </c>
      <c r="Q11" s="22"/>
      <c r="R11" s="77" t="s">
        <v>410</v>
      </c>
      <c r="S11" s="77" t="s">
        <v>38</v>
      </c>
      <c r="T11" s="77" t="s">
        <v>42</v>
      </c>
      <c r="U11" s="79">
        <f>1/0.31</f>
        <v>3.2258064516129035</v>
      </c>
    </row>
    <row r="12" spans="1:21">
      <c r="C12" t="s">
        <v>2154</v>
      </c>
      <c r="D12" t="s">
        <v>38</v>
      </c>
      <c r="E12" t="s">
        <v>42</v>
      </c>
      <c r="F12" s="20">
        <f>1/0.26</f>
        <v>3.8461538461538458</v>
      </c>
      <c r="G12" s="22"/>
      <c r="H12" t="s">
        <v>2117</v>
      </c>
      <c r="I12" t="s">
        <v>38</v>
      </c>
      <c r="J12" t="s">
        <v>2086</v>
      </c>
      <c r="K12" s="20">
        <f>1/1.39</f>
        <v>0.71942446043165476</v>
      </c>
      <c r="L12" s="23"/>
      <c r="M12" t="s">
        <v>1952</v>
      </c>
      <c r="N12" t="s">
        <v>38</v>
      </c>
      <c r="O12" t="s">
        <v>39</v>
      </c>
      <c r="P12" s="20">
        <f>1/1.19</f>
        <v>0.84033613445378152</v>
      </c>
      <c r="R12" s="77" t="s">
        <v>160</v>
      </c>
      <c r="S12" s="77" t="s">
        <v>38</v>
      </c>
      <c r="T12" s="77" t="s">
        <v>39</v>
      </c>
      <c r="U12" s="79">
        <f>1/1.14</f>
        <v>0.87719298245614041</v>
      </c>
    </row>
    <row r="13" spans="1:21">
      <c r="C13" t="s">
        <v>161</v>
      </c>
      <c r="D13" t="s">
        <v>38</v>
      </c>
      <c r="E13" t="s">
        <v>39</v>
      </c>
      <c r="F13" s="20">
        <f>1/1.23</f>
        <v>0.81300813008130079</v>
      </c>
      <c r="G13" s="22"/>
      <c r="H13" t="s">
        <v>160</v>
      </c>
      <c r="I13" t="s">
        <v>38</v>
      </c>
      <c r="J13" t="s">
        <v>39</v>
      </c>
      <c r="K13" s="20">
        <f>1/1.23</f>
        <v>0.81300813008130079</v>
      </c>
      <c r="L13" s="23"/>
      <c r="M13" t="s">
        <v>37</v>
      </c>
      <c r="N13" t="s">
        <v>38</v>
      </c>
      <c r="O13" t="s">
        <v>39</v>
      </c>
      <c r="P13" s="20">
        <f>1/1</f>
        <v>1</v>
      </c>
      <c r="R13" s="77" t="s">
        <v>37</v>
      </c>
      <c r="S13" s="77" t="s">
        <v>38</v>
      </c>
      <c r="T13" s="77" t="s">
        <v>39</v>
      </c>
      <c r="U13" s="79">
        <f>1/1.05</f>
        <v>0.95238095238095233</v>
      </c>
    </row>
    <row r="14" spans="1:21">
      <c r="C14" t="s">
        <v>37</v>
      </c>
      <c r="D14" t="s">
        <v>38</v>
      </c>
      <c r="E14" t="s">
        <v>39</v>
      </c>
      <c r="F14" s="20">
        <f>1/1.06</f>
        <v>0.94339622641509424</v>
      </c>
      <c r="H14" t="s">
        <v>37</v>
      </c>
      <c r="I14" t="s">
        <v>38</v>
      </c>
      <c r="J14" t="s">
        <v>39</v>
      </c>
      <c r="K14" s="20">
        <f>1/1.03</f>
        <v>0.970873786407767</v>
      </c>
      <c r="L14" s="23"/>
      <c r="M14" t="s">
        <v>1878</v>
      </c>
      <c r="N14" t="s">
        <v>38</v>
      </c>
      <c r="O14" t="s">
        <v>1879</v>
      </c>
      <c r="P14" s="20">
        <f>1/1.33</f>
        <v>0.75187969924812026</v>
      </c>
      <c r="R14" s="78" t="s">
        <v>2032</v>
      </c>
      <c r="S14" s="78" t="s">
        <v>38</v>
      </c>
      <c r="T14" s="78" t="s">
        <v>1879</v>
      </c>
      <c r="U14" s="80">
        <f>1/1.11</f>
        <v>0.9009009009009008</v>
      </c>
    </row>
    <row r="15" spans="1:21">
      <c r="C15" t="s">
        <v>1878</v>
      </c>
      <c r="D15" t="s">
        <v>38</v>
      </c>
      <c r="E15" t="s">
        <v>1879</v>
      </c>
      <c r="F15" s="20">
        <f>1/1.23</f>
        <v>0.81300813008130079</v>
      </c>
      <c r="H15" t="s">
        <v>2121</v>
      </c>
      <c r="I15" t="s">
        <v>38</v>
      </c>
      <c r="J15" t="s">
        <v>1879</v>
      </c>
      <c r="K15" s="20">
        <f>1/1.35</f>
        <v>0.7407407407407407</v>
      </c>
      <c r="L15" s="23"/>
      <c r="M15" t="s">
        <v>227</v>
      </c>
      <c r="N15" t="s">
        <v>41</v>
      </c>
      <c r="O15" t="s">
        <v>42</v>
      </c>
      <c r="P15" s="20">
        <f>1/1.06</f>
        <v>0.94339622641509424</v>
      </c>
      <c r="Q15" s="22"/>
      <c r="R15" s="77" t="s">
        <v>408</v>
      </c>
      <c r="S15" s="77" t="s">
        <v>409</v>
      </c>
      <c r="T15" s="77" t="s">
        <v>39</v>
      </c>
      <c r="U15" s="79">
        <f>1/1.06</f>
        <v>0.94339622641509424</v>
      </c>
    </row>
    <row r="16" spans="1:21">
      <c r="C16" t="s">
        <v>1885</v>
      </c>
      <c r="D16" t="s">
        <v>38</v>
      </c>
      <c r="E16" t="s">
        <v>1879</v>
      </c>
      <c r="F16" s="20">
        <f>1/1.12</f>
        <v>0.89285714285714279</v>
      </c>
      <c r="G16" s="22"/>
      <c r="H16" t="s">
        <v>1928</v>
      </c>
      <c r="I16" t="s">
        <v>409</v>
      </c>
      <c r="J16" t="s">
        <v>39</v>
      </c>
      <c r="K16" s="20">
        <f>1/1.05</f>
        <v>0.95238095238095233</v>
      </c>
      <c r="L16" s="23"/>
      <c r="M16" t="s">
        <v>1948</v>
      </c>
      <c r="N16" t="s">
        <v>41</v>
      </c>
      <c r="O16" t="s">
        <v>39</v>
      </c>
      <c r="P16" s="20">
        <f>1/1.36</f>
        <v>0.73529411764705876</v>
      </c>
      <c r="R16" s="78" t="s">
        <v>2018</v>
      </c>
      <c r="S16" s="78" t="s">
        <v>409</v>
      </c>
      <c r="T16" s="78" t="s">
        <v>39</v>
      </c>
      <c r="U16" s="80">
        <f>1/1.03</f>
        <v>0.970873786407767</v>
      </c>
    </row>
    <row r="17" spans="3:23">
      <c r="C17" t="s">
        <v>2203</v>
      </c>
      <c r="D17" t="s">
        <v>409</v>
      </c>
      <c r="E17" t="s">
        <v>39</v>
      </c>
      <c r="F17" s="20">
        <f>1/1.43</f>
        <v>0.69930069930069938</v>
      </c>
      <c r="H17" t="s">
        <v>2268</v>
      </c>
      <c r="I17" t="s">
        <v>409</v>
      </c>
      <c r="J17" t="s">
        <v>2269</v>
      </c>
      <c r="K17" s="20">
        <f>1/1.01</f>
        <v>0.99009900990099009</v>
      </c>
      <c r="L17" s="23"/>
      <c r="M17" t="s">
        <v>212</v>
      </c>
      <c r="N17" t="s">
        <v>41</v>
      </c>
      <c r="O17" t="s">
        <v>39</v>
      </c>
      <c r="P17" s="20">
        <f>1/1</f>
        <v>1</v>
      </c>
      <c r="R17" s="77" t="s">
        <v>2380</v>
      </c>
      <c r="S17" s="77" t="s">
        <v>41</v>
      </c>
      <c r="T17" s="77" t="s">
        <v>42</v>
      </c>
      <c r="U17" s="79">
        <f>1/1</f>
        <v>1</v>
      </c>
    </row>
    <row r="18" spans="3:23">
      <c r="C18" t="s">
        <v>2085</v>
      </c>
      <c r="D18" t="s">
        <v>41</v>
      </c>
      <c r="E18" t="s">
        <v>2086</v>
      </c>
      <c r="F18" s="20">
        <f>1/1.7</f>
        <v>0.58823529411764708</v>
      </c>
      <c r="H18" t="s">
        <v>1958</v>
      </c>
      <c r="I18" t="s">
        <v>41</v>
      </c>
      <c r="J18" t="s">
        <v>42</v>
      </c>
      <c r="K18" s="20">
        <f>1/1</f>
        <v>1</v>
      </c>
      <c r="L18" s="23"/>
      <c r="M18" t="s">
        <v>1905</v>
      </c>
      <c r="N18" t="s">
        <v>41</v>
      </c>
      <c r="O18" t="s">
        <v>1879</v>
      </c>
      <c r="P18" s="20">
        <f>1/2.06</f>
        <v>0.4854368932038835</v>
      </c>
      <c r="R18" s="78" t="s">
        <v>2381</v>
      </c>
      <c r="S18" s="78" t="s">
        <v>41</v>
      </c>
      <c r="T18" s="78" t="s">
        <v>42</v>
      </c>
      <c r="U18" s="80">
        <f>1/0.4</f>
        <v>2.5</v>
      </c>
      <c r="V18" s="20"/>
      <c r="W18" s="20"/>
    </row>
    <row r="19" spans="3:23">
      <c r="C19" t="s">
        <v>227</v>
      </c>
      <c r="D19" t="s">
        <v>41</v>
      </c>
      <c r="E19" t="s">
        <v>42</v>
      </c>
      <c r="F19" s="20">
        <f>1/1.06</f>
        <v>0.94339622641509424</v>
      </c>
      <c r="H19" t="s">
        <v>212</v>
      </c>
      <c r="I19" t="s">
        <v>41</v>
      </c>
      <c r="J19" t="s">
        <v>39</v>
      </c>
      <c r="K19" s="20">
        <f>1/1.18</f>
        <v>0.84745762711864414</v>
      </c>
      <c r="L19" s="23"/>
      <c r="P19" s="20"/>
      <c r="R19" s="78" t="s">
        <v>2382</v>
      </c>
      <c r="S19" s="78" t="s">
        <v>41</v>
      </c>
      <c r="T19" s="78" t="s">
        <v>39</v>
      </c>
      <c r="U19" s="80">
        <f>1/1.05</f>
        <v>0.95238095238095233</v>
      </c>
    </row>
    <row r="20" spans="3:23">
      <c r="C20" t="s">
        <v>2383</v>
      </c>
      <c r="D20" t="s">
        <v>41</v>
      </c>
      <c r="E20" t="s">
        <v>42</v>
      </c>
      <c r="F20" s="20">
        <f>1/1.02</f>
        <v>0.98039215686274506</v>
      </c>
      <c r="H20" t="s">
        <v>1948</v>
      </c>
      <c r="I20" t="s">
        <v>41</v>
      </c>
      <c r="J20" t="s">
        <v>39</v>
      </c>
      <c r="K20" s="20">
        <f>1/1.16</f>
        <v>0.86206896551724144</v>
      </c>
      <c r="L20" s="23"/>
      <c r="P20" s="20"/>
      <c r="R20" s="77" t="s">
        <v>2384</v>
      </c>
      <c r="S20" s="77" t="s">
        <v>41</v>
      </c>
      <c r="T20" s="77" t="s">
        <v>1879</v>
      </c>
      <c r="U20" s="79">
        <f>1/1.15</f>
        <v>0.86956521739130443</v>
      </c>
    </row>
    <row r="21" spans="3:23">
      <c r="C21" t="s">
        <v>40</v>
      </c>
      <c r="D21" t="s">
        <v>41</v>
      </c>
      <c r="E21" t="s">
        <v>42</v>
      </c>
      <c r="F21" s="20">
        <f>1/0.43</f>
        <v>2.3255813953488373</v>
      </c>
      <c r="K21" s="20"/>
      <c r="L21" s="23"/>
      <c r="P21" s="20"/>
      <c r="U21" s="20"/>
    </row>
    <row r="22" spans="3:23">
      <c r="C22" t="s">
        <v>1916</v>
      </c>
      <c r="D22" t="s">
        <v>41</v>
      </c>
      <c r="E22" t="s">
        <v>39</v>
      </c>
      <c r="F22" s="20">
        <f>1/1.39</f>
        <v>0.71942446043165476</v>
      </c>
      <c r="K22" s="20"/>
      <c r="L22" s="23"/>
      <c r="P22" s="20"/>
      <c r="U22" s="20"/>
    </row>
    <row r="23" spans="3:23">
      <c r="C23" t="s">
        <v>1911</v>
      </c>
      <c r="D23" t="s">
        <v>41</v>
      </c>
      <c r="E23" t="s">
        <v>39</v>
      </c>
      <c r="F23" s="20">
        <f>1/1.29</f>
        <v>0.77519379844961234</v>
      </c>
      <c r="K23" s="20"/>
      <c r="P23" s="20"/>
      <c r="U23" s="20"/>
    </row>
    <row r="24" spans="3:23">
      <c r="C24" t="s">
        <v>212</v>
      </c>
      <c r="D24" t="s">
        <v>41</v>
      </c>
      <c r="E24" t="s">
        <v>39</v>
      </c>
      <c r="F24" s="20">
        <f>1/1.08</f>
        <v>0.92592592592592582</v>
      </c>
      <c r="K24" s="20"/>
      <c r="P24" s="20"/>
      <c r="U24" s="20"/>
    </row>
    <row r="25" spans="3:23">
      <c r="C25" t="s">
        <v>1905</v>
      </c>
      <c r="D25" t="s">
        <v>41</v>
      </c>
      <c r="E25" t="s">
        <v>1879</v>
      </c>
      <c r="F25" s="20">
        <f>1/1.96</f>
        <v>0.51020408163265307</v>
      </c>
      <c r="K25" s="20"/>
      <c r="P25" s="20"/>
      <c r="U25" s="20"/>
    </row>
    <row r="26" spans="3:23">
      <c r="F26" s="20"/>
      <c r="K26" s="20"/>
      <c r="P26" s="20"/>
      <c r="U26" s="20"/>
    </row>
    <row r="27" spans="3:23">
      <c r="C27" s="100" t="s">
        <v>2385</v>
      </c>
      <c r="D27" s="100"/>
      <c r="E27" s="100"/>
      <c r="F27" s="100"/>
      <c r="H27" s="100" t="s">
        <v>2386</v>
      </c>
      <c r="I27" s="100"/>
      <c r="J27" s="100"/>
      <c r="K27" s="100"/>
      <c r="M27" s="100" t="s">
        <v>2387</v>
      </c>
      <c r="N27" s="100"/>
      <c r="O27" s="100"/>
      <c r="P27" s="100"/>
      <c r="R27" s="100" t="s">
        <v>2388</v>
      </c>
      <c r="S27" s="100"/>
      <c r="T27" s="100"/>
      <c r="U27" s="100"/>
    </row>
    <row r="28" spans="3:23">
      <c r="C28" s="21" t="s">
        <v>2375</v>
      </c>
      <c r="D28" s="21" t="s">
        <v>2376</v>
      </c>
      <c r="E28" s="21" t="s">
        <v>2377</v>
      </c>
      <c r="F28" s="21" t="s">
        <v>2378</v>
      </c>
      <c r="H28" s="21" t="s">
        <v>2375</v>
      </c>
      <c r="I28" s="21" t="s">
        <v>2376</v>
      </c>
      <c r="J28" s="21" t="s">
        <v>2377</v>
      </c>
      <c r="K28" s="21" t="s">
        <v>2378</v>
      </c>
      <c r="M28" s="21" t="s">
        <v>2375</v>
      </c>
      <c r="N28" s="21" t="s">
        <v>2376</v>
      </c>
      <c r="O28" s="21" t="s">
        <v>2377</v>
      </c>
      <c r="P28" s="21" t="s">
        <v>2378</v>
      </c>
      <c r="R28" s="21" t="s">
        <v>2375</v>
      </c>
      <c r="S28" s="21" t="s">
        <v>2376</v>
      </c>
      <c r="T28" s="21" t="s">
        <v>2377</v>
      </c>
      <c r="U28" s="21" t="s">
        <v>2378</v>
      </c>
    </row>
    <row r="29" spans="3:23">
      <c r="C29" t="s">
        <v>411</v>
      </c>
      <c r="D29" t="s">
        <v>38</v>
      </c>
      <c r="E29" t="s">
        <v>42</v>
      </c>
      <c r="F29" s="20">
        <f>1/0.36</f>
        <v>2.7777777777777777</v>
      </c>
      <c r="H29" t="s">
        <v>161</v>
      </c>
      <c r="I29" t="s">
        <v>38</v>
      </c>
      <c r="J29" t="s">
        <v>39</v>
      </c>
      <c r="K29" s="20">
        <f>1/1.2</f>
        <v>0.83333333333333337</v>
      </c>
      <c r="M29" t="s">
        <v>160</v>
      </c>
      <c r="N29" t="s">
        <v>38</v>
      </c>
      <c r="O29" t="s">
        <v>39</v>
      </c>
      <c r="P29" s="20">
        <f>1/1.43</f>
        <v>0.69930069930069938</v>
      </c>
      <c r="R29" t="s">
        <v>2389</v>
      </c>
      <c r="S29" t="s">
        <v>38</v>
      </c>
      <c r="T29" t="s">
        <v>2086</v>
      </c>
      <c r="U29" s="20">
        <f>1/1.25</f>
        <v>0.8</v>
      </c>
    </row>
    <row r="30" spans="3:23">
      <c r="C30" t="s">
        <v>161</v>
      </c>
      <c r="D30" t="s">
        <v>38</v>
      </c>
      <c r="E30" t="s">
        <v>39</v>
      </c>
      <c r="F30" s="20">
        <f>1/1.2</f>
        <v>0.83333333333333337</v>
      </c>
      <c r="H30" t="s">
        <v>1964</v>
      </c>
      <c r="I30" t="s">
        <v>38</v>
      </c>
      <c r="J30" t="s">
        <v>39</v>
      </c>
      <c r="K30" s="20">
        <f>1/1.02</f>
        <v>0.98039215686274506</v>
      </c>
      <c r="M30" t="s">
        <v>242</v>
      </c>
      <c r="N30" t="s">
        <v>38</v>
      </c>
      <c r="O30" t="s">
        <v>39</v>
      </c>
      <c r="P30" s="20">
        <f>1/1.18</f>
        <v>0.84745762711864414</v>
      </c>
      <c r="R30" t="s">
        <v>411</v>
      </c>
      <c r="S30" t="s">
        <v>38</v>
      </c>
      <c r="T30" t="s">
        <v>42</v>
      </c>
      <c r="U30" s="20">
        <f>1/0.4</f>
        <v>2.5</v>
      </c>
    </row>
    <row r="31" spans="3:23">
      <c r="C31" t="s">
        <v>43</v>
      </c>
      <c r="D31" t="s">
        <v>38</v>
      </c>
      <c r="E31" t="s">
        <v>39</v>
      </c>
      <c r="F31" s="20">
        <f>1/1.18</f>
        <v>0.84745762711864414</v>
      </c>
      <c r="H31" t="s">
        <v>1967</v>
      </c>
      <c r="I31" t="s">
        <v>409</v>
      </c>
      <c r="J31" t="s">
        <v>39</v>
      </c>
      <c r="K31" s="20">
        <f>1/1.05</f>
        <v>0.95238095238095233</v>
      </c>
      <c r="M31" t="s">
        <v>1878</v>
      </c>
      <c r="N31" t="s">
        <v>38</v>
      </c>
      <c r="O31" t="s">
        <v>1879</v>
      </c>
      <c r="P31" s="20">
        <f>1/1.14</f>
        <v>0.87719298245614041</v>
      </c>
      <c r="R31" t="s">
        <v>160</v>
      </c>
      <c r="S31" t="s">
        <v>38</v>
      </c>
      <c r="T31" t="s">
        <v>39</v>
      </c>
      <c r="U31" s="20">
        <f>1/1.1</f>
        <v>0.90909090909090906</v>
      </c>
    </row>
    <row r="32" spans="3:23">
      <c r="C32" t="s">
        <v>1878</v>
      </c>
      <c r="D32" t="s">
        <v>38</v>
      </c>
      <c r="E32" t="s">
        <v>1879</v>
      </c>
      <c r="F32" s="20">
        <f>1/1.62</f>
        <v>0.61728395061728392</v>
      </c>
      <c r="G32" s="88"/>
      <c r="H32" t="s">
        <v>2270</v>
      </c>
      <c r="I32" t="s">
        <v>409</v>
      </c>
      <c r="J32" t="s">
        <v>2269</v>
      </c>
      <c r="K32" s="20">
        <f>1/1.15</f>
        <v>0.86956521739130443</v>
      </c>
      <c r="M32" t="s">
        <v>1929</v>
      </c>
      <c r="N32" t="s">
        <v>41</v>
      </c>
      <c r="O32" t="s">
        <v>42</v>
      </c>
      <c r="P32" s="20">
        <f>1/1.03</f>
        <v>0.970873786407767</v>
      </c>
      <c r="R32" t="s">
        <v>37</v>
      </c>
      <c r="S32" t="s">
        <v>38</v>
      </c>
      <c r="T32" t="s">
        <v>39</v>
      </c>
      <c r="U32" s="20">
        <f>1/1.05</f>
        <v>0.95238095238095233</v>
      </c>
    </row>
    <row r="33" spans="3:21">
      <c r="C33" t="s">
        <v>1885</v>
      </c>
      <c r="D33" t="s">
        <v>38</v>
      </c>
      <c r="E33" t="s">
        <v>1879</v>
      </c>
      <c r="F33" s="20">
        <f>1/1.11</f>
        <v>0.9009009009009008</v>
      </c>
      <c r="H33" t="s">
        <v>1929</v>
      </c>
      <c r="I33" t="s">
        <v>41</v>
      </c>
      <c r="J33" t="s">
        <v>42</v>
      </c>
      <c r="K33" s="20">
        <f>1/1</f>
        <v>1</v>
      </c>
      <c r="M33" t="s">
        <v>1948</v>
      </c>
      <c r="N33" t="s">
        <v>41</v>
      </c>
      <c r="O33" t="s">
        <v>39</v>
      </c>
      <c r="P33" s="20">
        <f>1/1.43</f>
        <v>0.69930069930069938</v>
      </c>
      <c r="R33" t="s">
        <v>1878</v>
      </c>
      <c r="S33" t="s">
        <v>38</v>
      </c>
      <c r="T33" t="s">
        <v>1879</v>
      </c>
      <c r="U33" s="20">
        <f>1/1.18</f>
        <v>0.84745762711864414</v>
      </c>
    </row>
    <row r="34" spans="3:21">
      <c r="C34" t="s">
        <v>1906</v>
      </c>
      <c r="D34" t="s">
        <v>41</v>
      </c>
      <c r="E34" t="s">
        <v>42</v>
      </c>
      <c r="F34" s="20">
        <f>1/1.11</f>
        <v>0.9009009009009008</v>
      </c>
      <c r="H34" t="s">
        <v>2134</v>
      </c>
      <c r="I34" t="s">
        <v>41</v>
      </c>
      <c r="J34" t="s">
        <v>39</v>
      </c>
      <c r="K34" s="20">
        <f>1/1.54</f>
        <v>0.64935064935064934</v>
      </c>
      <c r="M34" t="s">
        <v>212</v>
      </c>
      <c r="N34" t="s">
        <v>41</v>
      </c>
      <c r="O34" t="s">
        <v>39</v>
      </c>
      <c r="P34" s="20">
        <f>1/1.24</f>
        <v>0.80645161290322587</v>
      </c>
      <c r="R34" t="s">
        <v>408</v>
      </c>
      <c r="S34" t="s">
        <v>409</v>
      </c>
      <c r="T34" t="s">
        <v>39</v>
      </c>
      <c r="U34" s="20">
        <f>1/1.06</f>
        <v>0.94339622641509424</v>
      </c>
    </row>
    <row r="35" spans="3:21">
      <c r="C35" t="s">
        <v>2088</v>
      </c>
      <c r="D35" t="s">
        <v>41</v>
      </c>
      <c r="E35" t="s">
        <v>42</v>
      </c>
      <c r="F35" s="20">
        <f>1/0.84</f>
        <v>1.1904761904761905</v>
      </c>
      <c r="H35" t="s">
        <v>2390</v>
      </c>
      <c r="I35" t="s">
        <v>41</v>
      </c>
      <c r="J35" t="s">
        <v>39</v>
      </c>
      <c r="K35" s="20">
        <f>1/1.18</f>
        <v>0.84745762711864414</v>
      </c>
      <c r="M35" t="s">
        <v>212</v>
      </c>
      <c r="N35" t="s">
        <v>41</v>
      </c>
      <c r="O35" t="s">
        <v>1879</v>
      </c>
      <c r="P35" s="20">
        <f>1/1.14</f>
        <v>0.87719298245614041</v>
      </c>
      <c r="R35" t="s">
        <v>2018</v>
      </c>
      <c r="S35" t="s">
        <v>409</v>
      </c>
      <c r="T35" t="s">
        <v>39</v>
      </c>
      <c r="U35" s="20">
        <f>1/1.03</f>
        <v>0.970873786407767</v>
      </c>
    </row>
    <row r="36" spans="3:21">
      <c r="C36" t="s">
        <v>1908</v>
      </c>
      <c r="D36" t="s">
        <v>41</v>
      </c>
      <c r="E36" t="s">
        <v>39</v>
      </c>
      <c r="F36" s="20">
        <f>1/1.35</f>
        <v>0.7407407407407407</v>
      </c>
      <c r="H36" t="s">
        <v>2391</v>
      </c>
      <c r="I36" t="s">
        <v>41</v>
      </c>
      <c r="J36" t="s">
        <v>39</v>
      </c>
      <c r="K36" s="20">
        <f>1/1.02</f>
        <v>0.98039215686274506</v>
      </c>
      <c r="M36" t="s">
        <v>1949</v>
      </c>
      <c r="N36" t="s">
        <v>41</v>
      </c>
      <c r="O36" t="s">
        <v>1950</v>
      </c>
      <c r="P36" s="20">
        <v>0.68</v>
      </c>
      <c r="R36" t="s">
        <v>2392</v>
      </c>
      <c r="S36" t="s">
        <v>41</v>
      </c>
      <c r="T36" t="s">
        <v>42</v>
      </c>
      <c r="U36" s="20">
        <f>1/1.02</f>
        <v>0.98039215686274506</v>
      </c>
    </row>
    <row r="37" spans="3:21">
      <c r="C37" t="s">
        <v>212</v>
      </c>
      <c r="D37" t="s">
        <v>41</v>
      </c>
      <c r="E37" t="s">
        <v>39</v>
      </c>
      <c r="F37" s="20">
        <f>1/1.08</f>
        <v>0.92592592592592582</v>
      </c>
      <c r="G37" s="22"/>
      <c r="L37" s="23"/>
      <c r="Q37" s="22"/>
      <c r="R37" t="s">
        <v>2393</v>
      </c>
      <c r="S37" t="s">
        <v>41</v>
      </c>
      <c r="T37" t="s">
        <v>42</v>
      </c>
      <c r="U37" s="20">
        <f>1/0.4</f>
        <v>2.5</v>
      </c>
    </row>
    <row r="38" spans="3:21">
      <c r="C38" t="s">
        <v>212</v>
      </c>
      <c r="D38" t="s">
        <v>41</v>
      </c>
      <c r="E38" t="s">
        <v>1879</v>
      </c>
      <c r="F38" s="20">
        <f>1/1.63</f>
        <v>0.61349693251533743</v>
      </c>
      <c r="G38" s="22"/>
      <c r="L38" s="23"/>
      <c r="R38" t="s">
        <v>1948</v>
      </c>
      <c r="S38" t="s">
        <v>41</v>
      </c>
      <c r="T38" t="s">
        <v>39</v>
      </c>
      <c r="U38" s="20">
        <f>1/1.1</f>
        <v>0.90909090909090906</v>
      </c>
    </row>
    <row r="39" spans="3:21">
      <c r="C39" t="s">
        <v>1912</v>
      </c>
      <c r="D39" t="s">
        <v>41</v>
      </c>
      <c r="E39" t="s">
        <v>1879</v>
      </c>
      <c r="F39" s="20">
        <f>1/1.17</f>
        <v>0.85470085470085477</v>
      </c>
      <c r="G39" s="22"/>
      <c r="L39" s="23"/>
      <c r="R39" t="s">
        <v>2382</v>
      </c>
      <c r="S39" t="s">
        <v>41</v>
      </c>
      <c r="T39" t="s">
        <v>39</v>
      </c>
      <c r="U39" s="20">
        <f>1/1.05</f>
        <v>0.95238095238095233</v>
      </c>
    </row>
    <row r="40" spans="3:21">
      <c r="C40" t="s">
        <v>1949</v>
      </c>
      <c r="D40" t="s">
        <v>41</v>
      </c>
      <c r="E40" t="s">
        <v>1950</v>
      </c>
      <c r="F40" s="20">
        <v>0.68</v>
      </c>
      <c r="L40" s="23"/>
    </row>
    <row r="41" spans="3:21">
      <c r="L41" s="23"/>
      <c r="Q41" s="22"/>
    </row>
    <row r="42" spans="3:21">
      <c r="L42" s="23"/>
    </row>
    <row r="43" spans="3:21">
      <c r="G43" s="22"/>
      <c r="L43" s="23"/>
    </row>
    <row r="44" spans="3:21">
      <c r="K44" s="20"/>
      <c r="L44" s="23"/>
      <c r="P44" s="20"/>
    </row>
    <row r="45" spans="3:21">
      <c r="K45" s="20"/>
      <c r="L45" s="23"/>
      <c r="P45" s="20"/>
    </row>
    <row r="46" spans="3:21">
      <c r="K46" s="20"/>
      <c r="L46" s="23"/>
      <c r="P46" s="20"/>
    </row>
    <row r="47" spans="3:21">
      <c r="K47" s="20"/>
      <c r="L47" s="23"/>
      <c r="P47" s="20"/>
    </row>
    <row r="48" spans="3:21">
      <c r="K48" s="20"/>
      <c r="L48" s="23"/>
    </row>
    <row r="49" spans="21:21">
      <c r="U49" s="20"/>
    </row>
    <row r="50" spans="21:21">
      <c r="U50" s="20"/>
    </row>
  </sheetData>
  <mergeCells count="8">
    <mergeCell ref="C9:F9"/>
    <mergeCell ref="H9:K9"/>
    <mergeCell ref="M9:P9"/>
    <mergeCell ref="R9:U9"/>
    <mergeCell ref="C27:F27"/>
    <mergeCell ref="H27:K27"/>
    <mergeCell ref="M27:P27"/>
    <mergeCell ref="R27:U27"/>
  </mergeCells>
  <phoneticPr fontId="9" type="noConversion"/>
  <dataValidations count="2">
    <dataValidation type="list" allowBlank="1" showInputMessage="1" showErrorMessage="1" sqref="N11:N12 S11:S12 S29:S30 S14:S26 I11:I26 D11:D26 D29:D56 N14:N26 I29:I36 I44:I48 N29:N36 N44:N47 S32:S39 S49:S50" xr:uid="{2E6F6BC8-6CCB-4D07-9243-8CD254FF3EE6}">
      <formula1>Dimension_types</formula1>
    </dataValidation>
    <dataValidation type="list" allowBlank="1" showInputMessage="1" showErrorMessage="1" sqref="O11:O12 T11:T12 T29:T30 T14:T26 J11:J26 E11:E26 E29:E40 O14:O26 J29:J36 J44:J48 O29:O36 O44:O47 T32:T39 T49:T50" xr:uid="{038F5B7F-98D2-464A-BC00-AFDF5DA7C9AB}">
      <formula1>Fuel_types</formula1>
    </dataValidation>
  </dataValidations>
  <pageMargins left="0.7" right="0.7" top="0.75" bottom="0.75" header="0.3" footer="0.3"/>
  <legacyDrawing r:id="rId1"/>
  <tableParts count="8">
    <tablePart r:id="rId2"/>
    <tablePart r:id="rId3"/>
    <tablePart r:id="rId4"/>
    <tablePart r:id="rId5"/>
    <tablePart r:id="rId6"/>
    <tablePart r:id="rId7"/>
    <tablePart r:id="rId8"/>
    <tablePart r:id="rId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87439525B98843AEACCB5EA812C390" ma:contentTypeVersion="14" ma:contentTypeDescription="Create a new document." ma:contentTypeScope="" ma:versionID="1689c8fac00b9870ebca6d84b254a74a">
  <xsd:schema xmlns:xsd="http://www.w3.org/2001/XMLSchema" xmlns:xs="http://www.w3.org/2001/XMLSchema" xmlns:p="http://schemas.microsoft.com/office/2006/metadata/properties" xmlns:ns3="811ea15a-9728-40f2-a9cb-0fdd90610a04" xmlns:ns4="43508de0-56d7-466c-9608-992522876b20" targetNamespace="http://schemas.microsoft.com/office/2006/metadata/properties" ma:root="true" ma:fieldsID="e723d82f58290726a03c0447d085e87d" ns3:_="" ns4:_="">
    <xsd:import namespace="811ea15a-9728-40f2-a9cb-0fdd90610a04"/>
    <xsd:import namespace="43508de0-56d7-466c-9608-992522876b20"/>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1ea15a-9728-40f2-a9cb-0fdd90610a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508de0-56d7-466c-9608-992522876b20"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3A1832-E80C-4E7E-92A5-8298295A888B}">
  <ds:schemaRefs>
    <ds:schemaRef ds:uri="http://schemas.microsoft.com/office/2006/documentManagement/types"/>
    <ds:schemaRef ds:uri="811ea15a-9728-40f2-a9cb-0fdd90610a04"/>
    <ds:schemaRef ds:uri="http://www.w3.org/XML/1998/namespace"/>
    <ds:schemaRef ds:uri="43508de0-56d7-466c-9608-992522876b20"/>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92FAC1AF-5028-4E82-A839-E4A801980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1ea15a-9728-40f2-a9cb-0fdd90610a04"/>
    <ds:schemaRef ds:uri="43508de0-56d7-466c-9608-992522876b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2021AA-2EF4-42E1-B317-EF499831BA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10</vt:i4>
      </vt:variant>
    </vt:vector>
  </HeadingPairs>
  <TitlesOfParts>
    <vt:vector size="12" baseType="lpstr">
      <vt:lpstr>Energy_Systems_DB</vt:lpstr>
      <vt:lpstr>Systems_list_data</vt:lpstr>
      <vt:lpstr>DHW_systems_G1</vt:lpstr>
      <vt:lpstr>DHW_systems_G2</vt:lpstr>
      <vt:lpstr>DHW_systems_G3</vt:lpstr>
      <vt:lpstr>DHW_systems_G4</vt:lpstr>
      <vt:lpstr>Dimension_types</vt:lpstr>
      <vt:lpstr>Fuel_types</vt:lpstr>
      <vt:lpstr>Heating_systems_G1</vt:lpstr>
      <vt:lpstr>Heating_systems_G2</vt:lpstr>
      <vt:lpstr>Heating_systems_G3</vt:lpstr>
      <vt:lpstr>Heating_systems_G4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Jankovic</dc:creator>
  <cp:keywords/>
  <dc:description/>
  <cp:lastModifiedBy>Microsoft Office User</cp:lastModifiedBy>
  <cp:revision/>
  <dcterms:created xsi:type="dcterms:W3CDTF">2021-07-15T23:10:49Z</dcterms:created>
  <dcterms:modified xsi:type="dcterms:W3CDTF">2023-04-20T16:15:24Z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0x010100DA87439525B98843AEACCB5EA812C390</vt:lpwstr>
  </property>
  <property fmtid="{D5CDD505-2E9C-101B-9397-08002B2CF9AE}" pid="3" name="document status">
    <vt:lpwstr/>
  </property>
  <property fmtid="{D5CDD505-2E9C-101B-9397-08002B2CF9AE}" pid="4" name="Work packages">
    <vt:lpwstr>28;#WP4|d7011b97-0284-4c9d-89db-c04413701e85</vt:lpwstr>
  </property>
  <property fmtid="{D5CDD505-2E9C-101B-9397-08002B2CF9AE}" pid="5" name="Document type">
    <vt:lpwstr>25;#Tool|45541538-81a2-48c5-a3fb-fe08c96264e0</vt:lpwstr>
  </property>
  <property fmtid="{D5CDD505-2E9C-101B-9397-08002B2CF9AE}" pid="6" name="p0d8e8f002cf4aa0b1be8c688fa59aed">
    <vt:lpwstr/>
  </property>
  <property fmtid="{D5CDD505-2E9C-101B-9397-08002B2CF9AE}" pid="7" name="ef5918871aac4949adbf9c1884f810c2">
    <vt:lpwstr/>
  </property>
  <property fmtid="{D5CDD505-2E9C-101B-9397-08002B2CF9AE}" pid="8" name="hd7464b74e444de1aa82028733c08f6d">
    <vt:lpwstr/>
  </property>
</Properties>
</file>
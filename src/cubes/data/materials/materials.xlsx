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<sst xmlns="http://schemas.openxmlformats.org/spreadsheetml/2006/main" count="123" uniqueCount="83">
  <si>
    <t xml:space="preserve">Material</t>
  </si>
  <si>
    <t xml:space="preserve">Thermal_Conductivity</t>
  </si>
  <si>
    <t xml:space="preserve">Thermal_Resistance</t>
  </si>
  <si>
    <t xml:space="preserve">Density</t>
  </si>
  <si>
    <t xml:space="preserve">Specific_Heat_Capacity</t>
  </si>
  <si>
    <t xml:space="preserve">Roughness</t>
  </si>
  <si>
    <t xml:space="preserve">Thermal_Absorptance</t>
  </si>
  <si>
    <t xml:space="preserve">Solar_Absorptance</t>
  </si>
  <si>
    <t xml:space="preserve">Visual_Absorptance</t>
  </si>
  <si>
    <t xml:space="preserve">NoMass</t>
  </si>
  <si>
    <t xml:space="preserve">AirGap</t>
  </si>
  <si>
    <t xml:space="preserve">Cement fiber slabs shredded wood</t>
  </si>
  <si>
    <t xml:space="preserve">Rough</t>
  </si>
  <si>
    <t xml:space="preserve">Asbestos fibre</t>
  </si>
  <si>
    <t xml:space="preserve">Perlite board expanded</t>
  </si>
  <si>
    <t xml:space="preserve">Rock wool</t>
  </si>
  <si>
    <t xml:space="preserve">Urea formaldehyde resin foam</t>
  </si>
  <si>
    <t xml:space="preserve">Mineral wool</t>
  </si>
  <si>
    <t xml:space="preserve">Polystyrene expanded</t>
  </si>
  <si>
    <t xml:space="preserve">Polyurethane foam</t>
  </si>
  <si>
    <t xml:space="preserve">Polyisocyanurate aged with facers</t>
  </si>
  <si>
    <t xml:space="preserve">Concrete block (dense) (exposed)</t>
  </si>
  <si>
    <t xml:space="preserve">Concrete block (dense) (protected)</t>
  </si>
  <si>
    <t xml:space="preserve">Precast concrete (dense) (exposed)</t>
  </si>
  <si>
    <t xml:space="preserve">Precast concrete (dense) (protected)</t>
  </si>
  <si>
    <t xml:space="preserve">Cast concrete 2000</t>
  </si>
  <si>
    <t xml:space="preserve">Cast concrete 1800</t>
  </si>
  <si>
    <t xml:space="preserve">Brick fired clay 2400</t>
  </si>
  <si>
    <t xml:space="preserve">Brick fired clay 2240</t>
  </si>
  <si>
    <t xml:space="preserve">Brick fired clay 2080</t>
  </si>
  <si>
    <t xml:space="preserve">Brick fired clay 1920</t>
  </si>
  <si>
    <t xml:space="preserve">Brick fired clay 1600</t>
  </si>
  <si>
    <t xml:space="preserve">Brick fired clay 1280</t>
  </si>
  <si>
    <t xml:space="preserve">Brick fired clay 1120</t>
  </si>
  <si>
    <t xml:space="preserve">Basalt</t>
  </si>
  <si>
    <t xml:space="preserve">Granite red</t>
  </si>
  <si>
    <t xml:space="preserve">Sandstone</t>
  </si>
  <si>
    <t xml:space="preserve">Limestone</t>
  </si>
  <si>
    <t xml:space="preserve">Sandstone tiles</t>
  </si>
  <si>
    <t xml:space="preserve">Oak beech ash walnut</t>
  </si>
  <si>
    <t xml:space="preserve">Maple oak and similar hardwoods</t>
  </si>
  <si>
    <t xml:space="preserve">Timber</t>
  </si>
  <si>
    <t xml:space="preserve">Clay tile - hollow - 2 cells deep - 200mm</t>
  </si>
  <si>
    <t xml:space="preserve">MediumRough</t>
  </si>
  <si>
    <t xml:space="preserve">Asphalt roll roofing</t>
  </si>
  <si>
    <t xml:space="preserve">F05 Ceiling air space resistance</t>
  </si>
  <si>
    <t xml:space="preserve">F04 Wall air space resistance</t>
  </si>
  <si>
    <t xml:space="preserve">MediumSmooth</t>
  </si>
  <si>
    <t xml:space="preserve">G07 100mm wood</t>
  </si>
  <si>
    <t xml:space="preserve">Gypsum or plaster board - 9.5mm</t>
  </si>
  <si>
    <t xml:space="preserve">Insulation: Glass fiber - organic bonded - 25mm</t>
  </si>
  <si>
    <t xml:space="preserve">VeryRough</t>
  </si>
  <si>
    <t xml:space="preserve">Concrete: Sand and gravel or stone aggregate concretes - 2080 kg/m3 - 102mm</t>
  </si>
  <si>
    <t xml:space="preserve">M11 100mm lightweight concrete</t>
  </si>
  <si>
    <t xml:space="preserve">Brick - fired clay - 2400 kg/m3 - 102mm</t>
  </si>
  <si>
    <t xml:space="preserve">Brick - fired clay - 1600 kg/m3 - 102mm</t>
  </si>
  <si>
    <t xml:space="preserve">M02 150mm lightweight concrete block</t>
  </si>
  <si>
    <t xml:space="preserve">Hardboard Medium density</t>
  </si>
  <si>
    <t xml:space="preserve">Smooth</t>
  </si>
  <si>
    <t xml:space="preserve">ROOF-RAFTERS-INSULATION</t>
  </si>
  <si>
    <t xml:space="preserve">AIR-GAP</t>
  </si>
  <si>
    <t xml:space="preserve">UPPER-FLOOR</t>
  </si>
  <si>
    <t xml:space="preserve">Singh_pInsulation</t>
  </si>
  <si>
    <t xml:space="preserve">Singh_roof_insulation</t>
  </si>
  <si>
    <t xml:space="preserve">Singh_roof_structure</t>
  </si>
  <si>
    <t xml:space="preserve">Singh_wall_plasterlayer</t>
  </si>
  <si>
    <t xml:space="preserve">Singh_wall_insulation</t>
  </si>
  <si>
    <t xml:space="preserve">Singh_wall_structure</t>
  </si>
  <si>
    <t xml:space="preserve">Singh_floor_structure</t>
  </si>
  <si>
    <t xml:space="preserve">Singh_gfloor_insulation</t>
  </si>
  <si>
    <t xml:space="preserve">Singh_floor_cementscreed</t>
  </si>
  <si>
    <t xml:space="preserve">Singh_ifloor_insulation</t>
  </si>
  <si>
    <t xml:space="preserve">Singh_plasterboard</t>
  </si>
  <si>
    <t xml:space="preserve">Singh_iwall_insulation</t>
  </si>
  <si>
    <t xml:space="preserve">Singh_roof_plaster</t>
  </si>
  <si>
    <t xml:space="preserve">Singh_Internal_Material</t>
  </si>
  <si>
    <t xml:space="preserve">Paton_cast_concrete</t>
  </si>
  <si>
    <t xml:space="preserve">Paton_timber_floor</t>
  </si>
  <si>
    <t xml:space="preserve">Paton_carpet</t>
  </si>
  <si>
    <t xml:space="preserve">Paton_brick</t>
  </si>
  <si>
    <t xml:space="preserve">Paton_gypsum</t>
  </si>
  <si>
    <t xml:space="preserve">Paton_clay_tiles</t>
  </si>
  <si>
    <t xml:space="preserve">Paton_timber_joists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</si>
</sst>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0"/>
    <numFmt numFmtId="167" formatCode="General"/>
  </numFmts>
  <fonts count="6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2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7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pane xSplit="0" ySplit="1" topLeftCell="A29" activePane="bottomLeft" state="frozen"/>
      <selection pane="topLeft" activeCell="C1" activeCellId="0" sqref="C1"/>
      <selection pane="bottomLeft" activeCell="K51" activeCellId="0" sqref="K51"/>
    </sheetView>
  </sheetViews>
  <sheetFormatPr defaultColWidth="10.50390625" defaultRowHeight="15.75" zeroHeight="false" outlineLevelRow="0" outlineLevelCol="0"/>
  <cols>
    <col collapsed="false" customWidth="true" hidden="false" outlineLevel="0" max="1" min="1" style="0" width="34.33"/>
    <col collapsed="false" customWidth="true" hidden="false" outlineLevel="0" max="5" min="2" style="0" width="20.83"/>
    <col collapsed="false" customWidth="true" hidden="false" outlineLevel="0" max="6" min="6" style="0" width="13.16"/>
    <col collapsed="false" customWidth="true" hidden="false" outlineLevel="0" max="7" min="7" style="0" width="22.66"/>
    <col collapsed="false" customWidth="true" hidden="false" outlineLevel="0" max="8" min="8" style="0" width="19"/>
    <col collapsed="false" customWidth="true" hidden="false" outlineLevel="0" max="9" min="9" style="0" width="16.84"/>
  </cols>
  <sheetData>
    <row r="1" customFormat="false" ht="15.7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customFormat="false" ht="15.75" hidden="false" customHeight="false" outlineLevel="0" collapsed="false">
      <c r="A2" s="0" t="s">
        <v>11</v>
      </c>
      <c r="B2" s="4" t="n">
        <v>0.08</v>
      </c>
      <c r="C2" s="4"/>
      <c r="D2" s="5" t="n">
        <v>350</v>
      </c>
      <c r="E2" s="5" t="n">
        <v>1030</v>
      </c>
      <c r="F2" s="0" t="s">
        <v>12</v>
      </c>
      <c r="G2" s="0" t="n">
        <v>0.9</v>
      </c>
      <c r="H2" s="0" t="n">
        <v>0.7</v>
      </c>
      <c r="I2" s="0" t="n">
        <v>0.7</v>
      </c>
      <c r="J2" s="6" t="b">
        <f aca="false">FALSE()</f>
        <v>0</v>
      </c>
      <c r="K2" s="6" t="b">
        <f aca="false">FALSE()</f>
        <v>0</v>
      </c>
    </row>
    <row r="3" customFormat="false" ht="15.75" hidden="false" customHeight="false" outlineLevel="0" collapsed="false">
      <c r="A3" s="0" t="s">
        <v>13</v>
      </c>
      <c r="B3" s="4" t="n">
        <v>0.06</v>
      </c>
      <c r="C3" s="4"/>
      <c r="D3" s="5" t="n">
        <v>640</v>
      </c>
      <c r="E3" s="5" t="n">
        <v>840</v>
      </c>
      <c r="F3" s="0" t="str">
        <f aca="false">F2</f>
        <v>Rough</v>
      </c>
      <c r="G3" s="0" t="n">
        <f aca="false">G2</f>
        <v>0.9</v>
      </c>
      <c r="H3" s="0" t="n">
        <f aca="false">H2</f>
        <v>0.7</v>
      </c>
      <c r="I3" s="0" t="n">
        <f aca="false">I2</f>
        <v>0.7</v>
      </c>
      <c r="J3" s="0" t="b">
        <f aca="false">FALSE()</f>
        <v>0</v>
      </c>
      <c r="K3" s="0" t="b">
        <f aca="false">FALSE()</f>
        <v>0</v>
      </c>
    </row>
    <row r="4" customFormat="false" ht="15.75" hidden="false" customHeight="false" outlineLevel="0" collapsed="false">
      <c r="A4" s="0" t="s">
        <v>14</v>
      </c>
      <c r="B4" s="4" t="n">
        <v>0.052</v>
      </c>
      <c r="C4" s="4"/>
      <c r="D4" s="5" t="n">
        <v>16</v>
      </c>
      <c r="E4" s="5" t="n">
        <v>1260</v>
      </c>
      <c r="F4" s="0" t="str">
        <f aca="false">F3</f>
        <v>Rough</v>
      </c>
      <c r="G4" s="0" t="n">
        <f aca="false">G3</f>
        <v>0.9</v>
      </c>
      <c r="H4" s="0" t="n">
        <f aca="false">H3</f>
        <v>0.7</v>
      </c>
      <c r="I4" s="0" t="n">
        <f aca="false">I3</f>
        <v>0.7</v>
      </c>
      <c r="J4" s="0" t="b">
        <f aca="false">FALSE()</f>
        <v>0</v>
      </c>
      <c r="K4" s="0" t="b">
        <f aca="false">FALSE()</f>
        <v>0</v>
      </c>
    </row>
    <row r="5" customFormat="false" ht="15.75" hidden="false" customHeight="false" outlineLevel="0" collapsed="false">
      <c r="A5" s="0" t="s">
        <v>15</v>
      </c>
      <c r="B5" s="4" t="n">
        <v>0.034</v>
      </c>
      <c r="C5" s="4"/>
      <c r="D5" s="5" t="n">
        <v>200</v>
      </c>
      <c r="E5" s="5" t="n">
        <v>710</v>
      </c>
      <c r="F5" s="0" t="str">
        <f aca="false">F4</f>
        <v>Rough</v>
      </c>
      <c r="G5" s="0" t="n">
        <f aca="false">G4</f>
        <v>0.9</v>
      </c>
      <c r="H5" s="0" t="n">
        <f aca="false">H4</f>
        <v>0.7</v>
      </c>
      <c r="I5" s="0" t="n">
        <f aca="false">I4</f>
        <v>0.7</v>
      </c>
      <c r="J5" s="0" t="b">
        <f aca="false">FALSE()</f>
        <v>0</v>
      </c>
      <c r="K5" s="0" t="b">
        <f aca="false">FALSE()</f>
        <v>0</v>
      </c>
    </row>
    <row r="6" customFormat="false" ht="15.75" hidden="false" customHeight="false" outlineLevel="0" collapsed="false">
      <c r="A6" s="0" t="s">
        <v>16</v>
      </c>
      <c r="B6" s="4" t="n">
        <v>0.054</v>
      </c>
      <c r="C6" s="4"/>
      <c r="D6" s="5" t="n">
        <v>14</v>
      </c>
      <c r="E6" s="5" t="n">
        <v>147</v>
      </c>
      <c r="F6" s="0" t="str">
        <f aca="false">F5</f>
        <v>Rough</v>
      </c>
      <c r="G6" s="0" t="n">
        <f aca="false">G5</f>
        <v>0.9</v>
      </c>
      <c r="H6" s="0" t="n">
        <f aca="false">H5</f>
        <v>0.7</v>
      </c>
      <c r="I6" s="0" t="n">
        <f aca="false">I5</f>
        <v>0.7</v>
      </c>
      <c r="J6" s="0" t="b">
        <f aca="false">FALSE()</f>
        <v>0</v>
      </c>
      <c r="K6" s="0" t="b">
        <f aca="false">FALSE()</f>
        <v>0</v>
      </c>
    </row>
    <row r="7" customFormat="false" ht="15.75" hidden="false" customHeight="false" outlineLevel="0" collapsed="false">
      <c r="A7" s="0" t="s">
        <v>17</v>
      </c>
      <c r="B7" s="4" t="n">
        <v>0.042</v>
      </c>
      <c r="C7" s="4"/>
      <c r="D7" s="5" t="n">
        <v>12</v>
      </c>
      <c r="E7" s="5" t="n">
        <v>1030</v>
      </c>
      <c r="F7" s="0" t="str">
        <f aca="false">F6</f>
        <v>Rough</v>
      </c>
      <c r="G7" s="0" t="n">
        <f aca="false">G6</f>
        <v>0.9</v>
      </c>
      <c r="H7" s="0" t="n">
        <f aca="false">H6</f>
        <v>0.7</v>
      </c>
      <c r="I7" s="0" t="n">
        <f aca="false">I6</f>
        <v>0.7</v>
      </c>
      <c r="J7" s="6" t="b">
        <f aca="false">FALSE()</f>
        <v>0</v>
      </c>
      <c r="K7" s="6" t="b">
        <f aca="false">FALSE()</f>
        <v>0</v>
      </c>
    </row>
    <row r="8" customFormat="false" ht="15.75" hidden="false" customHeight="false" outlineLevel="0" collapsed="false">
      <c r="A8" s="0" t="s">
        <v>18</v>
      </c>
      <c r="B8" s="4" t="n">
        <v>0.035</v>
      </c>
      <c r="C8" s="4"/>
      <c r="D8" s="5" t="n">
        <v>23</v>
      </c>
      <c r="E8" s="5" t="n">
        <v>1470</v>
      </c>
      <c r="F8" s="0" t="str">
        <f aca="false">F7</f>
        <v>Rough</v>
      </c>
      <c r="G8" s="0" t="n">
        <f aca="false">G7</f>
        <v>0.9</v>
      </c>
      <c r="H8" s="0" t="n">
        <f aca="false">H7</f>
        <v>0.7</v>
      </c>
      <c r="I8" s="0" t="n">
        <f aca="false">I7</f>
        <v>0.7</v>
      </c>
      <c r="J8" s="6" t="b">
        <f aca="false">FALSE()</f>
        <v>0</v>
      </c>
      <c r="K8" s="6" t="b">
        <f aca="false">FALSE()</f>
        <v>0</v>
      </c>
    </row>
    <row r="9" customFormat="false" ht="15.75" hidden="false" customHeight="false" outlineLevel="0" collapsed="false">
      <c r="A9" s="0" t="s">
        <v>19</v>
      </c>
      <c r="B9" s="4" t="n">
        <v>0.025</v>
      </c>
      <c r="C9" s="4"/>
      <c r="D9" s="5" t="n">
        <v>30</v>
      </c>
      <c r="E9" s="5" t="n">
        <v>1400</v>
      </c>
      <c r="F9" s="0" t="str">
        <f aca="false">F8</f>
        <v>Rough</v>
      </c>
      <c r="G9" s="0" t="n">
        <f aca="false">G8</f>
        <v>0.9</v>
      </c>
      <c r="H9" s="0" t="n">
        <f aca="false">H8</f>
        <v>0.7</v>
      </c>
      <c r="I9" s="0" t="n">
        <f aca="false">I8</f>
        <v>0.7</v>
      </c>
      <c r="J9" s="6" t="b">
        <f aca="false">FALSE()</f>
        <v>0</v>
      </c>
      <c r="K9" s="6" t="b">
        <f aca="false">FALSE()</f>
        <v>0</v>
      </c>
    </row>
    <row r="10" customFormat="false" ht="15.75" hidden="false" customHeight="false" outlineLevel="0" collapsed="false">
      <c r="A10" s="0" t="s">
        <v>20</v>
      </c>
      <c r="B10" s="4" t="n">
        <v>0.02</v>
      </c>
      <c r="C10" s="4"/>
      <c r="D10" s="5" t="n">
        <v>25</v>
      </c>
      <c r="E10" s="5" t="n">
        <v>1470</v>
      </c>
      <c r="F10" s="0" t="str">
        <f aca="false">F9</f>
        <v>Rough</v>
      </c>
      <c r="G10" s="0" t="n">
        <f aca="false">G9</f>
        <v>0.9</v>
      </c>
      <c r="H10" s="0" t="n">
        <f aca="false">H9</f>
        <v>0.7</v>
      </c>
      <c r="I10" s="0" t="n">
        <f aca="false">I9</f>
        <v>0.7</v>
      </c>
      <c r="J10" s="6" t="b">
        <f aca="false">FALSE()</f>
        <v>0</v>
      </c>
      <c r="K10" s="6" t="b">
        <f aca="false">FALSE()</f>
        <v>0</v>
      </c>
    </row>
    <row r="11" customFormat="false" ht="15.75" hidden="false" customHeight="false" outlineLevel="0" collapsed="false">
      <c r="A11" s="0" t="s">
        <v>21</v>
      </c>
      <c r="B11" s="4" t="n">
        <v>1.87</v>
      </c>
      <c r="C11" s="4"/>
      <c r="D11" s="5" t="n">
        <v>2300</v>
      </c>
      <c r="E11" s="5" t="n">
        <v>1000</v>
      </c>
      <c r="F11" s="0" t="str">
        <f aca="false">F10</f>
        <v>Rough</v>
      </c>
      <c r="G11" s="0" t="n">
        <f aca="false">G10</f>
        <v>0.9</v>
      </c>
      <c r="H11" s="0" t="n">
        <f aca="false">H10</f>
        <v>0.7</v>
      </c>
      <c r="I11" s="0" t="n">
        <f aca="false">I10</f>
        <v>0.7</v>
      </c>
      <c r="J11" s="6" t="b">
        <f aca="false">FALSE()</f>
        <v>0</v>
      </c>
      <c r="K11" s="6" t="b">
        <f aca="false">FALSE()</f>
        <v>0</v>
      </c>
    </row>
    <row r="12" customFormat="false" ht="15.75" hidden="false" customHeight="false" outlineLevel="0" collapsed="false">
      <c r="A12" s="0" t="s">
        <v>22</v>
      </c>
      <c r="B12" s="4" t="n">
        <v>1.75</v>
      </c>
      <c r="C12" s="4"/>
      <c r="D12" s="5" t="n">
        <v>2300</v>
      </c>
      <c r="E12" s="5" t="n">
        <v>1000</v>
      </c>
      <c r="F12" s="0" t="str">
        <f aca="false">F11</f>
        <v>Rough</v>
      </c>
      <c r="G12" s="0" t="n">
        <f aca="false">G11</f>
        <v>0.9</v>
      </c>
      <c r="H12" s="0" t="n">
        <f aca="false">H11</f>
        <v>0.7</v>
      </c>
      <c r="I12" s="0" t="n">
        <f aca="false">I11</f>
        <v>0.7</v>
      </c>
      <c r="J12" s="0" t="b">
        <f aca="false">FALSE()</f>
        <v>0</v>
      </c>
      <c r="K12" s="0" t="b">
        <f aca="false">FALSE()</f>
        <v>0</v>
      </c>
    </row>
    <row r="13" customFormat="false" ht="15.75" hidden="false" customHeight="false" outlineLevel="0" collapsed="false">
      <c r="A13" s="0" t="s">
        <v>23</v>
      </c>
      <c r="B13" s="4" t="n">
        <v>1.56</v>
      </c>
      <c r="C13" s="4"/>
      <c r="D13" s="5" t="n">
        <v>2100</v>
      </c>
      <c r="E13" s="5" t="n">
        <v>1000</v>
      </c>
      <c r="F13" s="0" t="str">
        <f aca="false">F12</f>
        <v>Rough</v>
      </c>
      <c r="G13" s="0" t="n">
        <f aca="false">G12</f>
        <v>0.9</v>
      </c>
      <c r="H13" s="0" t="n">
        <f aca="false">H12</f>
        <v>0.7</v>
      </c>
      <c r="I13" s="0" t="n">
        <f aca="false">I12</f>
        <v>0.7</v>
      </c>
      <c r="J13" s="0" t="b">
        <f aca="false">FALSE()</f>
        <v>0</v>
      </c>
      <c r="K13" s="0" t="b">
        <f aca="false">FALSE()</f>
        <v>0</v>
      </c>
    </row>
    <row r="14" customFormat="false" ht="15.75" hidden="false" customHeight="false" outlineLevel="0" collapsed="false">
      <c r="A14" s="0" t="s">
        <v>24</v>
      </c>
      <c r="B14" s="4" t="n">
        <v>1.46</v>
      </c>
      <c r="C14" s="4"/>
      <c r="D14" s="5" t="n">
        <v>2100</v>
      </c>
      <c r="E14" s="5" t="n">
        <v>1000</v>
      </c>
      <c r="F14" s="0" t="str">
        <f aca="false">F13</f>
        <v>Rough</v>
      </c>
      <c r="G14" s="0" t="n">
        <f aca="false">G13</f>
        <v>0.9</v>
      </c>
      <c r="H14" s="0" t="n">
        <f aca="false">H13</f>
        <v>0.7</v>
      </c>
      <c r="I14" s="0" t="n">
        <f aca="false">I13</f>
        <v>0.7</v>
      </c>
      <c r="J14" s="0" t="b">
        <f aca="false">FALSE()</f>
        <v>0</v>
      </c>
      <c r="K14" s="0" t="b">
        <f aca="false">FALSE()</f>
        <v>0</v>
      </c>
    </row>
    <row r="15" customFormat="false" ht="15.75" hidden="false" customHeight="false" outlineLevel="0" collapsed="false">
      <c r="A15" s="0" t="s">
        <v>25</v>
      </c>
      <c r="B15" s="4" t="n">
        <v>1.33</v>
      </c>
      <c r="C15" s="4"/>
      <c r="D15" s="5" t="n">
        <v>2000</v>
      </c>
      <c r="E15" s="5" t="n">
        <v>1000</v>
      </c>
      <c r="F15" s="0" t="str">
        <f aca="false">F14</f>
        <v>Rough</v>
      </c>
      <c r="G15" s="0" t="n">
        <f aca="false">G14</f>
        <v>0.9</v>
      </c>
      <c r="H15" s="0" t="n">
        <f aca="false">H14</f>
        <v>0.7</v>
      </c>
      <c r="I15" s="0" t="n">
        <f aca="false">I14</f>
        <v>0.7</v>
      </c>
      <c r="J15" s="0" t="b">
        <f aca="false">FALSE()</f>
        <v>0</v>
      </c>
      <c r="K15" s="0" t="b">
        <f aca="false">FALSE()</f>
        <v>0</v>
      </c>
    </row>
    <row r="16" customFormat="false" ht="15.75" hidden="false" customHeight="false" outlineLevel="0" collapsed="false">
      <c r="A16" s="0" t="s">
        <v>26</v>
      </c>
      <c r="B16" s="4" t="n">
        <v>1.13</v>
      </c>
      <c r="C16" s="4"/>
      <c r="D16" s="5" t="n">
        <v>1800</v>
      </c>
      <c r="E16" s="5" t="n">
        <v>1000</v>
      </c>
      <c r="F16" s="0" t="str">
        <f aca="false">F15</f>
        <v>Rough</v>
      </c>
      <c r="G16" s="0" t="n">
        <f aca="false">G15</f>
        <v>0.9</v>
      </c>
      <c r="H16" s="0" t="n">
        <f aca="false">H15</f>
        <v>0.7</v>
      </c>
      <c r="I16" s="0" t="n">
        <f aca="false">I15</f>
        <v>0.7</v>
      </c>
      <c r="J16" s="0" t="b">
        <f aca="false">FALSE()</f>
        <v>0</v>
      </c>
      <c r="K16" s="0" t="b">
        <f aca="false">FALSE()</f>
        <v>0</v>
      </c>
    </row>
    <row r="17" customFormat="false" ht="15.75" hidden="false" customHeight="false" outlineLevel="0" collapsed="false">
      <c r="A17" s="0" t="s">
        <v>27</v>
      </c>
      <c r="B17" s="4" t="n">
        <v>1.34</v>
      </c>
      <c r="C17" s="4"/>
      <c r="D17" s="5" t="n">
        <v>2400</v>
      </c>
      <c r="E17" s="5" t="n">
        <v>800</v>
      </c>
      <c r="F17" s="0" t="str">
        <f aca="false">F16</f>
        <v>Rough</v>
      </c>
      <c r="G17" s="0" t="n">
        <f aca="false">G16</f>
        <v>0.9</v>
      </c>
      <c r="H17" s="0" t="n">
        <f aca="false">H16</f>
        <v>0.7</v>
      </c>
      <c r="I17" s="0" t="n">
        <f aca="false">I16</f>
        <v>0.7</v>
      </c>
      <c r="J17" s="0" t="b">
        <f aca="false">FALSE()</f>
        <v>0</v>
      </c>
      <c r="K17" s="0" t="b">
        <f aca="false">FALSE()</f>
        <v>0</v>
      </c>
    </row>
    <row r="18" customFormat="false" ht="15.75" hidden="false" customHeight="false" outlineLevel="0" collapsed="false">
      <c r="A18" s="0" t="s">
        <v>28</v>
      </c>
      <c r="B18" s="4" t="n">
        <v>1.19</v>
      </c>
      <c r="C18" s="4"/>
      <c r="D18" s="5" t="n">
        <v>2240</v>
      </c>
      <c r="E18" s="5" t="n">
        <v>800</v>
      </c>
      <c r="F18" s="0" t="str">
        <f aca="false">F17</f>
        <v>Rough</v>
      </c>
      <c r="G18" s="0" t="n">
        <f aca="false">G17</f>
        <v>0.9</v>
      </c>
      <c r="H18" s="0" t="n">
        <f aca="false">H17</f>
        <v>0.7</v>
      </c>
      <c r="I18" s="0" t="n">
        <f aca="false">I17</f>
        <v>0.7</v>
      </c>
      <c r="J18" s="0" t="b">
        <f aca="false">FALSE()</f>
        <v>0</v>
      </c>
      <c r="K18" s="0" t="b">
        <f aca="false">FALSE()</f>
        <v>0</v>
      </c>
    </row>
    <row r="19" customFormat="false" ht="15.75" hidden="false" customHeight="false" outlineLevel="0" collapsed="false">
      <c r="A19" s="0" t="s">
        <v>29</v>
      </c>
      <c r="B19" s="4" t="n">
        <v>1.02</v>
      </c>
      <c r="C19" s="4"/>
      <c r="D19" s="5" t="n">
        <v>2080</v>
      </c>
      <c r="E19" s="5" t="n">
        <v>800</v>
      </c>
      <c r="F19" s="0" t="str">
        <f aca="false">F18</f>
        <v>Rough</v>
      </c>
      <c r="G19" s="0" t="n">
        <f aca="false">G18</f>
        <v>0.9</v>
      </c>
      <c r="H19" s="0" t="n">
        <f aca="false">H18</f>
        <v>0.7</v>
      </c>
      <c r="I19" s="0" t="n">
        <f aca="false">I18</f>
        <v>0.7</v>
      </c>
      <c r="J19" s="0" t="b">
        <f aca="false">FALSE()</f>
        <v>0</v>
      </c>
      <c r="K19" s="0" t="b">
        <f aca="false">FALSE()</f>
        <v>0</v>
      </c>
    </row>
    <row r="20" customFormat="false" ht="15.75" hidden="false" customHeight="false" outlineLevel="0" collapsed="false">
      <c r="A20" s="0" t="s">
        <v>30</v>
      </c>
      <c r="B20" s="4" t="n">
        <v>0.9</v>
      </c>
      <c r="C20" s="4"/>
      <c r="D20" s="5" t="n">
        <v>1920</v>
      </c>
      <c r="E20" s="5" t="n">
        <v>800</v>
      </c>
      <c r="F20" s="0" t="str">
        <f aca="false">F19</f>
        <v>Rough</v>
      </c>
      <c r="G20" s="0" t="n">
        <f aca="false">G19</f>
        <v>0.9</v>
      </c>
      <c r="H20" s="0" t="n">
        <f aca="false">H19</f>
        <v>0.7</v>
      </c>
      <c r="I20" s="0" t="n">
        <f aca="false">I19</f>
        <v>0.7</v>
      </c>
      <c r="J20" s="0" t="b">
        <f aca="false">FALSE()</f>
        <v>0</v>
      </c>
      <c r="K20" s="0" t="b">
        <f aca="false">FALSE()</f>
        <v>0</v>
      </c>
    </row>
    <row r="21" customFormat="false" ht="15.75" hidden="false" customHeight="false" outlineLevel="0" collapsed="false">
      <c r="A21" s="0" t="s">
        <v>31</v>
      </c>
      <c r="B21" s="4" t="n">
        <v>0.68</v>
      </c>
      <c r="C21" s="4"/>
      <c r="D21" s="5" t="n">
        <v>1600</v>
      </c>
      <c r="E21" s="5" t="n">
        <v>800</v>
      </c>
      <c r="F21" s="0" t="str">
        <f aca="false">F20</f>
        <v>Rough</v>
      </c>
      <c r="G21" s="0" t="n">
        <f aca="false">G20</f>
        <v>0.9</v>
      </c>
      <c r="H21" s="0" t="n">
        <f aca="false">H20</f>
        <v>0.7</v>
      </c>
      <c r="I21" s="0" t="n">
        <f aca="false">I20</f>
        <v>0.7</v>
      </c>
      <c r="J21" s="0" t="b">
        <f aca="false">FALSE()</f>
        <v>0</v>
      </c>
      <c r="K21" s="0" t="b">
        <f aca="false">FALSE()</f>
        <v>0</v>
      </c>
    </row>
    <row r="22" customFormat="false" ht="15.75" hidden="false" customHeight="false" outlineLevel="0" collapsed="false">
      <c r="A22" s="0" t="s">
        <v>32</v>
      </c>
      <c r="B22" s="4" t="n">
        <v>0.48</v>
      </c>
      <c r="C22" s="4"/>
      <c r="D22" s="5" t="n">
        <v>1280</v>
      </c>
      <c r="E22" s="5" t="n">
        <v>800</v>
      </c>
      <c r="F22" s="0" t="s">
        <v>12</v>
      </c>
      <c r="G22" s="0" t="n">
        <v>0.9</v>
      </c>
      <c r="H22" s="0" t="n">
        <v>0.7</v>
      </c>
      <c r="I22" s="0" t="n">
        <v>0.7</v>
      </c>
      <c r="J22" s="0" t="b">
        <f aca="false">FALSE()</f>
        <v>0</v>
      </c>
      <c r="K22" s="0" t="b">
        <f aca="false">FALSE()</f>
        <v>0</v>
      </c>
    </row>
    <row r="23" customFormat="false" ht="15.75" hidden="false" customHeight="false" outlineLevel="0" collapsed="false">
      <c r="A23" s="0" t="s">
        <v>33</v>
      </c>
      <c r="B23" s="4" t="n">
        <v>0.41</v>
      </c>
      <c r="C23" s="4"/>
      <c r="D23" s="5" t="n">
        <v>1120</v>
      </c>
      <c r="E23" s="5" t="n">
        <v>800</v>
      </c>
      <c r="F23" s="0" t="str">
        <f aca="false">F21</f>
        <v>Rough</v>
      </c>
      <c r="G23" s="0" t="n">
        <f aca="false">G21</f>
        <v>0.9</v>
      </c>
      <c r="H23" s="0" t="n">
        <f aca="false">H21</f>
        <v>0.7</v>
      </c>
      <c r="I23" s="0" t="n">
        <f aca="false">I21</f>
        <v>0.7</v>
      </c>
      <c r="J23" s="0" t="b">
        <f aca="false">FALSE()</f>
        <v>0</v>
      </c>
      <c r="K23" s="0" t="b">
        <f aca="false">FALSE()</f>
        <v>0</v>
      </c>
    </row>
    <row r="24" customFormat="false" ht="15.75" hidden="false" customHeight="false" outlineLevel="0" collapsed="false">
      <c r="A24" s="0" t="s">
        <v>34</v>
      </c>
      <c r="B24" s="4" t="n">
        <v>3.49</v>
      </c>
      <c r="C24" s="4"/>
      <c r="D24" s="5" t="n">
        <v>2880</v>
      </c>
      <c r="E24" s="5" t="n">
        <v>840</v>
      </c>
      <c r="F24" s="0" t="str">
        <f aca="false">F23</f>
        <v>Rough</v>
      </c>
      <c r="G24" s="0" t="n">
        <f aca="false">G23</f>
        <v>0.9</v>
      </c>
      <c r="H24" s="0" t="n">
        <f aca="false">H23</f>
        <v>0.7</v>
      </c>
      <c r="I24" s="0" t="n">
        <f aca="false">I23</f>
        <v>0.7</v>
      </c>
      <c r="J24" s="0" t="b">
        <f aca="false">FALSE()</f>
        <v>0</v>
      </c>
      <c r="K24" s="0" t="b">
        <f aca="false">FALSE()</f>
        <v>0</v>
      </c>
    </row>
    <row r="25" customFormat="false" ht="15.75" hidden="false" customHeight="false" outlineLevel="0" collapsed="false">
      <c r="A25" s="0" t="s">
        <v>35</v>
      </c>
      <c r="B25" s="4" t="n">
        <v>2.49</v>
      </c>
      <c r="C25" s="4"/>
      <c r="D25" s="5" t="n">
        <v>2650</v>
      </c>
      <c r="E25" s="5" t="n">
        <v>900</v>
      </c>
      <c r="F25" s="0" t="str">
        <f aca="false">F24</f>
        <v>Rough</v>
      </c>
      <c r="G25" s="0" t="n">
        <f aca="false">G24</f>
        <v>0.9</v>
      </c>
      <c r="H25" s="0" t="n">
        <f aca="false">H24</f>
        <v>0.7</v>
      </c>
      <c r="I25" s="0" t="n">
        <f aca="false">I24</f>
        <v>0.7</v>
      </c>
      <c r="J25" s="0" t="b">
        <f aca="false">FALSE()</f>
        <v>0</v>
      </c>
      <c r="K25" s="0" t="b">
        <f aca="false">FALSE()</f>
        <v>0</v>
      </c>
    </row>
    <row r="26" customFormat="false" ht="15.75" hidden="false" customHeight="false" outlineLevel="0" collapsed="false">
      <c r="A26" s="0" t="s">
        <v>36</v>
      </c>
      <c r="B26" s="4" t="n">
        <v>1.83</v>
      </c>
      <c r="C26" s="4"/>
      <c r="D26" s="5" t="n">
        <v>2200</v>
      </c>
      <c r="E26" s="5" t="n">
        <v>710</v>
      </c>
      <c r="F26" s="0" t="str">
        <f aca="false">F25</f>
        <v>Rough</v>
      </c>
      <c r="G26" s="0" t="n">
        <f aca="false">G25</f>
        <v>0.9</v>
      </c>
      <c r="H26" s="0" t="n">
        <f aca="false">H25</f>
        <v>0.7</v>
      </c>
      <c r="I26" s="0" t="n">
        <f aca="false">I25</f>
        <v>0.7</v>
      </c>
      <c r="J26" s="0" t="b">
        <f aca="false">FALSE()</f>
        <v>0</v>
      </c>
      <c r="K26" s="0" t="b">
        <f aca="false">FALSE()</f>
        <v>0</v>
      </c>
    </row>
    <row r="27" customFormat="false" ht="15.75" hidden="false" customHeight="false" outlineLevel="0" collapsed="false">
      <c r="A27" s="0" t="s">
        <v>37</v>
      </c>
      <c r="B27" s="4" t="n">
        <v>1.5</v>
      </c>
      <c r="C27" s="4"/>
      <c r="D27" s="5" t="n">
        <v>2180</v>
      </c>
      <c r="E27" s="5" t="n">
        <v>720</v>
      </c>
      <c r="F27" s="0" t="str">
        <f aca="false">F26</f>
        <v>Rough</v>
      </c>
      <c r="G27" s="0" t="n">
        <f aca="false">G26</f>
        <v>0.9</v>
      </c>
      <c r="H27" s="0" t="n">
        <f aca="false">H26</f>
        <v>0.7</v>
      </c>
      <c r="I27" s="0" t="n">
        <f aca="false">I26</f>
        <v>0.7</v>
      </c>
      <c r="J27" s="0" t="b">
        <f aca="false">FALSE()</f>
        <v>0</v>
      </c>
      <c r="K27" s="0" t="b">
        <f aca="false">FALSE()</f>
        <v>0</v>
      </c>
    </row>
    <row r="28" customFormat="false" ht="15.75" hidden="false" customHeight="false" outlineLevel="0" collapsed="false">
      <c r="A28" s="0" t="s">
        <v>38</v>
      </c>
      <c r="B28" s="4" t="n">
        <v>1.2</v>
      </c>
      <c r="C28" s="4"/>
      <c r="D28" s="5" t="n">
        <v>2000</v>
      </c>
      <c r="E28" s="5" t="n">
        <v>840</v>
      </c>
      <c r="F28" s="0" t="str">
        <f aca="false">F27</f>
        <v>Rough</v>
      </c>
      <c r="G28" s="0" t="n">
        <f aca="false">G27</f>
        <v>0.9</v>
      </c>
      <c r="H28" s="0" t="n">
        <f aca="false">H27</f>
        <v>0.7</v>
      </c>
      <c r="I28" s="0" t="n">
        <f aca="false">I27</f>
        <v>0.7</v>
      </c>
      <c r="J28" s="0" t="b">
        <f aca="false">FALSE()</f>
        <v>0</v>
      </c>
      <c r="K28" s="0" t="b">
        <f aca="false">FALSE()</f>
        <v>0</v>
      </c>
    </row>
    <row r="29" customFormat="false" ht="15.75" hidden="false" customHeight="false" outlineLevel="0" collapsed="false">
      <c r="A29" s="0" t="s">
        <v>39</v>
      </c>
      <c r="B29" s="4" t="n">
        <v>0.23</v>
      </c>
      <c r="C29" s="4"/>
      <c r="D29" s="5" t="n">
        <v>650</v>
      </c>
      <c r="E29" s="5" t="n">
        <v>3050</v>
      </c>
      <c r="F29" s="0" t="str">
        <f aca="false">F28</f>
        <v>Rough</v>
      </c>
      <c r="G29" s="0" t="n">
        <f aca="false">G28</f>
        <v>0.9</v>
      </c>
      <c r="H29" s="0" t="n">
        <f aca="false">H28</f>
        <v>0.7</v>
      </c>
      <c r="I29" s="0" t="n">
        <f aca="false">I28</f>
        <v>0.7</v>
      </c>
      <c r="J29" s="0" t="b">
        <f aca="false">FALSE()</f>
        <v>0</v>
      </c>
      <c r="K29" s="0" t="b">
        <f aca="false">FALSE()</f>
        <v>0</v>
      </c>
    </row>
    <row r="30" customFormat="false" ht="15.75" hidden="false" customHeight="false" outlineLevel="0" collapsed="false">
      <c r="A30" s="0" t="s">
        <v>40</v>
      </c>
      <c r="B30" s="4" t="n">
        <v>0.16</v>
      </c>
      <c r="C30" s="4"/>
      <c r="D30" s="5" t="n">
        <v>720</v>
      </c>
      <c r="E30" s="5" t="n">
        <v>1260</v>
      </c>
      <c r="F30" s="0" t="str">
        <f aca="false">F29</f>
        <v>Rough</v>
      </c>
      <c r="G30" s="0" t="n">
        <f aca="false">G29</f>
        <v>0.9</v>
      </c>
      <c r="H30" s="0" t="n">
        <f aca="false">H29</f>
        <v>0.7</v>
      </c>
      <c r="I30" s="0" t="n">
        <f aca="false">I29</f>
        <v>0.7</v>
      </c>
      <c r="J30" s="0" t="b">
        <f aca="false">FALSE()</f>
        <v>0</v>
      </c>
      <c r="K30" s="0" t="b">
        <f aca="false">FALSE()</f>
        <v>0</v>
      </c>
    </row>
    <row r="31" customFormat="false" ht="15.75" hidden="false" customHeight="false" outlineLevel="0" collapsed="false">
      <c r="A31" s="0" t="s">
        <v>41</v>
      </c>
      <c r="B31" s="4" t="n">
        <v>0.14</v>
      </c>
      <c r="C31" s="4"/>
      <c r="D31" s="5" t="n">
        <v>720</v>
      </c>
      <c r="E31" s="5" t="n">
        <v>1680</v>
      </c>
      <c r="F31" s="0" t="str">
        <f aca="false">F30</f>
        <v>Rough</v>
      </c>
      <c r="G31" s="0" t="n">
        <f aca="false">G30</f>
        <v>0.9</v>
      </c>
      <c r="H31" s="0" t="n">
        <f aca="false">H30</f>
        <v>0.7</v>
      </c>
      <c r="I31" s="0" t="n">
        <f aca="false">I30</f>
        <v>0.7</v>
      </c>
      <c r="J31" s="0" t="b">
        <f aca="false">FALSE()</f>
        <v>0</v>
      </c>
      <c r="K31" s="0" t="b">
        <f aca="false">FALSE()</f>
        <v>0</v>
      </c>
    </row>
    <row r="32" customFormat="false" ht="15.75" hidden="false" customHeight="false" outlineLevel="0" collapsed="false">
      <c r="A32" s="0" t="s">
        <v>42</v>
      </c>
      <c r="C32" s="4" t="n">
        <v>0.33</v>
      </c>
      <c r="F32" s="0" t="s">
        <v>43</v>
      </c>
      <c r="G32" s="0" t="n">
        <v>0.9</v>
      </c>
      <c r="H32" s="0" t="n">
        <v>0.7</v>
      </c>
      <c r="I32" s="0" t="n">
        <v>0.7</v>
      </c>
      <c r="J32" s="0" t="b">
        <f aca="false">TRUE()</f>
        <v>1</v>
      </c>
      <c r="K32" s="0" t="b">
        <f aca="false">FALSE()</f>
        <v>0</v>
      </c>
    </row>
    <row r="33" customFormat="false" ht="15.75" hidden="false" customHeight="false" outlineLevel="0" collapsed="false">
      <c r="A33" s="0" t="s">
        <v>44</v>
      </c>
      <c r="C33" s="4" t="n">
        <v>0.026</v>
      </c>
      <c r="F33" s="0" t="s">
        <v>43</v>
      </c>
      <c r="G33" s="0" t="n">
        <v>0.9</v>
      </c>
      <c r="H33" s="0" t="n">
        <v>0.7</v>
      </c>
      <c r="I33" s="0" t="n">
        <v>0.7</v>
      </c>
      <c r="J33" s="0" t="b">
        <f aca="false">TRUE()</f>
        <v>1</v>
      </c>
      <c r="K33" s="0" t="b">
        <f aca="false">FALSE()</f>
        <v>0</v>
      </c>
    </row>
    <row r="34" customFormat="false" ht="15.75" hidden="false" customHeight="false" outlineLevel="0" collapsed="false">
      <c r="A34" s="0" t="s">
        <v>45</v>
      </c>
      <c r="C34" s="4" t="n">
        <v>0.18</v>
      </c>
      <c r="F34" s="0" t="s">
        <v>43</v>
      </c>
      <c r="G34" s="0" t="n">
        <v>0.9</v>
      </c>
      <c r="H34" s="0" t="n">
        <v>0.7</v>
      </c>
      <c r="I34" s="0" t="n">
        <v>0.7</v>
      </c>
      <c r="J34" s="0" t="b">
        <f aca="false">TRUE()</f>
        <v>1</v>
      </c>
      <c r="K34" s="0" t="b">
        <f aca="false">FALSE()</f>
        <v>0</v>
      </c>
    </row>
    <row r="35" customFormat="false" ht="15.75" hidden="false" customHeight="false" outlineLevel="0" collapsed="false">
      <c r="A35" s="0" t="s">
        <v>46</v>
      </c>
      <c r="C35" s="4" t="n">
        <v>0.15</v>
      </c>
      <c r="F35" s="0" t="s">
        <v>43</v>
      </c>
      <c r="G35" s="0" t="n">
        <v>0.9</v>
      </c>
      <c r="H35" s="0" t="n">
        <v>0.7</v>
      </c>
      <c r="I35" s="0" t="n">
        <v>0.7</v>
      </c>
      <c r="J35" s="0" t="b">
        <f aca="false">TRUE()</f>
        <v>1</v>
      </c>
      <c r="K35" s="0" t="b">
        <f aca="false">FALSE()</f>
        <v>0</v>
      </c>
    </row>
    <row r="36" customFormat="false" ht="15.75" hidden="false" customHeight="false" outlineLevel="0" collapsed="false">
      <c r="A36" s="7" t="s">
        <v>42</v>
      </c>
      <c r="B36" s="4"/>
      <c r="C36" s="4" t="n">
        <v>0.33</v>
      </c>
      <c r="D36" s="4"/>
      <c r="E36" s="4"/>
      <c r="F36" s="0" t="s">
        <v>47</v>
      </c>
      <c r="G36" s="0" t="n">
        <v>0.9</v>
      </c>
      <c r="H36" s="0" t="n">
        <v>0.7</v>
      </c>
      <c r="I36" s="0" t="n">
        <v>0.7</v>
      </c>
      <c r="J36" s="0" t="b">
        <f aca="false">TRUE()</f>
        <v>1</v>
      </c>
      <c r="K36" s="0" t="b">
        <f aca="false">FALSE()</f>
        <v>0</v>
      </c>
    </row>
    <row r="37" customFormat="false" ht="15.75" hidden="false" customHeight="false" outlineLevel="0" collapsed="false">
      <c r="A37" s="7" t="s">
        <v>48</v>
      </c>
      <c r="B37" s="4" t="n">
        <v>0.15</v>
      </c>
      <c r="C37" s="4"/>
      <c r="D37" s="4" t="n">
        <v>608</v>
      </c>
      <c r="E37" s="4" t="n">
        <v>1630</v>
      </c>
      <c r="F37" s="0" t="s">
        <v>47</v>
      </c>
      <c r="G37" s="0" t="n">
        <v>0.9</v>
      </c>
      <c r="H37" s="0" t="n">
        <v>0.7</v>
      </c>
      <c r="I37" s="0" t="n">
        <v>0.7</v>
      </c>
      <c r="J37" s="0" t="b">
        <f aca="false">FALSE()</f>
        <v>0</v>
      </c>
      <c r="K37" s="0" t="b">
        <f aca="false">FALSE()</f>
        <v>0</v>
      </c>
    </row>
    <row r="38" customFormat="false" ht="15.75" hidden="false" customHeight="false" outlineLevel="0" collapsed="false">
      <c r="A38" s="7" t="s">
        <v>49</v>
      </c>
      <c r="B38" s="4" t="n">
        <v>0.58</v>
      </c>
      <c r="C38" s="4"/>
      <c r="D38" s="4" t="n">
        <v>800</v>
      </c>
      <c r="E38" s="4" t="n">
        <v>1090</v>
      </c>
      <c r="F38" s="0" t="s">
        <v>47</v>
      </c>
      <c r="G38" s="0" t="n">
        <v>0.9</v>
      </c>
      <c r="H38" s="0" t="n">
        <v>0.7</v>
      </c>
      <c r="I38" s="0" t="n">
        <v>0.7</v>
      </c>
      <c r="J38" s="0" t="b">
        <f aca="false">FALSE()</f>
        <v>0</v>
      </c>
      <c r="K38" s="0" t="b">
        <f aca="false">FALSE()</f>
        <v>0</v>
      </c>
    </row>
    <row r="39" customFormat="false" ht="15.75" hidden="false" customHeight="false" outlineLevel="0" collapsed="false">
      <c r="A39" s="7" t="s">
        <v>50</v>
      </c>
      <c r="B39" s="4" t="n">
        <v>0.036</v>
      </c>
      <c r="C39" s="4"/>
      <c r="D39" s="4" t="n">
        <v>64</v>
      </c>
      <c r="E39" s="4" t="n">
        <v>960</v>
      </c>
      <c r="F39" s="0" t="s">
        <v>43</v>
      </c>
      <c r="G39" s="0" t="n">
        <v>0.9</v>
      </c>
      <c r="H39" s="0" t="n">
        <v>0.7</v>
      </c>
      <c r="I39" s="0" t="n">
        <v>0.7</v>
      </c>
      <c r="J39" s="0" t="b">
        <f aca="false">FALSE()</f>
        <v>0</v>
      </c>
      <c r="K39" s="0" t="b">
        <f aca="false">FALSE()</f>
        <v>0</v>
      </c>
    </row>
    <row r="40" customFormat="false" ht="15.75" hidden="false" customHeight="false" outlineLevel="0" collapsed="false">
      <c r="A40" s="7" t="s">
        <v>44</v>
      </c>
      <c r="B40" s="4"/>
      <c r="C40" s="4" t="n">
        <v>0.026</v>
      </c>
      <c r="D40" s="4"/>
      <c r="E40" s="4"/>
      <c r="F40" s="0" t="s">
        <v>51</v>
      </c>
      <c r="G40" s="0" t="n">
        <v>0.9</v>
      </c>
      <c r="H40" s="0" t="n">
        <v>0.7</v>
      </c>
      <c r="I40" s="0" t="n">
        <v>0.7</v>
      </c>
      <c r="J40" s="0" t="b">
        <f aca="false">TRUE()</f>
        <v>1</v>
      </c>
      <c r="K40" s="0" t="b">
        <f aca="false">FALSE()</f>
        <v>0</v>
      </c>
    </row>
    <row r="41" customFormat="false" ht="15.75" hidden="false" customHeight="false" outlineLevel="0" collapsed="false">
      <c r="A41" s="7" t="s">
        <v>52</v>
      </c>
      <c r="B41" s="4" t="n">
        <v>1.45</v>
      </c>
      <c r="C41" s="4"/>
      <c r="D41" s="4" t="n">
        <v>2080</v>
      </c>
      <c r="E41" s="4" t="n">
        <v>900</v>
      </c>
      <c r="F41" s="0" t="s">
        <v>43</v>
      </c>
      <c r="G41" s="0" t="n">
        <v>0.9</v>
      </c>
      <c r="H41" s="0" t="n">
        <v>0.7</v>
      </c>
      <c r="I41" s="0" t="n">
        <v>0.7</v>
      </c>
      <c r="J41" s="0" t="b">
        <f aca="false">FALSE()</f>
        <v>0</v>
      </c>
      <c r="K41" s="0" t="b">
        <f aca="false">FALSE()</f>
        <v>0</v>
      </c>
    </row>
    <row r="42" customFormat="false" ht="15.75" hidden="false" customHeight="false" outlineLevel="0" collapsed="false">
      <c r="A42" s="7" t="s">
        <v>53</v>
      </c>
      <c r="B42" s="4" t="n">
        <v>0.53</v>
      </c>
      <c r="C42" s="4"/>
      <c r="D42" s="4" t="n">
        <v>1280</v>
      </c>
      <c r="E42" s="4" t="n">
        <v>840</v>
      </c>
      <c r="F42" s="0" t="s">
        <v>43</v>
      </c>
      <c r="G42" s="0" t="n">
        <v>0.9</v>
      </c>
      <c r="H42" s="0" t="n">
        <v>0.7</v>
      </c>
      <c r="I42" s="0" t="n">
        <v>0.7</v>
      </c>
      <c r="J42" s="0" t="b">
        <f aca="false">FALSE()</f>
        <v>0</v>
      </c>
      <c r="K42" s="0" t="b">
        <f aca="false">FALSE()</f>
        <v>0</v>
      </c>
    </row>
    <row r="43" customFormat="false" ht="15.75" hidden="false" customHeight="false" outlineLevel="0" collapsed="false">
      <c r="A43" s="7" t="s">
        <v>45</v>
      </c>
      <c r="B43" s="4"/>
      <c r="C43" s="4" t="n">
        <v>0.18</v>
      </c>
      <c r="D43" s="4"/>
      <c r="E43" s="4"/>
      <c r="J43" s="0" t="b">
        <f aca="false">FALSE()</f>
        <v>0</v>
      </c>
      <c r="K43" s="0" t="b">
        <f aca="false">TRUE()</f>
        <v>1</v>
      </c>
    </row>
    <row r="44" customFormat="false" ht="15.75" hidden="false" customHeight="false" outlineLevel="0" collapsed="false">
      <c r="A44" s="7" t="s">
        <v>54</v>
      </c>
      <c r="B44" s="4" t="n">
        <v>1.34</v>
      </c>
      <c r="C44" s="4"/>
      <c r="D44" s="4" t="n">
        <v>2400</v>
      </c>
      <c r="E44" s="4" t="n">
        <v>790</v>
      </c>
      <c r="F44" s="0" t="s">
        <v>43</v>
      </c>
      <c r="G44" s="0" t="n">
        <v>0.9</v>
      </c>
      <c r="H44" s="0" t="n">
        <v>0.7</v>
      </c>
      <c r="I44" s="0" t="n">
        <v>0.7</v>
      </c>
      <c r="J44" s="0" t="b">
        <f aca="false">FALSE()</f>
        <v>0</v>
      </c>
      <c r="K44" s="0" t="b">
        <f aca="false">FALSE()</f>
        <v>0</v>
      </c>
    </row>
    <row r="45" customFormat="false" ht="15.75" hidden="false" customHeight="false" outlineLevel="0" collapsed="false">
      <c r="A45" s="7" t="s">
        <v>46</v>
      </c>
      <c r="B45" s="4"/>
      <c r="C45" s="4" t="n">
        <v>0.15</v>
      </c>
      <c r="D45" s="4"/>
      <c r="E45" s="4"/>
      <c r="J45" s="0" t="b">
        <f aca="false">FALSE()</f>
        <v>0</v>
      </c>
      <c r="K45" s="0" t="b">
        <f aca="false">TRUE()</f>
        <v>1</v>
      </c>
    </row>
    <row r="46" customFormat="false" ht="15.75" hidden="false" customHeight="false" outlineLevel="0" collapsed="false">
      <c r="A46" s="7" t="s">
        <v>55</v>
      </c>
      <c r="B46" s="4" t="n">
        <v>0.675</v>
      </c>
      <c r="C46" s="4"/>
      <c r="D46" s="4" t="n">
        <v>1600</v>
      </c>
      <c r="E46" s="4" t="n">
        <v>790</v>
      </c>
      <c r="F46" s="0" t="s">
        <v>43</v>
      </c>
      <c r="G46" s="0" t="n">
        <v>0.9</v>
      </c>
      <c r="H46" s="0" t="n">
        <v>0.7</v>
      </c>
      <c r="I46" s="0" t="n">
        <v>0.7</v>
      </c>
      <c r="J46" s="0" t="b">
        <f aca="false">FALSE()</f>
        <v>0</v>
      </c>
      <c r="K46" s="0" t="b">
        <f aca="false">FALSE()</f>
        <v>0</v>
      </c>
    </row>
    <row r="47" customFormat="false" ht="15.75" hidden="false" customHeight="false" outlineLevel="0" collapsed="false">
      <c r="A47" s="7" t="s">
        <v>56</v>
      </c>
      <c r="B47" s="4" t="n">
        <v>0.49</v>
      </c>
      <c r="C47" s="4"/>
      <c r="D47" s="4" t="n">
        <v>512</v>
      </c>
      <c r="E47" s="4" t="n">
        <v>880</v>
      </c>
      <c r="F47" s="0" t="s">
        <v>43</v>
      </c>
      <c r="G47" s="0" t="n">
        <v>0.9</v>
      </c>
      <c r="H47" s="0" t="n">
        <v>0.7</v>
      </c>
      <c r="I47" s="0" t="n">
        <v>0.7</v>
      </c>
      <c r="J47" s="0" t="b">
        <f aca="false">FALSE()</f>
        <v>0</v>
      </c>
      <c r="K47" s="0" t="b">
        <f aca="false">FALSE()</f>
        <v>0</v>
      </c>
    </row>
    <row r="48" customFormat="false" ht="15.75" hidden="false" customHeight="false" outlineLevel="0" collapsed="false">
      <c r="A48" s="7" t="s">
        <v>57</v>
      </c>
      <c r="B48" s="4" t="n">
        <v>0.105</v>
      </c>
      <c r="C48" s="4"/>
      <c r="D48" s="4" t="n">
        <v>800</v>
      </c>
      <c r="E48" s="4" t="n">
        <v>130</v>
      </c>
      <c r="F48" s="0" t="s">
        <v>58</v>
      </c>
      <c r="G48" s="0" t="n">
        <v>0.9</v>
      </c>
      <c r="H48" s="0" t="n">
        <v>0.7</v>
      </c>
      <c r="I48" s="0" t="n">
        <v>0.7</v>
      </c>
      <c r="J48" s="0" t="b">
        <f aca="false">FALSE()</f>
        <v>0</v>
      </c>
      <c r="K48" s="0" t="b">
        <f aca="false">FALSE()</f>
        <v>0</v>
      </c>
    </row>
    <row r="49" customFormat="false" ht="15.75" hidden="false" customHeight="false" outlineLevel="0" collapsed="false">
      <c r="A49" s="7" t="s">
        <v>59</v>
      </c>
      <c r="C49" s="4" t="n">
        <v>4.12</v>
      </c>
      <c r="F49" s="0" t="s">
        <v>12</v>
      </c>
      <c r="G49" s="0" t="n">
        <v>0.9</v>
      </c>
      <c r="H49" s="0" t="n">
        <v>0.7</v>
      </c>
      <c r="I49" s="0" t="n">
        <v>0.7</v>
      </c>
      <c r="J49" s="0" t="b">
        <f aca="false">FALSE()</f>
        <v>0</v>
      </c>
      <c r="K49" s="0" t="b">
        <f aca="false">FALSE()</f>
        <v>0</v>
      </c>
    </row>
    <row r="50" customFormat="false" ht="15.75" hidden="false" customHeight="false" outlineLevel="0" collapsed="false">
      <c r="A50" s="7" t="s">
        <v>60</v>
      </c>
      <c r="C50" s="4" t="n">
        <v>0.15</v>
      </c>
      <c r="F50" s="0" t="s">
        <v>58</v>
      </c>
      <c r="G50" s="0" t="n">
        <v>0.9</v>
      </c>
      <c r="H50" s="0" t="n">
        <v>0.7</v>
      </c>
      <c r="I50" s="0" t="n">
        <v>0.7</v>
      </c>
      <c r="J50" s="0" t="b">
        <f aca="false">FALSE()</f>
        <v>0</v>
      </c>
      <c r="K50" s="0" t="b">
        <f aca="false">FALSE()</f>
        <v>0</v>
      </c>
    </row>
    <row r="51" customFormat="false" ht="15.75" hidden="false" customHeight="false" outlineLevel="0" collapsed="false">
      <c r="A51" s="7" t="s">
        <v>61</v>
      </c>
      <c r="C51" s="4" t="n">
        <v>1</v>
      </c>
      <c r="F51" s="0" t="s">
        <v>12</v>
      </c>
      <c r="G51" s="0" t="n">
        <v>0.9</v>
      </c>
      <c r="H51" s="0" t="n">
        <v>0.7</v>
      </c>
      <c r="I51" s="0" t="n">
        <v>0.7</v>
      </c>
      <c r="J51" s="8" t="n">
        <v>1</v>
      </c>
      <c r="K51" s="8" t="n">
        <v>0</v>
      </c>
    </row>
    <row r="52" customFormat="false" ht="15.75" hidden="false" customHeight="false" outlineLevel="0" collapsed="false">
      <c r="A52" s="7" t="s">
        <v>62</v>
      </c>
      <c r="B52" s="7" t="n">
        <v>0.035</v>
      </c>
      <c r="C52" s="7"/>
      <c r="D52" s="7" t="n">
        <v>20</v>
      </c>
      <c r="E52" s="7" t="n">
        <v>1000</v>
      </c>
      <c r="F52" s="7" t="s">
        <v>58</v>
      </c>
      <c r="G52" s="7" t="n">
        <v>0.9</v>
      </c>
      <c r="H52" s="7" t="n">
        <v>0.7</v>
      </c>
      <c r="I52" s="7" t="n">
        <v>0.7</v>
      </c>
      <c r="J52" s="7" t="b">
        <f aca="false">FALSE()</f>
        <v>0</v>
      </c>
      <c r="K52" s="7" t="b">
        <f aca="false">FALSE()</f>
        <v>0</v>
      </c>
    </row>
    <row r="53" customFormat="false" ht="15.75" hidden="false" customHeight="false" outlineLevel="0" collapsed="false">
      <c r="A53" s="7" t="s">
        <v>63</v>
      </c>
      <c r="B53" s="7" t="n">
        <v>0.035</v>
      </c>
      <c r="C53" s="7"/>
      <c r="D53" s="7" t="n">
        <v>20</v>
      </c>
      <c r="E53" s="7" t="n">
        <v>1000</v>
      </c>
      <c r="F53" s="7" t="s">
        <v>58</v>
      </c>
      <c r="G53" s="7" t="n">
        <v>0.9</v>
      </c>
      <c r="H53" s="7" t="n">
        <v>0.7</v>
      </c>
      <c r="I53" s="7" t="n">
        <v>0.7</v>
      </c>
      <c r="J53" s="7" t="b">
        <f aca="false">FALSE()</f>
        <v>0</v>
      </c>
      <c r="K53" s="7" t="b">
        <f aca="false">FALSE()</f>
        <v>0</v>
      </c>
    </row>
    <row r="54" customFormat="false" ht="15.75" hidden="false" customHeight="false" outlineLevel="0" collapsed="false">
      <c r="A54" s="7" t="s">
        <v>64</v>
      </c>
      <c r="B54" s="7" t="n">
        <v>2.3</v>
      </c>
      <c r="C54" s="7"/>
      <c r="D54" s="7" t="n">
        <v>2300</v>
      </c>
      <c r="E54" s="7" t="n">
        <v>800</v>
      </c>
      <c r="F54" s="7" t="s">
        <v>58</v>
      </c>
      <c r="G54" s="7" t="n">
        <v>0.9</v>
      </c>
      <c r="H54" s="7" t="n">
        <v>0.7</v>
      </c>
      <c r="I54" s="7" t="n">
        <v>0.7</v>
      </c>
      <c r="J54" s="7" t="b">
        <f aca="false">FALSE()</f>
        <v>0</v>
      </c>
      <c r="K54" s="7" t="b">
        <f aca="false">FALSE()</f>
        <v>0</v>
      </c>
    </row>
    <row r="55" customFormat="false" ht="15.75" hidden="false" customHeight="false" outlineLevel="0" collapsed="false">
      <c r="A55" s="7" t="s">
        <v>65</v>
      </c>
      <c r="B55" s="7" t="n">
        <v>0.7</v>
      </c>
      <c r="C55" s="7"/>
      <c r="D55" s="7" t="n">
        <v>1400</v>
      </c>
      <c r="E55" s="7" t="n">
        <v>1000</v>
      </c>
      <c r="F55" s="7" t="s">
        <v>58</v>
      </c>
      <c r="G55" s="7" t="n">
        <v>0.9</v>
      </c>
      <c r="H55" s="7" t="n">
        <v>0.4</v>
      </c>
      <c r="I55" s="7" t="n">
        <v>0.7</v>
      </c>
      <c r="J55" s="7" t="b">
        <f aca="false">FALSE()</f>
        <v>0</v>
      </c>
      <c r="K55" s="7" t="b">
        <f aca="false">FALSE()</f>
        <v>0</v>
      </c>
    </row>
    <row r="56" customFormat="false" ht="15.75" hidden="false" customHeight="false" outlineLevel="0" collapsed="false">
      <c r="A56" s="7" t="s">
        <v>66</v>
      </c>
      <c r="B56" s="7" t="n">
        <v>0.035</v>
      </c>
      <c r="C56" s="7"/>
      <c r="D56" s="7" t="n">
        <v>25</v>
      </c>
      <c r="E56" s="7" t="n">
        <v>1000</v>
      </c>
      <c r="F56" s="7" t="s">
        <v>58</v>
      </c>
      <c r="G56" s="7" t="n">
        <v>0.9</v>
      </c>
      <c r="H56" s="7" t="n">
        <v>0.7</v>
      </c>
      <c r="I56" s="7" t="n">
        <v>0.7</v>
      </c>
      <c r="J56" s="7" t="b">
        <f aca="false">FALSE()</f>
        <v>0</v>
      </c>
      <c r="K56" s="7" t="b">
        <f aca="false">FALSE()</f>
        <v>0</v>
      </c>
    </row>
    <row r="57" customFormat="false" ht="15.75" hidden="false" customHeight="false" outlineLevel="0" collapsed="false">
      <c r="A57" s="7" t="s">
        <v>67</v>
      </c>
      <c r="B57" s="7" t="n">
        <v>2.3</v>
      </c>
      <c r="C57" s="7"/>
      <c r="D57" s="7" t="n">
        <v>2300</v>
      </c>
      <c r="E57" s="7" t="n">
        <v>1100</v>
      </c>
      <c r="F57" s="7" t="s">
        <v>58</v>
      </c>
      <c r="G57" s="7" t="n">
        <v>0.9</v>
      </c>
      <c r="H57" s="7" t="n">
        <v>0.7</v>
      </c>
      <c r="I57" s="7" t="n">
        <v>0.7</v>
      </c>
      <c r="J57" s="7" t="b">
        <f aca="false">FALSE()</f>
        <v>0</v>
      </c>
      <c r="K57" s="7" t="b">
        <f aca="false">FALSE()</f>
        <v>0</v>
      </c>
    </row>
    <row r="58" customFormat="false" ht="15.75" hidden="false" customHeight="false" outlineLevel="0" collapsed="false">
      <c r="A58" s="7" t="s">
        <v>68</v>
      </c>
      <c r="B58" s="7" t="n">
        <v>2.3</v>
      </c>
      <c r="C58" s="7"/>
      <c r="D58" s="7" t="n">
        <v>2300</v>
      </c>
      <c r="E58" s="7" t="n">
        <v>800</v>
      </c>
      <c r="F58" s="7" t="s">
        <v>58</v>
      </c>
      <c r="G58" s="7" t="n">
        <v>0.9</v>
      </c>
      <c r="H58" s="7" t="n">
        <v>0.7</v>
      </c>
      <c r="I58" s="7" t="n">
        <v>0.7</v>
      </c>
      <c r="J58" s="7" t="b">
        <f aca="false">FALSE()</f>
        <v>0</v>
      </c>
      <c r="K58" s="7" t="b">
        <f aca="false">FALSE()</f>
        <v>0</v>
      </c>
    </row>
    <row r="59" customFormat="false" ht="15.75" hidden="false" customHeight="false" outlineLevel="0" collapsed="false">
      <c r="A59" s="7" t="s">
        <v>69</v>
      </c>
      <c r="B59" s="7" t="n">
        <v>0.035</v>
      </c>
      <c r="C59" s="7"/>
      <c r="D59" s="7" t="n">
        <v>20</v>
      </c>
      <c r="E59" s="7" t="n">
        <v>1000</v>
      </c>
      <c r="F59" s="7" t="s">
        <v>58</v>
      </c>
      <c r="G59" s="7" t="n">
        <v>0.9</v>
      </c>
      <c r="H59" s="7" t="n">
        <v>0.7</v>
      </c>
      <c r="I59" s="7" t="n">
        <v>0.7</v>
      </c>
      <c r="J59" s="7" t="b">
        <f aca="false">FALSE()</f>
        <v>0</v>
      </c>
      <c r="K59" s="7" t="b">
        <f aca="false">FALSE()</f>
        <v>0</v>
      </c>
    </row>
    <row r="60" customFormat="false" ht="15.75" hidden="false" customHeight="false" outlineLevel="0" collapsed="false">
      <c r="A60" s="7" t="s">
        <v>70</v>
      </c>
      <c r="B60" s="7" t="n">
        <v>1.4</v>
      </c>
      <c r="C60" s="7"/>
      <c r="D60" s="7" t="n">
        <v>2000</v>
      </c>
      <c r="E60" s="7" t="n">
        <v>1000</v>
      </c>
      <c r="F60" s="7" t="s">
        <v>58</v>
      </c>
      <c r="G60" s="7" t="n">
        <v>0.9</v>
      </c>
      <c r="H60" s="7" t="n">
        <v>0.7</v>
      </c>
      <c r="I60" s="7" t="n">
        <v>0.7</v>
      </c>
      <c r="J60" s="7" t="b">
        <f aca="false">FALSE()</f>
        <v>0</v>
      </c>
      <c r="K60" s="7" t="b">
        <f aca="false">FALSE()</f>
        <v>0</v>
      </c>
    </row>
    <row r="61" customFormat="false" ht="15.75" hidden="false" customHeight="false" outlineLevel="0" collapsed="false">
      <c r="A61" s="7" t="s">
        <v>71</v>
      </c>
      <c r="B61" s="7" t="n">
        <v>0.035</v>
      </c>
      <c r="C61" s="7"/>
      <c r="D61" s="7" t="n">
        <v>20</v>
      </c>
      <c r="E61" s="7" t="n">
        <v>1000</v>
      </c>
      <c r="F61" s="7" t="s">
        <v>58</v>
      </c>
      <c r="G61" s="7" t="n">
        <v>0.9</v>
      </c>
      <c r="H61" s="7" t="n">
        <v>0.7</v>
      </c>
      <c r="I61" s="7" t="n">
        <v>0.7</v>
      </c>
      <c r="J61" s="7" t="b">
        <f aca="false">FALSE()</f>
        <v>0</v>
      </c>
      <c r="K61" s="7" t="b">
        <f aca="false">FALSE()</f>
        <v>0</v>
      </c>
    </row>
    <row r="62" customFormat="false" ht="15.75" hidden="false" customHeight="false" outlineLevel="0" collapsed="false">
      <c r="A62" s="7" t="s">
        <v>72</v>
      </c>
      <c r="B62" s="7" t="n">
        <v>0.16</v>
      </c>
      <c r="C62" s="7"/>
      <c r="D62" s="7" t="n">
        <v>800</v>
      </c>
      <c r="E62" s="7" t="n">
        <v>800</v>
      </c>
      <c r="F62" s="7" t="s">
        <v>12</v>
      </c>
      <c r="G62" s="7" t="n">
        <v>0.9</v>
      </c>
      <c r="H62" s="7" t="n">
        <v>0.6</v>
      </c>
      <c r="I62" s="7" t="n">
        <v>0.6</v>
      </c>
      <c r="J62" s="7" t="b">
        <f aca="false">FALSE()</f>
        <v>0</v>
      </c>
      <c r="K62" s="7" t="b">
        <f aca="false">FALSE()</f>
        <v>0</v>
      </c>
    </row>
    <row r="63" customFormat="false" ht="15.75" hidden="false" customHeight="false" outlineLevel="0" collapsed="false">
      <c r="A63" s="7" t="s">
        <v>73</v>
      </c>
      <c r="B63" s="7" t="n">
        <v>0.035</v>
      </c>
      <c r="C63" s="7"/>
      <c r="D63" s="7" t="n">
        <v>20</v>
      </c>
      <c r="E63" s="7" t="n">
        <v>1000</v>
      </c>
      <c r="F63" s="7" t="s">
        <v>12</v>
      </c>
      <c r="G63" s="7" t="n">
        <v>0.9</v>
      </c>
      <c r="H63" s="7" t="n">
        <v>0.7</v>
      </c>
      <c r="I63" s="7" t="n">
        <v>0.7</v>
      </c>
      <c r="J63" s="7" t="b">
        <f aca="false">FALSE()</f>
        <v>0</v>
      </c>
      <c r="K63" s="7" t="b">
        <f aca="false">FALSE()</f>
        <v>0</v>
      </c>
    </row>
    <row r="64" customFormat="false" ht="15.75" hidden="false" customHeight="false" outlineLevel="0" collapsed="false">
      <c r="A64" s="7" t="s">
        <v>74</v>
      </c>
      <c r="B64" s="7" t="n">
        <v>0.7</v>
      </c>
      <c r="C64" s="7"/>
      <c r="D64" s="7" t="n">
        <v>1400</v>
      </c>
      <c r="E64" s="7" t="n">
        <v>1000</v>
      </c>
      <c r="F64" s="7" t="s">
        <v>58</v>
      </c>
      <c r="G64" s="7" t="n">
        <v>0.9</v>
      </c>
      <c r="H64" s="7" t="n">
        <v>0.4</v>
      </c>
      <c r="I64" s="7" t="n">
        <v>0.7</v>
      </c>
      <c r="J64" s="9" t="b">
        <f aca="false">FALSE()</f>
        <v>0</v>
      </c>
      <c r="K64" s="9" t="b">
        <f aca="false">FALSE()</f>
        <v>0</v>
      </c>
    </row>
    <row r="65" customFormat="false" ht="15.75" hidden="false" customHeight="false" outlineLevel="0" collapsed="false">
      <c r="A65" s="7" t="s">
        <v>75</v>
      </c>
      <c r="B65" s="7" t="n">
        <v>2.3</v>
      </c>
      <c r="C65" s="7"/>
      <c r="D65" s="7" t="n">
        <v>500</v>
      </c>
      <c r="E65" s="7" t="n">
        <v>1000</v>
      </c>
      <c r="F65" s="7" t="s">
        <v>58</v>
      </c>
      <c r="G65" s="7" t="n">
        <v>0.85</v>
      </c>
      <c r="H65" s="7" t="n">
        <v>0.85</v>
      </c>
      <c r="I65" s="7" t="n">
        <v>0.7</v>
      </c>
      <c r="J65" s="7" t="b">
        <f aca="false">FALSE()</f>
        <v>0</v>
      </c>
      <c r="K65" s="7" t="b">
        <f aca="false">FALSE()</f>
        <v>0</v>
      </c>
    </row>
    <row r="66" customFormat="false" ht="15.75" hidden="false" customHeight="false" outlineLevel="0" collapsed="false">
      <c r="A66" s="7" t="s">
        <v>76</v>
      </c>
      <c r="B66" s="7" t="n">
        <v>1.13</v>
      </c>
      <c r="C66" s="7"/>
      <c r="D66" s="7" t="n">
        <v>2000</v>
      </c>
      <c r="E66" s="7" t="n">
        <v>1000</v>
      </c>
      <c r="F66" s="7" t="s">
        <v>12</v>
      </c>
      <c r="G66" s="7" t="n">
        <v>0.9</v>
      </c>
      <c r="H66" s="7" t="n">
        <v>0.7</v>
      </c>
      <c r="I66" s="7" t="n">
        <v>0.7</v>
      </c>
      <c r="J66" s="7" t="b">
        <f aca="false">FALSE()</f>
        <v>0</v>
      </c>
      <c r="K66" s="7" t="b">
        <f aca="false">FALSE()</f>
        <v>0</v>
      </c>
    </row>
    <row r="67" customFormat="false" ht="15.75" hidden="false" customHeight="false" outlineLevel="0" collapsed="false">
      <c r="A67" s="7" t="s">
        <v>77</v>
      </c>
      <c r="B67" s="7" t="n">
        <v>0.14</v>
      </c>
      <c r="C67" s="7"/>
      <c r="D67" s="7" t="n">
        <v>650</v>
      </c>
      <c r="E67" s="7" t="n">
        <v>2300</v>
      </c>
      <c r="F67" s="7" t="s">
        <v>58</v>
      </c>
      <c r="G67" s="7" t="n">
        <v>0.9</v>
      </c>
      <c r="H67" s="7" t="n">
        <v>0.7</v>
      </c>
      <c r="I67" s="7" t="n">
        <v>0.7</v>
      </c>
      <c r="J67" s="7" t="b">
        <f aca="false">FALSE()</f>
        <v>0</v>
      </c>
      <c r="K67" s="7" t="b">
        <f aca="false">FALSE()</f>
        <v>0</v>
      </c>
    </row>
    <row r="68" customFormat="false" ht="15.75" hidden="false" customHeight="false" outlineLevel="0" collapsed="false">
      <c r="A68" s="7" t="s">
        <v>78</v>
      </c>
      <c r="B68" s="7" t="n">
        <v>0.05</v>
      </c>
      <c r="C68" s="7"/>
      <c r="D68" s="7" t="n">
        <v>1.7</v>
      </c>
      <c r="E68" s="7" t="n">
        <v>200</v>
      </c>
      <c r="F68" s="7" t="s">
        <v>12</v>
      </c>
      <c r="G68" s="7" t="n">
        <v>0.9</v>
      </c>
      <c r="H68" s="7" t="n">
        <v>0.7</v>
      </c>
      <c r="I68" s="7" t="n">
        <v>0.7</v>
      </c>
      <c r="J68" s="7" t="b">
        <f aca="false">FALSE()</f>
        <v>0</v>
      </c>
      <c r="K68" s="7" t="b">
        <f aca="false">FALSE()</f>
        <v>0</v>
      </c>
    </row>
    <row r="69" customFormat="false" ht="15.75" hidden="false" customHeight="false" outlineLevel="0" collapsed="false">
      <c r="A69" s="7" t="s">
        <v>79</v>
      </c>
      <c r="B69" s="7" t="n">
        <v>0.84</v>
      </c>
      <c r="C69" s="7"/>
      <c r="D69" s="7" t="n">
        <v>1700</v>
      </c>
      <c r="E69" s="7" t="n">
        <v>800</v>
      </c>
      <c r="F69" s="7" t="s">
        <v>12</v>
      </c>
      <c r="G69" s="7" t="n">
        <v>0.9</v>
      </c>
      <c r="H69" s="7" t="n">
        <v>0.7</v>
      </c>
      <c r="I69" s="7" t="n">
        <v>0.7</v>
      </c>
      <c r="J69" s="7" t="b">
        <f aca="false">FALSE()</f>
        <v>0</v>
      </c>
      <c r="K69" s="7" t="b">
        <f aca="false">FALSE()</f>
        <v>0</v>
      </c>
    </row>
    <row r="70" customFormat="false" ht="15.75" hidden="false" customHeight="false" outlineLevel="0" collapsed="false">
      <c r="A70" s="7" t="s">
        <v>80</v>
      </c>
      <c r="B70" s="7" t="n">
        <v>0.5</v>
      </c>
      <c r="C70" s="7"/>
      <c r="D70" s="7" t="n">
        <v>1300</v>
      </c>
      <c r="E70" s="7" t="n">
        <v>1000</v>
      </c>
      <c r="F70" s="7" t="s">
        <v>58</v>
      </c>
      <c r="G70" s="7" t="n">
        <v>0.9</v>
      </c>
      <c r="H70" s="7" t="n">
        <v>0.7</v>
      </c>
      <c r="I70" s="7" t="n">
        <v>0.7</v>
      </c>
      <c r="J70" s="7" t="b">
        <f aca="false">FALSE()</f>
        <v>0</v>
      </c>
      <c r="K70" s="7" t="b">
        <f aca="false">FALSE()</f>
        <v>0</v>
      </c>
    </row>
    <row r="71" customFormat="false" ht="15.75" hidden="false" customHeight="false" outlineLevel="0" collapsed="false">
      <c r="A71" s="7" t="s">
        <v>81</v>
      </c>
      <c r="B71" s="7" t="n">
        <v>0.71</v>
      </c>
      <c r="C71" s="7"/>
      <c r="D71" s="7" t="n">
        <v>1200</v>
      </c>
      <c r="E71" s="7" t="n">
        <v>1380</v>
      </c>
      <c r="F71" s="7" t="s">
        <v>58</v>
      </c>
      <c r="G71" s="7" t="n">
        <v>0.9</v>
      </c>
      <c r="H71" s="7" t="n">
        <v>0.7</v>
      </c>
      <c r="I71" s="7" t="n">
        <v>0.7</v>
      </c>
      <c r="J71" s="7" t="b">
        <f aca="false">FALSE()</f>
        <v>0</v>
      </c>
      <c r="K71" s="7" t="b">
        <f aca="false">FALSE()</f>
        <v>0</v>
      </c>
    </row>
    <row r="72" customFormat="false" ht="15.75" hidden="false" customHeight="false" outlineLevel="0" collapsed="false">
      <c r="A72" s="7" t="s">
        <v>82</v>
      </c>
      <c r="B72" s="7" t="n">
        <v>0.14</v>
      </c>
      <c r="C72" s="7"/>
      <c r="D72" s="7" t="n">
        <v>650</v>
      </c>
      <c r="E72" s="7" t="n">
        <v>1200</v>
      </c>
      <c r="F72" s="7" t="s">
        <v>12</v>
      </c>
      <c r="G72" s="7" t="n">
        <v>0.9</v>
      </c>
      <c r="H72" s="7" t="n">
        <v>0.7</v>
      </c>
      <c r="I72" s="7" t="n">
        <v>0.7</v>
      </c>
      <c r="J72" s="7" t="b">
        <f aca="false">FALSE()</f>
        <v>0</v>
      </c>
      <c r="K72" s="7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2022-10-06T14:25:42Z</dcterms:created>
  <dc:creator>Jack Lynch</dc:creator>
  <dc:description/>
  <dc:language>en-GB</dc:language>
  <cp:lastModifiedBy/>
  <dcterms:modified xsi:type="dcterms:W3CDTF">2023-06-07T14:12:53Z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
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ottjeen/phd/research/CUBES/src/cubes/data/materials/"/>
    </mc:Choice>
  </mc:AlternateContent>
  <xr:revisionPtr revIDLastSave="0" documentId="13_ncr:1_{6AA2A77C-BAB3-714D-9B9D-60442A1CADF0}" xr6:coauthVersionLast="47" xr6:coauthVersionMax="47" xr10:uidLastSave="{00000000-0000-0000-0000-000000000000}"/>
  <bookViews>
    <workbookView xWindow="0" yWindow="760" windowWidth="23280" windowHeight="18880" tabRatio="500" xr2:uid="{00000000-000D-0000-FFFF-FFFF00000000}"/>
  </bookViews>
  <sheets>
    <sheet name="Sheet1" sheetId="1" r:id="rId1"/>
  </sheets>
  <definedNames>
    <definedName name="_xlnm._FilterDatabase" localSheetId="0" hidden="1">Sheet1!$A$2:$A$31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3" i="1" s="1"/>
  <c r="I24" i="1" s="1"/>
  <c r="I25" i="1" s="1"/>
  <c r="I26" i="1" s="1"/>
  <c r="I27" i="1" s="1"/>
  <c r="I28" i="1" s="1"/>
  <c r="I29" i="1" s="1"/>
  <c r="I30" i="1" s="1"/>
  <c r="I31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3" i="1" s="1"/>
  <c r="H24" i="1" s="1"/>
  <c r="H25" i="1" s="1"/>
  <c r="H26" i="1" s="1"/>
  <c r="H27" i="1" s="1"/>
  <c r="H28" i="1" s="1"/>
  <c r="H29" i="1" s="1"/>
  <c r="H30" i="1" s="1"/>
  <c r="H31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G31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3" i="1" s="1"/>
  <c r="F24" i="1" s="1"/>
  <c r="F25" i="1" s="1"/>
  <c r="F26" i="1" s="1"/>
  <c r="F27" i="1" s="1"/>
  <c r="F28" i="1" s="1"/>
  <c r="F29" i="1" s="1"/>
  <c r="F30" i="1" s="1"/>
  <c r="F31" i="1" s="1"/>
</calcChain>
</file>

<file path=xl/sharedStrings.xml><?xml version="1.0" encoding="utf-8"?>
<sst xmlns="http://schemas.openxmlformats.org/spreadsheetml/2006/main" count="123" uniqueCount="83">
  <si>
    <t>Material</t>
  </si>
  <si>
    <t>Thermal_Conductivity</t>
  </si>
  <si>
    <t>Density</t>
  </si>
  <si>
    <t>Specific_Heat_Capacity</t>
  </si>
  <si>
    <t>Roughness</t>
  </si>
  <si>
    <t>Thermal_Absorptance</t>
  </si>
  <si>
    <t>Solar_Absorptance</t>
  </si>
  <si>
    <t>Visual_Absorptance</t>
  </si>
  <si>
    <t>Rough</t>
  </si>
  <si>
    <t>Perlite board expanded</t>
  </si>
  <si>
    <t>Rock wool</t>
  </si>
  <si>
    <t>Urea formaldehyde resin foam</t>
  </si>
  <si>
    <t>Mineral wool</t>
  </si>
  <si>
    <t>Polystyrene expanded</t>
  </si>
  <si>
    <t>Polyurethane foam</t>
  </si>
  <si>
    <t>Polyisocyanurate aged with facers</t>
  </si>
  <si>
    <t>Concrete block (dense) (exposed)</t>
  </si>
  <si>
    <t>Concrete block (dense) (protected)</t>
  </si>
  <si>
    <t>Precast concrete (dense) (exposed)</t>
  </si>
  <si>
    <t>Precast concrete (dense) (protected)</t>
  </si>
  <si>
    <t>Cast concrete 2000</t>
  </si>
  <si>
    <t>Cast concrete 1800</t>
  </si>
  <si>
    <t>Brick fired clay 2400</t>
  </si>
  <si>
    <t>Brick fired clay 2240</t>
  </si>
  <si>
    <t>Brick fired clay 2080</t>
  </si>
  <si>
    <t>Brick fired clay 1920</t>
  </si>
  <si>
    <t>Brick fired clay 1600</t>
  </si>
  <si>
    <t>Brick fired clay 1120</t>
  </si>
  <si>
    <t>Basalt</t>
  </si>
  <si>
    <t>Granite red</t>
  </si>
  <si>
    <t>Sandstone</t>
  </si>
  <si>
    <t>Limestone</t>
  </si>
  <si>
    <t>Sandstone tiles</t>
  </si>
  <si>
    <t>Oak beech ash walnut</t>
  </si>
  <si>
    <t>Maple oak and similar hardwoods</t>
  </si>
  <si>
    <t>Timber</t>
  </si>
  <si>
    <t>Cement fiber slabs shredded wood</t>
  </si>
  <si>
    <t>Brick fired clay 1280</t>
  </si>
  <si>
    <t>Asbestos fibre</t>
  </si>
  <si>
    <t>Thermal_Resistance</t>
  </si>
  <si>
    <t>Clay tile - hollow - 2 cells deep - 200mm</t>
  </si>
  <si>
    <t>Asphalt roll roofing</t>
  </si>
  <si>
    <t>F05 Ceiling air space resistance</t>
  </si>
  <si>
    <t>F04 Wall air space resistance</t>
  </si>
  <si>
    <t>MediumRough</t>
  </si>
  <si>
    <t>MediumSmooth</t>
  </si>
  <si>
    <t>G07 100mm wood</t>
  </si>
  <si>
    <t>Gypsum or plaster board - 9.5mm</t>
  </si>
  <si>
    <t>Insulation: Glass fiber - organic bonded - 25mm</t>
  </si>
  <si>
    <t>VeryRough</t>
  </si>
  <si>
    <t>Concrete: Sand and gravel or stone aggregate concretes - 2080 kg/m3 - 102mm</t>
  </si>
  <si>
    <t>M11 100mm lightweight concrete</t>
  </si>
  <si>
    <t>Brick - fired clay - 2400 kg/m3 - 102mm</t>
  </si>
  <si>
    <t>Brick - fired clay - 1600 kg/m3 - 102mm</t>
  </si>
  <si>
    <t>M02 150mm lightweight concrete block</t>
  </si>
  <si>
    <t>Hardboard Medium density</t>
  </si>
  <si>
    <t>Smooth</t>
  </si>
  <si>
    <t>NoMass</t>
  </si>
  <si>
    <t>AirGap</t>
  </si>
  <si>
    <t>ROOF-RAFTERS-INSULATION</t>
  </si>
  <si>
    <t>AIR-GAP</t>
  </si>
  <si>
    <t>UPPER-FLOOR</t>
  </si>
  <si>
    <t>Singh_pInsulation</t>
  </si>
  <si>
    <t>Singh_roof_insulation</t>
  </si>
  <si>
    <t>Singh_roof_structure</t>
  </si>
  <si>
    <t>Singh_wall_plasterlayer</t>
  </si>
  <si>
    <t>Singh_wall_insulation</t>
  </si>
  <si>
    <t>Singh_wall_structure</t>
  </si>
  <si>
    <t>Singh_floor_structure</t>
  </si>
  <si>
    <t>Singh_gfloor_insulation</t>
  </si>
  <si>
    <t>Singh_floor_cementscreed</t>
  </si>
  <si>
    <t>Singh_ifloor_insulation</t>
  </si>
  <si>
    <t>Singh_plasterboard</t>
  </si>
  <si>
    <t>Singh_iwall_insulation</t>
  </si>
  <si>
    <t>Singh_roof_plaster</t>
  </si>
  <si>
    <t>Singh_Internal_Material</t>
  </si>
  <si>
    <t>Paton_cast_concrete</t>
  </si>
  <si>
    <t>Paton_timber_floor</t>
  </si>
  <si>
    <t>Paton_carpet</t>
  </si>
  <si>
    <t>Paton_brick</t>
  </si>
  <si>
    <t>Paton_gypsum</t>
  </si>
  <si>
    <t>Paton_clay_tiles</t>
  </si>
  <si>
    <t>Paton_timber_joists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</si>
</sst>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B1" zoomScaleNormal="100" workbookViewId="0">
      <pane ySplit="1" topLeftCell="A7" activePane="bottomLeft" state="frozen"/>
      <selection pane="bottomLeft" activeCell="G16" sqref="G16"/>
    </sheetView>
  </sheetViews>
  <sheetFormatPr baseColWidth="10" defaultColWidth="10.5" defaultRowHeight="16" x14ac:dyDescent="0.2"/>
  <cols>
    <col min="1" max="1" width="34.33203125" customWidth="1"/>
    <col min="2" max="5" width="20.83203125" customWidth="1"/>
    <col min="6" max="6" width="13.1640625" bestFit="1" customWidth="1"/>
    <col min="7" max="7" width="22.6640625" customWidth="1"/>
    <col min="8" max="8" width="19" customWidth="1"/>
    <col min="9" max="9" width="16.83203125" customWidth="1"/>
  </cols>
  <sheetData>
    <row r="1" spans="1:11" x14ac:dyDescent="0.2">
      <c r="A1" s="1" t="s">
        <v>0</v>
      </c>
      <c r="B1" s="2" t="s">
        <v>1</v>
      </c>
      <c r="C1" s="2" t="s">
        <v>39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57</v>
      </c>
      <c r="K1" s="3" t="s">
        <v>58</v>
      </c>
    </row>
    <row r="2" spans="1:11" x14ac:dyDescent="0.2">
      <c r="A2" t="s">
        <v>36</v>
      </c>
      <c r="B2" s="4">
        <v>0.08</v>
      </c>
      <c r="C2" s="4"/>
      <c r="D2" s="5">
        <v>350</v>
      </c>
      <c r="E2" s="5">
        <v>1030</v>
      </c>
      <c r="F2" t="s">
        <v>8</v>
      </c>
      <c r="G2">
        <v>0.9</v>
      </c>
      <c r="H2">
        <v>0.7</v>
      </c>
      <c r="I2">
        <v>0.7</v>
      </c>
      <c r="J2" t="b">
        <v>0</v>
      </c>
      <c r="K2" t="b">
        <v>0</v>
      </c>
    </row>
    <row r="3" spans="1:11" x14ac:dyDescent="0.2">
      <c r="A3" t="s">
        <v>38</v>
      </c>
      <c r="B3" s="4">
        <v>0.06</v>
      </c>
      <c r="C3" s="4"/>
      <c r="D3" s="5">
        <v>640</v>
      </c>
      <c r="E3" s="5">
        <v>840</v>
      </c>
      <c r="F3" t="str">
        <f t="shared" ref="F3:F31" si="0">F2</f>
        <v>Rough</v>
      </c>
      <c r="G3">
        <f t="shared" ref="G3:G31" si="1">G2</f>
        <v>0.9</v>
      </c>
      <c r="H3">
        <f t="shared" ref="H3:H31" si="2">H2</f>
        <v>0.7</v>
      </c>
      <c r="I3">
        <f t="shared" ref="I3:I31" si="3">I2</f>
        <v>0.7</v>
      </c>
      <c r="J3" t="b">
        <v>0</v>
      </c>
      <c r="K3" t="b">
        <v>0</v>
      </c>
    </row>
    <row r="4" spans="1:11" x14ac:dyDescent="0.2">
      <c r="A4" t="s">
        <v>9</v>
      </c>
      <c r="B4" s="4">
        <v>5.1999999999999998E-2</v>
      </c>
      <c r="C4" s="4"/>
      <c r="D4" s="5">
        <v>16</v>
      </c>
      <c r="E4" s="5">
        <v>1260</v>
      </c>
      <c r="F4" t="str">
        <f t="shared" si="0"/>
        <v>Rough</v>
      </c>
      <c r="G4">
        <f t="shared" si="1"/>
        <v>0.9</v>
      </c>
      <c r="H4">
        <f t="shared" si="2"/>
        <v>0.7</v>
      </c>
      <c r="I4">
        <f t="shared" si="3"/>
        <v>0.7</v>
      </c>
      <c r="J4" t="b">
        <v>0</v>
      </c>
      <c r="K4" t="b">
        <v>0</v>
      </c>
    </row>
    <row r="5" spans="1:11" x14ac:dyDescent="0.2">
      <c r="A5" t="s">
        <v>10</v>
      </c>
      <c r="B5" s="4">
        <v>3.4000000000000002E-2</v>
      </c>
      <c r="C5" s="4"/>
      <c r="D5" s="5">
        <v>200</v>
      </c>
      <c r="E5" s="5">
        <v>710</v>
      </c>
      <c r="F5" t="str">
        <f t="shared" si="0"/>
        <v>Rough</v>
      </c>
      <c r="G5">
        <f t="shared" si="1"/>
        <v>0.9</v>
      </c>
      <c r="H5">
        <f t="shared" si="2"/>
        <v>0.7</v>
      </c>
      <c r="I5">
        <f t="shared" si="3"/>
        <v>0.7</v>
      </c>
      <c r="J5" t="b">
        <v>0</v>
      </c>
      <c r="K5" t="b">
        <v>0</v>
      </c>
    </row>
    <row r="6" spans="1:11" x14ac:dyDescent="0.2">
      <c r="A6" t="s">
        <v>11</v>
      </c>
      <c r="B6" s="4">
        <v>5.3999999999999999E-2</v>
      </c>
      <c r="C6" s="4"/>
      <c r="D6" s="5">
        <v>14</v>
      </c>
      <c r="E6" s="5">
        <v>147</v>
      </c>
      <c r="F6" t="str">
        <f t="shared" si="0"/>
        <v>Rough</v>
      </c>
      <c r="G6">
        <f t="shared" si="1"/>
        <v>0.9</v>
      </c>
      <c r="H6">
        <f t="shared" si="2"/>
        <v>0.7</v>
      </c>
      <c r="I6">
        <f t="shared" si="3"/>
        <v>0.7</v>
      </c>
      <c r="J6" t="b">
        <v>0</v>
      </c>
      <c r="K6" t="b">
        <v>0</v>
      </c>
    </row>
    <row r="7" spans="1:11" x14ac:dyDescent="0.2">
      <c r="A7" t="s">
        <v>12</v>
      </c>
      <c r="B7" s="4">
        <v>4.2000000000000003E-2</v>
      </c>
      <c r="C7" s="4"/>
      <c r="D7" s="5">
        <v>12</v>
      </c>
      <c r="E7" s="5">
        <v>1030</v>
      </c>
      <c r="F7" t="str">
        <f t="shared" si="0"/>
        <v>Rough</v>
      </c>
      <c r="G7">
        <f t="shared" si="1"/>
        <v>0.9</v>
      </c>
      <c r="H7">
        <f t="shared" si="2"/>
        <v>0.7</v>
      </c>
      <c r="I7">
        <f t="shared" si="3"/>
        <v>0.7</v>
      </c>
      <c r="J7" t="b">
        <v>0</v>
      </c>
      <c r="K7" t="b">
        <v>0</v>
      </c>
    </row>
    <row r="8" spans="1:11" x14ac:dyDescent="0.2">
      <c r="A8" t="s">
        <v>13</v>
      </c>
      <c r="B8" s="4">
        <v>3.5000000000000003E-2</v>
      </c>
      <c r="C8" s="4"/>
      <c r="D8" s="5">
        <v>23</v>
      </c>
      <c r="E8" s="5">
        <v>1470</v>
      </c>
      <c r="F8" t="str">
        <f t="shared" si="0"/>
        <v>Rough</v>
      </c>
      <c r="G8">
        <f t="shared" si="1"/>
        <v>0.9</v>
      </c>
      <c r="H8">
        <f t="shared" si="2"/>
        <v>0.7</v>
      </c>
      <c r="I8">
        <f t="shared" si="3"/>
        <v>0.7</v>
      </c>
      <c r="J8" t="b">
        <v>0</v>
      </c>
      <c r="K8" t="b">
        <v>0</v>
      </c>
    </row>
    <row r="9" spans="1:11" x14ac:dyDescent="0.2">
      <c r="A9" t="s">
        <v>14</v>
      </c>
      <c r="B9" s="4">
        <v>2.5000000000000001E-2</v>
      </c>
      <c r="C9" s="4"/>
      <c r="D9" s="5">
        <v>30</v>
      </c>
      <c r="E9" s="5">
        <v>1400</v>
      </c>
      <c r="F9" t="str">
        <f t="shared" si="0"/>
        <v>Rough</v>
      </c>
      <c r="G9">
        <f t="shared" si="1"/>
        <v>0.9</v>
      </c>
      <c r="H9">
        <f t="shared" si="2"/>
        <v>0.7</v>
      </c>
      <c r="I9">
        <f t="shared" si="3"/>
        <v>0.7</v>
      </c>
      <c r="J9" t="b">
        <v>0</v>
      </c>
      <c r="K9" t="b">
        <v>0</v>
      </c>
    </row>
    <row r="10" spans="1:11" x14ac:dyDescent="0.2">
      <c r="A10" t="s">
        <v>15</v>
      </c>
      <c r="B10" s="4">
        <v>0.02</v>
      </c>
      <c r="C10" s="4"/>
      <c r="D10" s="5">
        <v>25</v>
      </c>
      <c r="E10" s="5">
        <v>1470</v>
      </c>
      <c r="F10" t="str">
        <f t="shared" si="0"/>
        <v>Rough</v>
      </c>
      <c r="G10">
        <f t="shared" si="1"/>
        <v>0.9</v>
      </c>
      <c r="H10">
        <f t="shared" si="2"/>
        <v>0.7</v>
      </c>
      <c r="I10">
        <f t="shared" si="3"/>
        <v>0.7</v>
      </c>
      <c r="J10" t="b">
        <v>0</v>
      </c>
      <c r="K10" t="b">
        <v>0</v>
      </c>
    </row>
    <row r="11" spans="1:11" x14ac:dyDescent="0.2">
      <c r="A11" t="s">
        <v>16</v>
      </c>
      <c r="B11" s="4">
        <v>1.87</v>
      </c>
      <c r="C11" s="4"/>
      <c r="D11" s="5">
        <v>2300</v>
      </c>
      <c r="E11" s="5">
        <v>1000</v>
      </c>
      <c r="F11" t="str">
        <f t="shared" si="0"/>
        <v>Rough</v>
      </c>
      <c r="G11">
        <f t="shared" si="1"/>
        <v>0.9</v>
      </c>
      <c r="H11">
        <f t="shared" si="2"/>
        <v>0.7</v>
      </c>
      <c r="I11">
        <f t="shared" si="3"/>
        <v>0.7</v>
      </c>
      <c r="J11" t="b">
        <v>0</v>
      </c>
      <c r="K11" t="b">
        <v>0</v>
      </c>
    </row>
    <row r="12" spans="1:11" x14ac:dyDescent="0.2">
      <c r="A12" t="s">
        <v>17</v>
      </c>
      <c r="B12" s="4">
        <v>1.75</v>
      </c>
      <c r="C12" s="4"/>
      <c r="D12" s="5">
        <v>2300</v>
      </c>
      <c r="E12" s="5">
        <v>1000</v>
      </c>
      <c r="F12" t="str">
        <f t="shared" si="0"/>
        <v>Rough</v>
      </c>
      <c r="G12">
        <f t="shared" si="1"/>
        <v>0.9</v>
      </c>
      <c r="H12">
        <f t="shared" si="2"/>
        <v>0.7</v>
      </c>
      <c r="I12">
        <f t="shared" si="3"/>
        <v>0.7</v>
      </c>
      <c r="J12" t="b">
        <v>0</v>
      </c>
      <c r="K12" t="b">
        <v>0</v>
      </c>
    </row>
    <row r="13" spans="1:11" x14ac:dyDescent="0.2">
      <c r="A13" t="s">
        <v>18</v>
      </c>
      <c r="B13" s="4">
        <v>1.56</v>
      </c>
      <c r="C13" s="4"/>
      <c r="D13" s="5">
        <v>2100</v>
      </c>
      <c r="E13" s="5">
        <v>1000</v>
      </c>
      <c r="F13" t="str">
        <f t="shared" si="0"/>
        <v>Rough</v>
      </c>
      <c r="G13">
        <f t="shared" si="1"/>
        <v>0.9</v>
      </c>
      <c r="H13">
        <f t="shared" si="2"/>
        <v>0.7</v>
      </c>
      <c r="I13">
        <f t="shared" si="3"/>
        <v>0.7</v>
      </c>
      <c r="J13" t="b">
        <v>0</v>
      </c>
      <c r="K13" t="b">
        <v>0</v>
      </c>
    </row>
    <row r="14" spans="1:11" x14ac:dyDescent="0.2">
      <c r="A14" t="s">
        <v>19</v>
      </c>
      <c r="B14" s="4">
        <v>1.46</v>
      </c>
      <c r="C14" s="4"/>
      <c r="D14" s="5">
        <v>2100</v>
      </c>
      <c r="E14" s="5">
        <v>1000</v>
      </c>
      <c r="F14" t="str">
        <f t="shared" si="0"/>
        <v>Rough</v>
      </c>
      <c r="G14">
        <f t="shared" si="1"/>
        <v>0.9</v>
      </c>
      <c r="H14">
        <f t="shared" si="2"/>
        <v>0.7</v>
      </c>
      <c r="I14">
        <f t="shared" si="3"/>
        <v>0.7</v>
      </c>
      <c r="J14" t="b">
        <v>0</v>
      </c>
      <c r="K14" t="b">
        <v>0</v>
      </c>
    </row>
    <row r="15" spans="1:11" x14ac:dyDescent="0.2">
      <c r="A15" t="s">
        <v>20</v>
      </c>
      <c r="B15" s="4">
        <v>1.33</v>
      </c>
      <c r="C15" s="4"/>
      <c r="D15" s="5">
        <v>2000</v>
      </c>
      <c r="E15" s="5">
        <v>1000</v>
      </c>
      <c r="F15" t="str">
        <f t="shared" si="0"/>
        <v>Rough</v>
      </c>
      <c r="G15">
        <f t="shared" si="1"/>
        <v>0.9</v>
      </c>
      <c r="H15">
        <f t="shared" si="2"/>
        <v>0.7</v>
      </c>
      <c r="I15">
        <f t="shared" si="3"/>
        <v>0.7</v>
      </c>
      <c r="J15" t="b">
        <v>0</v>
      </c>
      <c r="K15" t="b">
        <v>0</v>
      </c>
    </row>
    <row r="16" spans="1:11" x14ac:dyDescent="0.2">
      <c r="A16" t="s">
        <v>21</v>
      </c>
      <c r="B16" s="4">
        <v>1.1299999999999999</v>
      </c>
      <c r="C16" s="4"/>
      <c r="D16" s="5">
        <v>1800</v>
      </c>
      <c r="E16" s="5">
        <v>1000</v>
      </c>
      <c r="F16" t="str">
        <f t="shared" si="0"/>
        <v>Rough</v>
      </c>
      <c r="G16">
        <f t="shared" si="1"/>
        <v>0.9</v>
      </c>
      <c r="H16">
        <f t="shared" si="2"/>
        <v>0.7</v>
      </c>
      <c r="I16">
        <f t="shared" si="3"/>
        <v>0.7</v>
      </c>
      <c r="J16" t="b">
        <v>0</v>
      </c>
      <c r="K16" t="b">
        <v>0</v>
      </c>
    </row>
    <row r="17" spans="1:11" x14ac:dyDescent="0.2">
      <c r="A17" t="s">
        <v>22</v>
      </c>
      <c r="B17" s="4">
        <v>1.34</v>
      </c>
      <c r="C17" s="4"/>
      <c r="D17" s="5">
        <v>2400</v>
      </c>
      <c r="E17" s="5">
        <v>800</v>
      </c>
      <c r="F17" t="str">
        <f t="shared" si="0"/>
        <v>Rough</v>
      </c>
      <c r="G17">
        <f t="shared" si="1"/>
        <v>0.9</v>
      </c>
      <c r="H17">
        <f t="shared" si="2"/>
        <v>0.7</v>
      </c>
      <c r="I17">
        <f t="shared" si="3"/>
        <v>0.7</v>
      </c>
      <c r="J17" t="b">
        <v>0</v>
      </c>
      <c r="K17" t="b">
        <v>0</v>
      </c>
    </row>
    <row r="18" spans="1:11" x14ac:dyDescent="0.2">
      <c r="A18" t="s">
        <v>23</v>
      </c>
      <c r="B18" s="4">
        <v>1.19</v>
      </c>
      <c r="C18" s="4"/>
      <c r="D18" s="5">
        <v>2240</v>
      </c>
      <c r="E18" s="5">
        <v>800</v>
      </c>
      <c r="F18" t="str">
        <f t="shared" si="0"/>
        <v>Rough</v>
      </c>
      <c r="G18">
        <f t="shared" si="1"/>
        <v>0.9</v>
      </c>
      <c r="H18">
        <f t="shared" si="2"/>
        <v>0.7</v>
      </c>
      <c r="I18">
        <f t="shared" si="3"/>
        <v>0.7</v>
      </c>
      <c r="J18" t="b">
        <v>0</v>
      </c>
      <c r="K18" t="b">
        <v>0</v>
      </c>
    </row>
    <row r="19" spans="1:11" x14ac:dyDescent="0.2">
      <c r="A19" t="s">
        <v>24</v>
      </c>
      <c r="B19" s="4">
        <v>1.02</v>
      </c>
      <c r="C19" s="4"/>
      <c r="D19" s="5">
        <v>2080</v>
      </c>
      <c r="E19" s="5">
        <v>800</v>
      </c>
      <c r="F19" t="str">
        <f t="shared" si="0"/>
        <v>Rough</v>
      </c>
      <c r="G19">
        <f t="shared" si="1"/>
        <v>0.9</v>
      </c>
      <c r="H19">
        <f t="shared" si="2"/>
        <v>0.7</v>
      </c>
      <c r="I19">
        <f t="shared" si="3"/>
        <v>0.7</v>
      </c>
      <c r="J19" t="b">
        <v>0</v>
      </c>
      <c r="K19" t="b">
        <v>0</v>
      </c>
    </row>
    <row r="20" spans="1:11" x14ac:dyDescent="0.2">
      <c r="A20" t="s">
        <v>25</v>
      </c>
      <c r="B20" s="4">
        <v>0.9</v>
      </c>
      <c r="C20" s="4"/>
      <c r="D20" s="5">
        <v>1920</v>
      </c>
      <c r="E20" s="5">
        <v>800</v>
      </c>
      <c r="F20" t="str">
        <f t="shared" si="0"/>
        <v>Rough</v>
      </c>
      <c r="G20">
        <f t="shared" si="1"/>
        <v>0.9</v>
      </c>
      <c r="H20">
        <f t="shared" si="2"/>
        <v>0.7</v>
      </c>
      <c r="I20">
        <f t="shared" si="3"/>
        <v>0.7</v>
      </c>
      <c r="J20" t="b">
        <v>0</v>
      </c>
      <c r="K20" t="b">
        <v>0</v>
      </c>
    </row>
    <row r="21" spans="1:11" x14ac:dyDescent="0.2">
      <c r="A21" t="s">
        <v>26</v>
      </c>
      <c r="B21" s="4">
        <v>0.68</v>
      </c>
      <c r="C21" s="4"/>
      <c r="D21" s="5">
        <v>1600</v>
      </c>
      <c r="E21" s="5">
        <v>800</v>
      </c>
      <c r="F21" t="str">
        <f t="shared" si="0"/>
        <v>Rough</v>
      </c>
      <c r="G21">
        <f t="shared" si="1"/>
        <v>0.9</v>
      </c>
      <c r="H21">
        <f t="shared" si="2"/>
        <v>0.7</v>
      </c>
      <c r="I21">
        <f t="shared" si="3"/>
        <v>0.7</v>
      </c>
      <c r="J21" t="b">
        <v>0</v>
      </c>
      <c r="K21" t="b">
        <v>0</v>
      </c>
    </row>
    <row r="22" spans="1:11" x14ac:dyDescent="0.2">
      <c r="A22" t="s">
        <v>37</v>
      </c>
      <c r="B22" s="4">
        <v>0.48</v>
      </c>
      <c r="C22" s="4"/>
      <c r="D22" s="5">
        <v>1280</v>
      </c>
      <c r="E22" s="5">
        <v>800</v>
      </c>
      <c r="F22" t="s">
        <v>8</v>
      </c>
      <c r="G22">
        <v>0.9</v>
      </c>
      <c r="H22">
        <v>0.7</v>
      </c>
      <c r="I22">
        <v>0.7</v>
      </c>
      <c r="J22" t="b">
        <v>0</v>
      </c>
      <c r="K22" t="b">
        <v>0</v>
      </c>
    </row>
    <row r="23" spans="1:11" x14ac:dyDescent="0.2">
      <c r="A23" t="s">
        <v>27</v>
      </c>
      <c r="B23" s="4">
        <v>0.41</v>
      </c>
      <c r="C23" s="4"/>
      <c r="D23" s="5">
        <v>1120</v>
      </c>
      <c r="E23" s="5">
        <v>800</v>
      </c>
      <c r="F23" t="str">
        <f>F21</f>
        <v>Rough</v>
      </c>
      <c r="G23">
        <f>G21</f>
        <v>0.9</v>
      </c>
      <c r="H23">
        <f>H21</f>
        <v>0.7</v>
      </c>
      <c r="I23">
        <f>I21</f>
        <v>0.7</v>
      </c>
      <c r="J23" t="b">
        <v>0</v>
      </c>
      <c r="K23" t="b">
        <v>0</v>
      </c>
    </row>
    <row r="24" spans="1:11" x14ac:dyDescent="0.2">
      <c r="A24" t="s">
        <v>28</v>
      </c>
      <c r="B24" s="4">
        <v>3.49</v>
      </c>
      <c r="C24" s="4"/>
      <c r="D24" s="5">
        <v>2880</v>
      </c>
      <c r="E24" s="5">
        <v>840</v>
      </c>
      <c r="F24" t="str">
        <f t="shared" si="0"/>
        <v>Rough</v>
      </c>
      <c r="G24">
        <f t="shared" si="1"/>
        <v>0.9</v>
      </c>
      <c r="H24">
        <f t="shared" si="2"/>
        <v>0.7</v>
      </c>
      <c r="I24">
        <f t="shared" si="3"/>
        <v>0.7</v>
      </c>
      <c r="J24" t="b">
        <v>0</v>
      </c>
      <c r="K24" t="b">
        <v>0</v>
      </c>
    </row>
    <row r="25" spans="1:11" x14ac:dyDescent="0.2">
      <c r="A25" t="s">
        <v>29</v>
      </c>
      <c r="B25" s="4">
        <v>2.4900000000000002</v>
      </c>
      <c r="C25" s="4"/>
      <c r="D25" s="5">
        <v>2650</v>
      </c>
      <c r="E25" s="5">
        <v>900</v>
      </c>
      <c r="F25" t="str">
        <f t="shared" si="0"/>
        <v>Rough</v>
      </c>
      <c r="G25">
        <f t="shared" si="1"/>
        <v>0.9</v>
      </c>
      <c r="H25">
        <f t="shared" si="2"/>
        <v>0.7</v>
      </c>
      <c r="I25">
        <f t="shared" si="3"/>
        <v>0.7</v>
      </c>
      <c r="J25" t="b">
        <v>0</v>
      </c>
      <c r="K25" t="b">
        <v>0</v>
      </c>
    </row>
    <row r="26" spans="1:11" x14ac:dyDescent="0.2">
      <c r="A26" t="s">
        <v>30</v>
      </c>
      <c r="B26" s="4">
        <v>1.83</v>
      </c>
      <c r="C26" s="4"/>
      <c r="D26" s="5">
        <v>2200</v>
      </c>
      <c r="E26" s="5">
        <v>710</v>
      </c>
      <c r="F26" t="str">
        <f t="shared" si="0"/>
        <v>Rough</v>
      </c>
      <c r="G26">
        <f t="shared" si="1"/>
        <v>0.9</v>
      </c>
      <c r="H26">
        <f t="shared" si="2"/>
        <v>0.7</v>
      </c>
      <c r="I26">
        <f t="shared" si="3"/>
        <v>0.7</v>
      </c>
      <c r="J26" t="b">
        <v>0</v>
      </c>
      <c r="K26" t="b">
        <v>0</v>
      </c>
    </row>
    <row r="27" spans="1:11" x14ac:dyDescent="0.2">
      <c r="A27" t="s">
        <v>31</v>
      </c>
      <c r="B27" s="4">
        <v>1.5</v>
      </c>
      <c r="C27" s="4"/>
      <c r="D27" s="5">
        <v>2180</v>
      </c>
      <c r="E27" s="5">
        <v>720</v>
      </c>
      <c r="F27" t="str">
        <f t="shared" si="0"/>
        <v>Rough</v>
      </c>
      <c r="G27">
        <f t="shared" si="1"/>
        <v>0.9</v>
      </c>
      <c r="H27">
        <f t="shared" si="2"/>
        <v>0.7</v>
      </c>
      <c r="I27">
        <f t="shared" si="3"/>
        <v>0.7</v>
      </c>
      <c r="J27" t="b">
        <v>0</v>
      </c>
      <c r="K27" t="b">
        <v>0</v>
      </c>
    </row>
    <row r="28" spans="1:11" x14ac:dyDescent="0.2">
      <c r="A28" t="s">
        <v>32</v>
      </c>
      <c r="B28" s="4">
        <v>1.2</v>
      </c>
      <c r="C28" s="4"/>
      <c r="D28" s="5">
        <v>2000</v>
      </c>
      <c r="E28" s="5">
        <v>840</v>
      </c>
      <c r="F28" t="str">
        <f t="shared" si="0"/>
        <v>Rough</v>
      </c>
      <c r="G28">
        <f t="shared" si="1"/>
        <v>0.9</v>
      </c>
      <c r="H28">
        <f t="shared" si="2"/>
        <v>0.7</v>
      </c>
      <c r="I28">
        <f t="shared" si="3"/>
        <v>0.7</v>
      </c>
      <c r="J28" t="b">
        <v>0</v>
      </c>
      <c r="K28" t="b">
        <v>0</v>
      </c>
    </row>
    <row r="29" spans="1:11" x14ac:dyDescent="0.2">
      <c r="A29" t="s">
        <v>33</v>
      </c>
      <c r="B29" s="4">
        <v>0.23</v>
      </c>
      <c r="C29" s="4"/>
      <c r="D29" s="5">
        <v>650</v>
      </c>
      <c r="E29" s="5">
        <v>3050</v>
      </c>
      <c r="F29" t="str">
        <f t="shared" si="0"/>
        <v>Rough</v>
      </c>
      <c r="G29">
        <f t="shared" si="1"/>
        <v>0.9</v>
      </c>
      <c r="H29">
        <f t="shared" si="2"/>
        <v>0.7</v>
      </c>
      <c r="I29">
        <f t="shared" si="3"/>
        <v>0.7</v>
      </c>
      <c r="J29" t="b">
        <v>0</v>
      </c>
      <c r="K29" t="b">
        <v>0</v>
      </c>
    </row>
    <row r="30" spans="1:11" x14ac:dyDescent="0.2">
      <c r="A30" t="s">
        <v>34</v>
      </c>
      <c r="B30" s="4">
        <v>0.16</v>
      </c>
      <c r="C30" s="4"/>
      <c r="D30" s="5">
        <v>720</v>
      </c>
      <c r="E30" s="5">
        <v>1260</v>
      </c>
      <c r="F30" t="str">
        <f t="shared" si="0"/>
        <v>Rough</v>
      </c>
      <c r="G30">
        <f t="shared" si="1"/>
        <v>0.9</v>
      </c>
      <c r="H30">
        <f t="shared" si="2"/>
        <v>0.7</v>
      </c>
      <c r="I30">
        <f t="shared" si="3"/>
        <v>0.7</v>
      </c>
      <c r="J30" t="b">
        <v>0</v>
      </c>
      <c r="K30" t="b">
        <v>0</v>
      </c>
    </row>
    <row r="31" spans="1:11" x14ac:dyDescent="0.2">
      <c r="A31" t="s">
        <v>35</v>
      </c>
      <c r="B31" s="4">
        <v>0.14000000000000001</v>
      </c>
      <c r="C31" s="4"/>
      <c r="D31" s="5">
        <v>720</v>
      </c>
      <c r="E31" s="5">
        <v>1680</v>
      </c>
      <c r="F31" t="str">
        <f t="shared" si="0"/>
        <v>Rough</v>
      </c>
      <c r="G31">
        <f t="shared" si="1"/>
        <v>0.9</v>
      </c>
      <c r="H31">
        <f t="shared" si="2"/>
        <v>0.7</v>
      </c>
      <c r="I31">
        <f t="shared" si="3"/>
        <v>0.7</v>
      </c>
      <c r="J31" t="b">
        <v>0</v>
      </c>
      <c r="K31" t="b">
        <v>0</v>
      </c>
    </row>
    <row r="32" spans="1:11" x14ac:dyDescent="0.2">
      <c r="A32" t="s">
        <v>40</v>
      </c>
      <c r="C32" s="4">
        <v>0.33</v>
      </c>
      <c r="F32" t="s">
        <v>44</v>
      </c>
      <c r="G32">
        <v>0.9</v>
      </c>
      <c r="H32">
        <v>0.7</v>
      </c>
      <c r="I32">
        <v>0.7</v>
      </c>
      <c r="J32" t="b">
        <v>1</v>
      </c>
      <c r="K32" t="b">
        <v>0</v>
      </c>
    </row>
    <row r="33" spans="1:11" x14ac:dyDescent="0.2">
      <c r="A33" t="s">
        <v>41</v>
      </c>
      <c r="C33" s="4">
        <v>2.5999999999999999E-2</v>
      </c>
      <c r="F33" t="s">
        <v>44</v>
      </c>
      <c r="G33">
        <v>0.9</v>
      </c>
      <c r="H33">
        <v>0.7</v>
      </c>
      <c r="I33">
        <v>0.7</v>
      </c>
      <c r="J33" t="b">
        <v>1</v>
      </c>
      <c r="K33" t="b">
        <v>0</v>
      </c>
    </row>
    <row r="34" spans="1:11" x14ac:dyDescent="0.2">
      <c r="A34" t="s">
        <v>42</v>
      </c>
      <c r="C34" s="4">
        <v>0.18</v>
      </c>
      <c r="F34" t="s">
        <v>44</v>
      </c>
      <c r="G34">
        <v>0.9</v>
      </c>
      <c r="H34">
        <v>0.7</v>
      </c>
      <c r="I34">
        <v>0.7</v>
      </c>
      <c r="J34" t="b">
        <v>1</v>
      </c>
      <c r="K34" t="b">
        <v>0</v>
      </c>
    </row>
    <row r="35" spans="1:11" x14ac:dyDescent="0.2">
      <c r="A35" t="s">
        <v>43</v>
      </c>
      <c r="C35" s="4">
        <v>0.15</v>
      </c>
      <c r="F35" t="s">
        <v>44</v>
      </c>
      <c r="G35">
        <v>0.9</v>
      </c>
      <c r="H35">
        <v>0.7</v>
      </c>
      <c r="I35">
        <v>0.7</v>
      </c>
      <c r="J35" t="b">
        <v>1</v>
      </c>
      <c r="K35" t="b">
        <v>0</v>
      </c>
    </row>
    <row r="36" spans="1:11" x14ac:dyDescent="0.2">
      <c r="A36" s="6" t="s">
        <v>40</v>
      </c>
      <c r="B36" s="4"/>
      <c r="C36" s="4">
        <v>0.33</v>
      </c>
      <c r="D36" s="4"/>
      <c r="E36" s="4"/>
      <c r="F36" t="s">
        <v>45</v>
      </c>
      <c r="G36">
        <v>0.9</v>
      </c>
      <c r="H36">
        <v>0.7</v>
      </c>
      <c r="I36">
        <v>0.7</v>
      </c>
      <c r="J36" t="b">
        <v>1</v>
      </c>
      <c r="K36" t="b">
        <v>0</v>
      </c>
    </row>
    <row r="37" spans="1:11" x14ac:dyDescent="0.2">
      <c r="A37" s="6" t="s">
        <v>46</v>
      </c>
      <c r="B37" s="4">
        <v>0.15</v>
      </c>
      <c r="C37" s="4"/>
      <c r="D37" s="4">
        <v>608</v>
      </c>
      <c r="E37" s="4">
        <v>1630</v>
      </c>
      <c r="F37" t="s">
        <v>45</v>
      </c>
      <c r="G37">
        <v>0.9</v>
      </c>
      <c r="H37">
        <v>0.7</v>
      </c>
      <c r="I37">
        <v>0.7</v>
      </c>
      <c r="J37" t="b">
        <v>0</v>
      </c>
      <c r="K37" t="b">
        <v>0</v>
      </c>
    </row>
    <row r="38" spans="1:11" x14ac:dyDescent="0.2">
      <c r="A38" s="6" t="s">
        <v>47</v>
      </c>
      <c r="B38" s="4">
        <v>0.57999999999999996</v>
      </c>
      <c r="C38" s="4"/>
      <c r="D38" s="4">
        <v>800</v>
      </c>
      <c r="E38" s="4">
        <v>1090</v>
      </c>
      <c r="F38" t="s">
        <v>45</v>
      </c>
      <c r="G38">
        <v>0.9</v>
      </c>
      <c r="H38">
        <v>0.7</v>
      </c>
      <c r="I38">
        <v>0.7</v>
      </c>
      <c r="J38" t="b">
        <v>0</v>
      </c>
      <c r="K38" t="b">
        <v>0</v>
      </c>
    </row>
    <row r="39" spans="1:11" x14ac:dyDescent="0.2">
      <c r="A39" s="6" t="s">
        <v>48</v>
      </c>
      <c r="B39" s="4">
        <v>3.5999999999999997E-2</v>
      </c>
      <c r="C39" s="4"/>
      <c r="D39" s="4">
        <v>64</v>
      </c>
      <c r="E39" s="4">
        <v>960</v>
      </c>
      <c r="F39" t="s">
        <v>44</v>
      </c>
      <c r="G39">
        <v>0.9</v>
      </c>
      <c r="H39">
        <v>0.7</v>
      </c>
      <c r="I39">
        <v>0.7</v>
      </c>
      <c r="J39" t="b">
        <v>0</v>
      </c>
      <c r="K39" t="b">
        <v>0</v>
      </c>
    </row>
    <row r="40" spans="1:11" x14ac:dyDescent="0.2">
      <c r="A40" s="6" t="s">
        <v>41</v>
      </c>
      <c r="B40" s="4"/>
      <c r="C40" s="4">
        <v>2.5999999999999999E-2</v>
      </c>
      <c r="D40" s="4"/>
      <c r="E40" s="4"/>
      <c r="F40" t="s">
        <v>49</v>
      </c>
      <c r="G40">
        <v>0.9</v>
      </c>
      <c r="H40">
        <v>0.7</v>
      </c>
      <c r="I40">
        <v>0.7</v>
      </c>
      <c r="J40" t="b">
        <v>1</v>
      </c>
      <c r="K40" t="b">
        <v>0</v>
      </c>
    </row>
    <row r="41" spans="1:11" x14ac:dyDescent="0.2">
      <c r="A41" s="6" t="s">
        <v>50</v>
      </c>
      <c r="B41" s="4">
        <v>1.45</v>
      </c>
      <c r="C41" s="4"/>
      <c r="D41" s="4">
        <v>2080</v>
      </c>
      <c r="E41" s="4">
        <v>900</v>
      </c>
      <c r="F41" t="s">
        <v>44</v>
      </c>
      <c r="G41">
        <v>0.9</v>
      </c>
      <c r="H41">
        <v>0.7</v>
      </c>
      <c r="I41">
        <v>0.7</v>
      </c>
      <c r="J41" t="b">
        <v>0</v>
      </c>
      <c r="K41" t="b">
        <v>0</v>
      </c>
    </row>
    <row r="42" spans="1:11" x14ac:dyDescent="0.2">
      <c r="A42" s="6" t="s">
        <v>51</v>
      </c>
      <c r="B42" s="4">
        <v>0.53</v>
      </c>
      <c r="C42" s="4"/>
      <c r="D42" s="4">
        <v>1280</v>
      </c>
      <c r="E42" s="4">
        <v>840</v>
      </c>
      <c r="F42" t="s">
        <v>44</v>
      </c>
      <c r="G42">
        <v>0.9</v>
      </c>
      <c r="H42">
        <v>0.7</v>
      </c>
      <c r="I42">
        <v>0.7</v>
      </c>
      <c r="J42" t="b">
        <v>0</v>
      </c>
      <c r="K42" t="b">
        <v>0</v>
      </c>
    </row>
    <row r="43" spans="1:11" x14ac:dyDescent="0.2">
      <c r="A43" s="6" t="s">
        <v>42</v>
      </c>
      <c r="B43" s="4"/>
      <c r="C43" s="4">
        <v>0.18</v>
      </c>
      <c r="D43" s="4"/>
      <c r="E43" s="4"/>
      <c r="J43" t="b">
        <v>0</v>
      </c>
      <c r="K43" t="b">
        <v>1</v>
      </c>
    </row>
    <row r="44" spans="1:11" x14ac:dyDescent="0.2">
      <c r="A44" s="6" t="s">
        <v>52</v>
      </c>
      <c r="B44" s="4">
        <v>1.34</v>
      </c>
      <c r="C44" s="4"/>
      <c r="D44" s="4">
        <v>2400</v>
      </c>
      <c r="E44" s="4">
        <v>790</v>
      </c>
      <c r="F44" t="s">
        <v>44</v>
      </c>
      <c r="G44">
        <v>0.9</v>
      </c>
      <c r="H44">
        <v>0.7</v>
      </c>
      <c r="I44">
        <v>0.7</v>
      </c>
      <c r="J44" t="b">
        <v>0</v>
      </c>
      <c r="K44" t="b">
        <v>0</v>
      </c>
    </row>
    <row r="45" spans="1:11" x14ac:dyDescent="0.2">
      <c r="A45" s="6" t="s">
        <v>43</v>
      </c>
      <c r="B45" s="4"/>
      <c r="C45" s="4">
        <v>0.15</v>
      </c>
      <c r="D45" s="4"/>
      <c r="E45" s="4"/>
      <c r="J45" t="b">
        <v>0</v>
      </c>
      <c r="K45" t="b">
        <v>1</v>
      </c>
    </row>
    <row r="46" spans="1:11" x14ac:dyDescent="0.2">
      <c r="A46" s="6" t="s">
        <v>53</v>
      </c>
      <c r="B46" s="4">
        <v>0.67500000000000004</v>
      </c>
      <c r="C46" s="4"/>
      <c r="D46" s="4">
        <v>1600</v>
      </c>
      <c r="E46" s="4">
        <v>790</v>
      </c>
      <c r="F46" t="s">
        <v>44</v>
      </c>
      <c r="G46">
        <v>0.9</v>
      </c>
      <c r="H46">
        <v>0.7</v>
      </c>
      <c r="I46">
        <v>0.7</v>
      </c>
      <c r="J46" t="b">
        <v>0</v>
      </c>
      <c r="K46" t="b">
        <v>0</v>
      </c>
    </row>
    <row r="47" spans="1:11" x14ac:dyDescent="0.2">
      <c r="A47" s="6" t="s">
        <v>54</v>
      </c>
      <c r="B47" s="4">
        <v>0.49</v>
      </c>
      <c r="C47" s="4"/>
      <c r="D47" s="4">
        <v>512</v>
      </c>
      <c r="E47" s="4">
        <v>880</v>
      </c>
      <c r="F47" t="s">
        <v>44</v>
      </c>
      <c r="G47">
        <v>0.9</v>
      </c>
      <c r="H47">
        <v>0.7</v>
      </c>
      <c r="I47">
        <v>0.7</v>
      </c>
      <c r="J47" t="b">
        <v>0</v>
      </c>
      <c r="K47" t="b">
        <v>0</v>
      </c>
    </row>
    <row r="48" spans="1:11" x14ac:dyDescent="0.2">
      <c r="A48" s="6" t="s">
        <v>55</v>
      </c>
      <c r="B48" s="4">
        <v>0.105</v>
      </c>
      <c r="C48" s="4"/>
      <c r="D48" s="4">
        <v>800</v>
      </c>
      <c r="E48" s="4">
        <v>130</v>
      </c>
      <c r="F48" t="s">
        <v>56</v>
      </c>
      <c r="G48">
        <v>0.9</v>
      </c>
      <c r="H48">
        <v>0.7</v>
      </c>
      <c r="I48">
        <v>0.7</v>
      </c>
      <c r="J48" t="b">
        <v>0</v>
      </c>
      <c r="K48" t="b">
        <v>0</v>
      </c>
    </row>
    <row r="49" spans="1:11" x14ac:dyDescent="0.2">
      <c r="A49" s="6" t="s">
        <v>59</v>
      </c>
      <c r="C49" s="4">
        <v>4.12</v>
      </c>
      <c r="F49" t="s">
        <v>8</v>
      </c>
      <c r="G49">
        <v>0.9</v>
      </c>
      <c r="H49">
        <v>0.7</v>
      </c>
      <c r="I49">
        <v>0.7</v>
      </c>
      <c r="J49" t="b">
        <v>0</v>
      </c>
      <c r="K49" t="b">
        <v>0</v>
      </c>
    </row>
    <row r="50" spans="1:11" x14ac:dyDescent="0.2">
      <c r="A50" s="6" t="s">
        <v>60</v>
      </c>
      <c r="C50" s="4">
        <v>0.15</v>
      </c>
      <c r="F50" t="s">
        <v>56</v>
      </c>
      <c r="G50">
        <v>0.9</v>
      </c>
      <c r="H50">
        <v>0.7</v>
      </c>
      <c r="I50">
        <v>0.7</v>
      </c>
      <c r="J50" t="b">
        <v>0</v>
      </c>
      <c r="K50" t="b">
        <v>0</v>
      </c>
    </row>
    <row r="51" spans="1:11" x14ac:dyDescent="0.2">
      <c r="A51" s="6" t="s">
        <v>61</v>
      </c>
      <c r="C51" s="4">
        <v>1</v>
      </c>
      <c r="F51" t="s">
        <v>8</v>
      </c>
      <c r="G51">
        <v>0.9</v>
      </c>
      <c r="H51">
        <v>0.7</v>
      </c>
      <c r="I51">
        <v>0.7</v>
      </c>
      <c r="J51" t="b">
        <v>0</v>
      </c>
      <c r="K51" t="b">
        <v>0</v>
      </c>
    </row>
    <row r="52" spans="1:11" x14ac:dyDescent="0.2">
      <c r="A52" s="6" t="s">
        <v>62</v>
      </c>
      <c r="B52" s="6">
        <v>3.5000000000000003E-2</v>
      </c>
      <c r="C52" s="6"/>
      <c r="D52" s="6">
        <v>20</v>
      </c>
      <c r="E52" s="6">
        <v>1000</v>
      </c>
      <c r="F52" s="6" t="s">
        <v>56</v>
      </c>
      <c r="G52" s="6">
        <v>0.9</v>
      </c>
      <c r="H52" s="6">
        <v>0.7</v>
      </c>
      <c r="I52" s="6">
        <v>0.7</v>
      </c>
      <c r="J52" s="6" t="b">
        <v>0</v>
      </c>
      <c r="K52" s="6" t="b">
        <v>0</v>
      </c>
    </row>
    <row r="53" spans="1:11" x14ac:dyDescent="0.2">
      <c r="A53" s="6" t="s">
        <v>63</v>
      </c>
      <c r="B53" s="6">
        <v>3.5000000000000003E-2</v>
      </c>
      <c r="C53" s="6"/>
      <c r="D53" s="6">
        <v>20</v>
      </c>
      <c r="E53" s="6">
        <v>1000</v>
      </c>
      <c r="F53" s="6" t="s">
        <v>56</v>
      </c>
      <c r="G53" s="6">
        <v>0.9</v>
      </c>
      <c r="H53" s="6">
        <v>0.7</v>
      </c>
      <c r="I53" s="6">
        <v>0.7</v>
      </c>
      <c r="J53" s="6" t="b">
        <v>0</v>
      </c>
      <c r="K53" s="6" t="b">
        <v>0</v>
      </c>
    </row>
    <row r="54" spans="1:11" x14ac:dyDescent="0.2">
      <c r="A54" s="6" t="s">
        <v>64</v>
      </c>
      <c r="B54" s="6">
        <v>2.2999999999999998</v>
      </c>
      <c r="C54" s="6"/>
      <c r="D54" s="6">
        <v>2300</v>
      </c>
      <c r="E54" s="6">
        <v>800</v>
      </c>
      <c r="F54" s="6" t="s">
        <v>56</v>
      </c>
      <c r="G54" s="6">
        <v>0.9</v>
      </c>
      <c r="H54" s="6">
        <v>0.7</v>
      </c>
      <c r="I54" s="6">
        <v>0.7</v>
      </c>
      <c r="J54" s="6" t="b">
        <v>0</v>
      </c>
      <c r="K54" s="6" t="b">
        <v>0</v>
      </c>
    </row>
    <row r="55" spans="1:11" x14ac:dyDescent="0.2">
      <c r="A55" s="6" t="s">
        <v>65</v>
      </c>
      <c r="B55" s="6">
        <v>0.7</v>
      </c>
      <c r="C55" s="6"/>
      <c r="D55" s="6">
        <v>1400</v>
      </c>
      <c r="E55" s="6">
        <v>1000</v>
      </c>
      <c r="F55" s="6" t="s">
        <v>56</v>
      </c>
      <c r="G55" s="6">
        <v>0.9</v>
      </c>
      <c r="H55" s="6">
        <v>0.4</v>
      </c>
      <c r="I55" s="6">
        <v>0.7</v>
      </c>
      <c r="J55" s="6" t="b">
        <v>0</v>
      </c>
      <c r="K55" s="6" t="b">
        <v>0</v>
      </c>
    </row>
    <row r="56" spans="1:11" x14ac:dyDescent="0.2">
      <c r="A56" s="6" t="s">
        <v>66</v>
      </c>
      <c r="B56" s="6">
        <v>3.5000000000000003E-2</v>
      </c>
      <c r="C56" s="6"/>
      <c r="D56" s="6">
        <v>25</v>
      </c>
      <c r="E56" s="6">
        <v>1000</v>
      </c>
      <c r="F56" s="6" t="s">
        <v>56</v>
      </c>
      <c r="G56" s="6">
        <v>0.9</v>
      </c>
      <c r="H56" s="6">
        <v>0.7</v>
      </c>
      <c r="I56" s="6">
        <v>0.7</v>
      </c>
      <c r="J56" s="6" t="b">
        <v>0</v>
      </c>
      <c r="K56" s="6" t="b">
        <v>0</v>
      </c>
    </row>
    <row r="57" spans="1:11" x14ac:dyDescent="0.2">
      <c r="A57" s="6" t="s">
        <v>67</v>
      </c>
      <c r="B57" s="6">
        <v>2.2999999999999998</v>
      </c>
      <c r="C57" s="6"/>
      <c r="D57" s="6">
        <v>2300</v>
      </c>
      <c r="E57" s="6">
        <v>1100</v>
      </c>
      <c r="F57" s="6" t="s">
        <v>56</v>
      </c>
      <c r="G57" s="6">
        <v>0.9</v>
      </c>
      <c r="H57" s="6">
        <v>0.7</v>
      </c>
      <c r="I57" s="6">
        <v>0.7</v>
      </c>
      <c r="J57" s="6" t="b">
        <v>0</v>
      </c>
      <c r="K57" s="6" t="b">
        <v>0</v>
      </c>
    </row>
    <row r="58" spans="1:11" x14ac:dyDescent="0.2">
      <c r="A58" s="6" t="s">
        <v>68</v>
      </c>
      <c r="B58" s="6">
        <v>2.2999999999999998</v>
      </c>
      <c r="C58" s="6"/>
      <c r="D58" s="6">
        <v>2300</v>
      </c>
      <c r="E58" s="6">
        <v>800</v>
      </c>
      <c r="F58" s="6" t="s">
        <v>56</v>
      </c>
      <c r="G58" s="6">
        <v>0.9</v>
      </c>
      <c r="H58" s="6">
        <v>0.7</v>
      </c>
      <c r="I58" s="6">
        <v>0.7</v>
      </c>
      <c r="J58" s="6" t="b">
        <v>0</v>
      </c>
      <c r="K58" s="6" t="b">
        <v>0</v>
      </c>
    </row>
    <row r="59" spans="1:11" x14ac:dyDescent="0.2">
      <c r="A59" s="6" t="s">
        <v>69</v>
      </c>
      <c r="B59" s="6">
        <v>3.5000000000000003E-2</v>
      </c>
      <c r="C59" s="6"/>
      <c r="D59" s="6">
        <v>20</v>
      </c>
      <c r="E59" s="6">
        <v>1000</v>
      </c>
      <c r="F59" s="6" t="s">
        <v>56</v>
      </c>
      <c r="G59" s="6">
        <v>0.9</v>
      </c>
      <c r="H59" s="6">
        <v>0.7</v>
      </c>
      <c r="I59" s="6">
        <v>0.7</v>
      </c>
      <c r="J59" s="6" t="b">
        <v>0</v>
      </c>
      <c r="K59" s="6" t="b">
        <v>0</v>
      </c>
    </row>
    <row r="60" spans="1:11" x14ac:dyDescent="0.2">
      <c r="A60" s="6" t="s">
        <v>70</v>
      </c>
      <c r="B60" s="6">
        <v>1.4</v>
      </c>
      <c r="C60" s="6"/>
      <c r="D60" s="6">
        <v>2000</v>
      </c>
      <c r="E60" s="6">
        <v>1000</v>
      </c>
      <c r="F60" s="6" t="s">
        <v>56</v>
      </c>
      <c r="G60" s="6">
        <v>0.9</v>
      </c>
      <c r="H60" s="6">
        <v>0.7</v>
      </c>
      <c r="I60" s="6">
        <v>0.7</v>
      </c>
      <c r="J60" s="6" t="b">
        <v>0</v>
      </c>
      <c r="K60" s="6" t="b">
        <v>0</v>
      </c>
    </row>
    <row r="61" spans="1:11" x14ac:dyDescent="0.2">
      <c r="A61" s="6" t="s">
        <v>71</v>
      </c>
      <c r="B61" s="6">
        <v>3.5000000000000003E-2</v>
      </c>
      <c r="C61" s="6"/>
      <c r="D61" s="6">
        <v>20</v>
      </c>
      <c r="E61" s="6">
        <v>1000</v>
      </c>
      <c r="F61" s="6" t="s">
        <v>56</v>
      </c>
      <c r="G61" s="6">
        <v>0.9</v>
      </c>
      <c r="H61" s="6">
        <v>0.7</v>
      </c>
      <c r="I61" s="6">
        <v>0.7</v>
      </c>
      <c r="J61" s="6" t="b">
        <v>0</v>
      </c>
      <c r="K61" s="6" t="b">
        <v>0</v>
      </c>
    </row>
    <row r="62" spans="1:11" x14ac:dyDescent="0.2">
      <c r="A62" s="6" t="s">
        <v>72</v>
      </c>
      <c r="B62" s="6">
        <v>0.16</v>
      </c>
      <c r="C62" s="6"/>
      <c r="D62" s="6">
        <v>800</v>
      </c>
      <c r="E62" s="6">
        <v>800</v>
      </c>
      <c r="F62" s="6" t="s">
        <v>8</v>
      </c>
      <c r="G62" s="6">
        <v>0.9</v>
      </c>
      <c r="H62" s="6">
        <v>0.6</v>
      </c>
      <c r="I62" s="6">
        <v>0.6</v>
      </c>
      <c r="J62" s="6" t="b">
        <v>0</v>
      </c>
      <c r="K62" s="6" t="b">
        <v>0</v>
      </c>
    </row>
    <row r="63" spans="1:11" x14ac:dyDescent="0.2">
      <c r="A63" s="6" t="s">
        <v>73</v>
      </c>
      <c r="B63" s="6">
        <v>3.5000000000000003E-2</v>
      </c>
      <c r="C63" s="6"/>
      <c r="D63" s="6">
        <v>20</v>
      </c>
      <c r="E63" s="6">
        <v>1000</v>
      </c>
      <c r="F63" s="6" t="s">
        <v>8</v>
      </c>
      <c r="G63" s="6">
        <v>0.9</v>
      </c>
      <c r="H63" s="6">
        <v>0.7</v>
      </c>
      <c r="I63" s="6">
        <v>0.7</v>
      </c>
      <c r="J63" s="6" t="b">
        <v>0</v>
      </c>
      <c r="K63" s="6" t="b">
        <v>0</v>
      </c>
    </row>
    <row r="64" spans="1:11" x14ac:dyDescent="0.2">
      <c r="A64" s="6" t="s">
        <v>74</v>
      </c>
      <c r="B64" s="6">
        <v>0.7</v>
      </c>
      <c r="C64" s="6"/>
      <c r="D64" s="6">
        <v>1400</v>
      </c>
      <c r="E64" s="6">
        <v>1000</v>
      </c>
      <c r="F64" s="6" t="s">
        <v>56</v>
      </c>
      <c r="G64" s="6">
        <v>0.9</v>
      </c>
      <c r="H64" s="6">
        <v>0.4</v>
      </c>
      <c r="I64" s="6">
        <v>0.7</v>
      </c>
      <c r="J64" s="6" t="b">
        <v>0</v>
      </c>
      <c r="K64" s="6" t="b">
        <v>0</v>
      </c>
    </row>
    <row r="65" spans="1:11" x14ac:dyDescent="0.2">
      <c r="A65" s="6" t="s">
        <v>75</v>
      </c>
      <c r="B65" s="6">
        <v>2.2999999999999998</v>
      </c>
      <c r="C65" s="6"/>
      <c r="D65" s="6">
        <v>500</v>
      </c>
      <c r="E65" s="6">
        <v>1000</v>
      </c>
      <c r="F65" s="6" t="s">
        <v>56</v>
      </c>
      <c r="G65" s="6">
        <v>0.85</v>
      </c>
      <c r="H65" s="6">
        <v>0.85</v>
      </c>
      <c r="I65" s="6">
        <v>0.7</v>
      </c>
      <c r="J65" s="6" t="b">
        <v>0</v>
      </c>
      <c r="K65" s="6" t="b">
        <v>0</v>
      </c>
    </row>
    <row r="66" spans="1:11" x14ac:dyDescent="0.2">
      <c r="A66" s="6" t="s">
        <v>76</v>
      </c>
      <c r="B66" s="6">
        <v>1.1299999999999999</v>
      </c>
      <c r="C66" s="6"/>
      <c r="D66" s="6">
        <v>2000</v>
      </c>
      <c r="E66" s="6">
        <v>1000</v>
      </c>
      <c r="F66" s="6" t="s">
        <v>8</v>
      </c>
      <c r="G66" s="6">
        <v>0.9</v>
      </c>
      <c r="H66" s="6">
        <v>0.7</v>
      </c>
      <c r="I66" s="6">
        <v>0.7</v>
      </c>
      <c r="J66" s="6" t="b">
        <v>0</v>
      </c>
      <c r="K66" s="6" t="b">
        <v>0</v>
      </c>
    </row>
    <row r="67" spans="1:11" x14ac:dyDescent="0.2">
      <c r="A67" s="6" t="s">
        <v>77</v>
      </c>
      <c r="B67" s="6">
        <v>0.14000000000000001</v>
      </c>
      <c r="C67" s="6"/>
      <c r="D67" s="6">
        <v>650</v>
      </c>
      <c r="E67" s="6">
        <v>2300</v>
      </c>
      <c r="F67" s="6" t="s">
        <v>56</v>
      </c>
      <c r="G67" s="6">
        <v>0.9</v>
      </c>
      <c r="H67" s="6">
        <v>0.7</v>
      </c>
      <c r="I67" s="6">
        <v>0.7</v>
      </c>
      <c r="J67" s="6" t="b">
        <v>0</v>
      </c>
      <c r="K67" s="6" t="b">
        <v>0</v>
      </c>
    </row>
    <row r="68" spans="1:11" x14ac:dyDescent="0.2">
      <c r="A68" s="6" t="s">
        <v>78</v>
      </c>
      <c r="B68" s="6">
        <v>0.05</v>
      </c>
      <c r="C68" s="6"/>
      <c r="D68" s="6">
        <v>1.7</v>
      </c>
      <c r="E68" s="6">
        <v>200</v>
      </c>
      <c r="F68" s="6" t="s">
        <v>8</v>
      </c>
      <c r="G68" s="6">
        <v>0.9</v>
      </c>
      <c r="H68" s="6">
        <v>0.7</v>
      </c>
      <c r="I68" s="6">
        <v>0.7</v>
      </c>
      <c r="J68" s="6" t="b">
        <v>0</v>
      </c>
      <c r="K68" s="6" t="b">
        <v>0</v>
      </c>
    </row>
    <row r="69" spans="1:11" x14ac:dyDescent="0.2">
      <c r="A69" s="6" t="s">
        <v>79</v>
      </c>
      <c r="B69" s="6">
        <v>0.84</v>
      </c>
      <c r="C69" s="6"/>
      <c r="D69" s="6">
        <v>1700</v>
      </c>
      <c r="E69" s="6">
        <v>800</v>
      </c>
      <c r="F69" s="6" t="s">
        <v>8</v>
      </c>
      <c r="G69" s="6">
        <v>0.9</v>
      </c>
      <c r="H69" s="6">
        <v>0.7</v>
      </c>
      <c r="I69" s="6">
        <v>0.7</v>
      </c>
      <c r="J69" s="6" t="b">
        <v>0</v>
      </c>
      <c r="K69" s="6" t="b">
        <v>0</v>
      </c>
    </row>
    <row r="70" spans="1:11" x14ac:dyDescent="0.2">
      <c r="A70" s="6" t="s">
        <v>80</v>
      </c>
      <c r="B70" s="6">
        <v>0.5</v>
      </c>
      <c r="C70" s="6"/>
      <c r="D70" s="6">
        <v>1300</v>
      </c>
      <c r="E70" s="6">
        <v>1000</v>
      </c>
      <c r="F70" s="6" t="s">
        <v>56</v>
      </c>
      <c r="G70" s="6">
        <v>0.9</v>
      </c>
      <c r="H70" s="6">
        <v>0.7</v>
      </c>
      <c r="I70" s="6">
        <v>0.7</v>
      </c>
      <c r="J70" s="6" t="b">
        <v>0</v>
      </c>
      <c r="K70" s="6" t="b">
        <v>0</v>
      </c>
    </row>
    <row r="71" spans="1:11" x14ac:dyDescent="0.2">
      <c r="A71" s="6" t="s">
        <v>81</v>
      </c>
      <c r="B71" s="6">
        <v>0.71</v>
      </c>
      <c r="C71" s="6"/>
      <c r="D71" s="6">
        <v>1200</v>
      </c>
      <c r="E71" s="6">
        <v>1380</v>
      </c>
      <c r="F71" s="6" t="s">
        <v>56</v>
      </c>
      <c r="G71" s="6">
        <v>0.9</v>
      </c>
      <c r="H71" s="6">
        <v>0.7</v>
      </c>
      <c r="I71" s="6">
        <v>0.7</v>
      </c>
      <c r="J71" s="6" t="b">
        <v>0</v>
      </c>
      <c r="K71" s="6" t="b">
        <v>0</v>
      </c>
    </row>
    <row r="72" spans="1:11" x14ac:dyDescent="0.2">
      <c r="A72" s="6" t="s">
        <v>82</v>
      </c>
      <c r="B72" s="6">
        <v>0.14000000000000001</v>
      </c>
      <c r="C72" s="6"/>
      <c r="D72" s="6">
        <v>650</v>
      </c>
      <c r="E72" s="6">
        <v>1200</v>
      </c>
      <c r="F72" s="6" t="s">
        <v>8</v>
      </c>
      <c r="G72" s="6">
        <v>0.9</v>
      </c>
      <c r="H72" s="6">
        <v>0.7</v>
      </c>
      <c r="I72" s="6">
        <v>0.7</v>
      </c>
      <c r="J72" s="6" t="b">
        <v>0</v>
      </c>
      <c r="K72" s="6" t="b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Jack Lynch</dc:creator>
  <dc:description/>
  <cp:lastModifiedBy>Microsoft Office User</cp:lastModifiedBy>
  <cp:revision>2</cp:revision>
  <dcterms:created xsi:type="dcterms:W3CDTF">2022-10-06T14:25:42Z</dcterms:created>
  <dcterms:modified xsi:type="dcterms:W3CDTF">2023-04-25T11:25:57Z</dcterms:modified>
  <dc:language>en-GB</dc:language>
</cp:coreProperties>
</file>
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jeen/phd/research/CUBES/src/cubes/data/energy_systems/"/>
    </mc:Choice>
  </mc:AlternateContent>
  <xr:revisionPtr revIDLastSave="0" documentId="13_ncr:1_{0FB75E4E-2D05-B846-9E68-4872D3334E1D}" xr6:coauthVersionLast="47" xr6:coauthVersionMax="47" xr10:uidLastSave="{00000000-0000-0000-0000-000000000000}"/>
  <bookViews>
    <workbookView xWindow="9280" yWindow="3560" windowWidth="27640" windowHeight="16940" xr2:uid="{05058415-C571-004D-A5F9-9C4ED88F8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10" i="1"/>
</calcChain>
</file>

<file path=xl/sharedStrings.xml><?xml version="1.0" encoding="utf-8"?>
<sst xmlns="http://schemas.openxmlformats.org/spreadsheetml/2006/main" count="51" uniqueCount="51">
  <si>
    <t>COUNTRY CODE</t>
  </si>
  <si>
    <t>AT</t>
  </si>
  <si>
    <t>BE</t>
  </si>
  <si>
    <t>BG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</si>
  <si>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</si>
  <si>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</si>
  <si>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</si>
  <si>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</si>
  <si>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</si>
  <si>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</si>
  <si>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</si>
  <si>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</si>
  <si>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</si>
  <si>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</si>
  <si>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</si>
  <si>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</si>
  <si>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</si>
  <si>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</si>
  <si>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</si>
  <si>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</si>
  <si>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</si>
  <si>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</si>
  <si>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</si>
  <si>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</si>
  <si>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</si>
  <si>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</si>
  <si>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</si>
  <si>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</si>
  <si>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Source EU 2022</t>
  </si>
  <si>
    <t>https://alternative-fuels-observatory.ec.europa.eu/transport-mode/road/european-union-eu27/country-comparison</t>
  </si>
  <si>
    <t>Source UK</t>
  </si>
  <si>
    <t>https://www.gov.uk/government/statistics/vehicle-licensing-statistics-april-to-june-2022</t>
  </si>
  <si>
    <t>BEV MINIMUM BATTERY SIZE (kWh)</t>
  </si>
  <si>
    <t>COUNTRY NUMBER OF PHEVS</t>
  </si>
  <si>
    <t>Source BEV Battery Size</t>
  </si>
  <si>
    <t>https://ev-database.org/uk/#sort:path~type~order=.rank~number~desc|range-slider-range:prev~next=0~600|range-slider-towweight:prev~next=0~2500|range-slider-acceleration:prev~next=2~23|range-slider-fastcharge:prev~next=0~1100|range-slider-eff:prev~next=150~500|range-slider-topspeed:prev~next=60~260|paging:currentPage=0|paging:number=9</t>
  </si>
  <si>
    <t>PHEV MINIMUM BATTERY SIZE (kWh)</t>
  </si>
  <si>
    <t>Source PHEV Max Battery Size</t>
  </si>
  <si>
    <t>Source PHEV Min Battery Size</t>
  </si>
  <si>
    <t>https://www.google.com/search?q=ferrari+sf90+stradale+phev+battery+size&amp;rlz=1C5CHFA_enGB995GB997&amp;sxsrf=APwXEdfs8BraNnYM9gEu4PRMHQcCkgPGHA%3A1683818617807&amp;ei=eQhdZOvfMNCT8gLwzp7oCw&amp;ved=0ahUKEwirgNKUye3-AhXQiVwKHXCnB70Q4dUDCA8&amp;uact=5&amp;oq=ferrari+sf90+stradale+phev+battery+size&amp;gs_lcp=Cgxnd3Mtd2l6LXNlcnAQAzIFCAAQogQyBQgAEKIEMgUIABCiBDIFCAAQogQ6CggAEEcQ1gQQsAM6BggAEBYQHjoICAAQigUQhgM6BQghEKABOgcIIRCgARAKSgQIQRgAUPAEWK0RYJMSaAFwAXgAgAHxAYgB-wuSAQU2LjUuMpgBAKABAcgBCMABAQ&amp;sclient=gws-wiz-serp</t>
  </si>
  <si>
    <t>https://www.google.com/search?q=2021+BMW+X5+xDrive45e+battery+size&amp;rlz=1C5CHFA_enGB995GB997&amp;oq=2021+BMW+X5+xDrive45e+battery+size&amp;aqs=chrome..69i57.2159j0j7&amp;sourceid=chrome&amp;ie=UTF-8</t>
  </si>
  <si>
    <t>COUNTRY NUMBER OF BEVS</t>
  </si>
  <si>
    <t>Notes</t>
  </si>
  <si>
    <t>Battery size to be sampled from Bernoulli dist</t>
  </si>
  <si>
    <t>Source Total Vehicles</t>
  </si>
  <si>
    <t>https://ec.europa.eu/eurostat/databrowser/view/ROAD_EQS_CARMOT/default/table?lang=en</t>
  </si>
  <si>
    <t>COUNTRY TOTAL VEHICLES</t>
  </si>
  <si>
    <t>COUNTRY PERCENTAGE BEVS</t>
  </si>
  <si>
    <t>COUNTRY PERCENTAGE PHEVS</t>
  </si>
  <si>
    <t>BEV MAXIMUM BATTERY SIZE (kWh)</t>
  </si>
  <si>
    <t>PHEV MAXIMUM BATTERY SIZE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</si>
</sst>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77C7-BD30-DD4F-B03A-FC20B8E38444}">
  <dimension ref="A1:J36"/>
  <sheetViews>
    <sheetView tabSelected="1" topLeftCell="C1" zoomScale="90" zoomScaleNormal="90" workbookViewId="0">
      <selection activeCell="E18" sqref="E18"/>
    </sheetView>
  </sheetViews>
  <sheetFormatPr baseColWidth="10" defaultRowHeight="16" x14ac:dyDescent="0.2"/>
  <cols>
    <col min="1" max="1" width="26.1640625" bestFit="1" customWidth="1"/>
    <col min="2" max="2" width="26.1640625" customWidth="1"/>
    <col min="3" max="3" width="33.33203125" customWidth="1"/>
    <col min="4" max="4" width="26.83203125" bestFit="1" customWidth="1"/>
    <col min="5" max="6" width="26.83203125" customWidth="1"/>
    <col min="7" max="8" width="32" bestFit="1" customWidth="1"/>
    <col min="9" max="9" width="33.1640625" bestFit="1" customWidth="1"/>
  </cols>
  <sheetData>
    <row r="1" spans="1:10" x14ac:dyDescent="0.2">
      <c r="A1" t="s">
        <v>44</v>
      </c>
      <c r="C1" t="s">
        <v>45</v>
      </c>
    </row>
    <row r="2" spans="1:10" x14ac:dyDescent="0.2">
      <c r="A2" t="s">
        <v>28</v>
      </c>
      <c r="C2" t="s">
        <v>29</v>
      </c>
    </row>
    <row r="3" spans="1:10" x14ac:dyDescent="0.2">
      <c r="A3" t="s">
        <v>30</v>
      </c>
      <c r="C3" t="s">
        <v>31</v>
      </c>
    </row>
    <row r="4" spans="1:10" x14ac:dyDescent="0.2">
      <c r="A4" t="s">
        <v>34</v>
      </c>
      <c r="C4" t="s">
        <v>35</v>
      </c>
    </row>
    <row r="5" spans="1:10" x14ac:dyDescent="0.2">
      <c r="A5" t="s">
        <v>37</v>
      </c>
      <c r="C5" t="s">
        <v>40</v>
      </c>
    </row>
    <row r="6" spans="1:10" x14ac:dyDescent="0.2">
      <c r="A6" t="s">
        <v>38</v>
      </c>
      <c r="C6" t="s">
        <v>39</v>
      </c>
    </row>
    <row r="7" spans="1:10" x14ac:dyDescent="0.2">
      <c r="A7" t="s">
        <v>42</v>
      </c>
      <c r="C7" t="s">
        <v>43</v>
      </c>
    </row>
    <row r="9" spans="1:10" x14ac:dyDescent="0.2">
      <c r="A9" s="1" t="s">
        <v>0</v>
      </c>
      <c r="B9" s="1" t="s">
        <v>46</v>
      </c>
      <c r="C9" s="1" t="s">
        <v>41</v>
      </c>
      <c r="D9" s="1" t="s">
        <v>33</v>
      </c>
      <c r="E9" s="1" t="s">
        <v>47</v>
      </c>
      <c r="F9" s="1" t="s">
        <v>48</v>
      </c>
      <c r="G9" s="1" t="s">
        <v>32</v>
      </c>
      <c r="H9" s="1" t="s">
        <v>49</v>
      </c>
      <c r="I9" s="1" t="s">
        <v>36</v>
      </c>
      <c r="J9" s="1" t="s">
        <v>50</v>
      </c>
    </row>
    <row r="10" spans="1:10" x14ac:dyDescent="0.2">
      <c r="A10" t="s">
        <v>1</v>
      </c>
      <c r="B10">
        <v>5133836</v>
      </c>
      <c r="C10">
        <v>117919</v>
      </c>
      <c r="D10">
        <v>42289</v>
      </c>
      <c r="E10" s="2">
        <f>C10/B10</f>
        <v>2.2968984595534411E-2</v>
      </c>
      <c r="F10" s="2">
        <f>D10/B10</f>
        <v>8.2373102685788947E-3</v>
      </c>
      <c r="G10">
        <v>28.5</v>
      </c>
      <c r="H10">
        <v>108.4</v>
      </c>
      <c r="I10">
        <v>7.9</v>
      </c>
      <c r="J10">
        <v>24</v>
      </c>
    </row>
    <row r="11" spans="1:10" x14ac:dyDescent="0.2">
      <c r="A11" t="s">
        <v>2</v>
      </c>
      <c r="B11">
        <v>5927912</v>
      </c>
      <c r="C11">
        <v>96983</v>
      </c>
      <c r="D11">
        <v>183122</v>
      </c>
      <c r="E11" s="2">
        <f t="shared" ref="E11:E36" si="0">C11/B11</f>
        <v>1.6360398062589324E-2</v>
      </c>
      <c r="F11" s="2">
        <f t="shared" ref="F11:F36" si="1">D11/B11</f>
        <v>3.0891484219063979E-2</v>
      </c>
      <c r="G11">
        <v>28.5</v>
      </c>
      <c r="H11">
        <v>108.4</v>
      </c>
      <c r="I11">
        <v>7.9</v>
      </c>
      <c r="J11">
        <v>24</v>
      </c>
    </row>
    <row r="12" spans="1:10" x14ac:dyDescent="0.2">
      <c r="A12" t="s">
        <v>3</v>
      </c>
      <c r="B12">
        <v>2830464</v>
      </c>
      <c r="C12">
        <v>3142</v>
      </c>
      <c r="D12">
        <v>1897</v>
      </c>
      <c r="E12" s="2">
        <f t="shared" si="0"/>
        <v>1.1100653461764572E-3</v>
      </c>
      <c r="F12" s="2">
        <f t="shared" si="1"/>
        <v>6.7020813548591322E-4</v>
      </c>
      <c r="G12">
        <v>28.5</v>
      </c>
      <c r="H12">
        <v>108.4</v>
      </c>
      <c r="I12">
        <v>7.9</v>
      </c>
      <c r="J12">
        <v>24</v>
      </c>
    </row>
    <row r="13" spans="1:10" x14ac:dyDescent="0.2">
      <c r="A13" t="s">
        <v>4</v>
      </c>
      <c r="B13">
        <v>6088730</v>
      </c>
      <c r="C13">
        <v>14798</v>
      </c>
      <c r="D13">
        <v>8720</v>
      </c>
      <c r="E13" s="2">
        <f t="shared" si="0"/>
        <v>2.4303918879634997E-3</v>
      </c>
      <c r="F13" s="2">
        <f t="shared" si="1"/>
        <v>1.4321541602271739E-3</v>
      </c>
      <c r="G13">
        <v>28.5</v>
      </c>
      <c r="H13">
        <v>108.4</v>
      </c>
      <c r="I13">
        <v>7.9</v>
      </c>
      <c r="J13">
        <v>24</v>
      </c>
    </row>
    <row r="14" spans="1:10" x14ac:dyDescent="0.2">
      <c r="A14" t="s">
        <v>5</v>
      </c>
      <c r="B14">
        <v>48540878</v>
      </c>
      <c r="C14">
        <v>1034947</v>
      </c>
      <c r="D14">
        <v>932152</v>
      </c>
      <c r="E14" s="2">
        <f t="shared" si="0"/>
        <v>2.1321142975617376E-2</v>
      </c>
      <c r="F14" s="2">
        <f t="shared" si="1"/>
        <v>1.9203443332854425E-2</v>
      </c>
      <c r="G14">
        <v>28.5</v>
      </c>
      <c r="H14">
        <v>108.4</v>
      </c>
      <c r="I14">
        <v>7.9</v>
      </c>
      <c r="J14">
        <v>24</v>
      </c>
    </row>
    <row r="15" spans="1:10" x14ac:dyDescent="0.2">
      <c r="A15" t="s">
        <v>6</v>
      </c>
      <c r="B15">
        <v>2787553</v>
      </c>
      <c r="C15">
        <v>101457</v>
      </c>
      <c r="D15">
        <v>98187</v>
      </c>
      <c r="E15" s="2">
        <f t="shared" si="0"/>
        <v>3.6396438022882435E-2</v>
      </c>
      <c r="F15" s="2">
        <f t="shared" si="1"/>
        <v>3.5223366156625545E-2</v>
      </c>
      <c r="G15">
        <v>28.5</v>
      </c>
      <c r="H15">
        <v>108.4</v>
      </c>
      <c r="I15">
        <v>7.9</v>
      </c>
      <c r="J15">
        <v>24</v>
      </c>
    </row>
    <row r="16" spans="1:10" x14ac:dyDescent="0.2">
      <c r="A16" t="s">
        <v>7</v>
      </c>
      <c r="B16">
        <v>825936</v>
      </c>
      <c r="C16">
        <v>3024</v>
      </c>
      <c r="D16">
        <v>644</v>
      </c>
      <c r="E16" s="2">
        <f t="shared" si="0"/>
        <v>3.6613006334631254E-3</v>
      </c>
      <c r="F16" s="2">
        <f t="shared" si="1"/>
        <v>7.7972143120048042E-4</v>
      </c>
      <c r="G16">
        <v>28.5</v>
      </c>
      <c r="H16">
        <v>108.4</v>
      </c>
      <c r="I16">
        <v>7.9</v>
      </c>
      <c r="J16">
        <v>24</v>
      </c>
    </row>
    <row r="17" spans="1:10" x14ac:dyDescent="0.2">
      <c r="A17" t="s">
        <v>8</v>
      </c>
      <c r="B17">
        <v>5604192</v>
      </c>
      <c r="C17">
        <v>6434</v>
      </c>
      <c r="D17">
        <v>12283</v>
      </c>
      <c r="E17" s="2">
        <f t="shared" si="0"/>
        <v>1.1480691596576277E-3</v>
      </c>
      <c r="F17" s="2">
        <f t="shared" si="1"/>
        <v>2.1917521740868265E-3</v>
      </c>
      <c r="G17">
        <v>28.5</v>
      </c>
      <c r="H17">
        <v>108.4</v>
      </c>
      <c r="I17">
        <v>7.9</v>
      </c>
      <c r="J17">
        <v>24</v>
      </c>
    </row>
    <row r="18" spans="1:10" x14ac:dyDescent="0.2">
      <c r="A18" t="s">
        <v>9</v>
      </c>
      <c r="B18">
        <v>24913132</v>
      </c>
      <c r="C18">
        <v>118100</v>
      </c>
      <c r="D18">
        <v>135008</v>
      </c>
      <c r="E18" s="2">
        <f t="shared" si="0"/>
        <v>4.7404718122153406E-3</v>
      </c>
      <c r="F18" s="2">
        <f t="shared" si="1"/>
        <v>5.4191500289887274E-3</v>
      </c>
      <c r="G18">
        <v>28.5</v>
      </c>
      <c r="H18">
        <v>108.4</v>
      </c>
      <c r="I18">
        <v>7.9</v>
      </c>
      <c r="J18">
        <v>24</v>
      </c>
    </row>
    <row r="19" spans="1:10" x14ac:dyDescent="0.2">
      <c r="A19" t="s">
        <v>10</v>
      </c>
      <c r="B19">
        <v>3641532</v>
      </c>
      <c r="C19">
        <v>49287</v>
      </c>
      <c r="D19">
        <v>106276</v>
      </c>
      <c r="E19" s="2">
        <f t="shared" si="0"/>
        <v>1.3534688147735624E-2</v>
      </c>
      <c r="F19" s="2">
        <f t="shared" si="1"/>
        <v>2.918442018359306E-2</v>
      </c>
      <c r="G19">
        <v>28.5</v>
      </c>
      <c r="H19">
        <v>108.4</v>
      </c>
      <c r="I19">
        <v>7.9</v>
      </c>
      <c r="J19">
        <v>24</v>
      </c>
    </row>
    <row r="20" spans="1:10" x14ac:dyDescent="0.2">
      <c r="A20" t="s">
        <v>11</v>
      </c>
      <c r="B20">
        <v>38738590</v>
      </c>
      <c r="C20">
        <v>761494</v>
      </c>
      <c r="D20">
        <v>412693</v>
      </c>
      <c r="E20" s="2">
        <f t="shared" si="0"/>
        <v>1.9657246172356816E-2</v>
      </c>
      <c r="F20" s="2">
        <f t="shared" si="1"/>
        <v>1.0653278810612364E-2</v>
      </c>
      <c r="G20">
        <v>28.5</v>
      </c>
      <c r="H20">
        <v>108.4</v>
      </c>
      <c r="I20">
        <v>7.9</v>
      </c>
      <c r="J20">
        <v>24</v>
      </c>
    </row>
    <row r="21" spans="1:10" x14ac:dyDescent="0.2">
      <c r="A21" t="s">
        <v>12</v>
      </c>
      <c r="B21">
        <v>1795465</v>
      </c>
      <c r="C21">
        <v>4150</v>
      </c>
      <c r="D21">
        <v>1634</v>
      </c>
      <c r="E21" s="2">
        <f t="shared" si="0"/>
        <v>2.3113789464010714E-3</v>
      </c>
      <c r="F21" s="2">
        <f t="shared" si="1"/>
        <v>9.1007065022153039E-4</v>
      </c>
      <c r="G21">
        <v>28.5</v>
      </c>
      <c r="H21">
        <v>108.4</v>
      </c>
      <c r="I21">
        <v>7.9</v>
      </c>
      <c r="J21">
        <v>24</v>
      </c>
    </row>
    <row r="22" spans="1:10" x14ac:dyDescent="0.2">
      <c r="A22" t="s">
        <v>13</v>
      </c>
      <c r="B22">
        <v>4020159</v>
      </c>
      <c r="C22">
        <v>16856</v>
      </c>
      <c r="D22">
        <v>14669</v>
      </c>
      <c r="E22" s="2">
        <f t="shared" si="0"/>
        <v>4.1928689885151306E-3</v>
      </c>
      <c r="F22" s="2">
        <f t="shared" si="1"/>
        <v>3.648860654516401E-3</v>
      </c>
      <c r="G22">
        <v>28.5</v>
      </c>
      <c r="H22">
        <v>108.4</v>
      </c>
      <c r="I22">
        <v>7.9</v>
      </c>
      <c r="J22">
        <v>24</v>
      </c>
    </row>
    <row r="23" spans="1:10" x14ac:dyDescent="0.2">
      <c r="A23" t="s">
        <v>14</v>
      </c>
      <c r="B23">
        <v>2309760</v>
      </c>
      <c r="C23">
        <v>37940</v>
      </c>
      <c r="D23">
        <v>25523</v>
      </c>
      <c r="E23" s="2">
        <f t="shared" si="0"/>
        <v>1.6425949016348019E-2</v>
      </c>
      <c r="F23" s="2">
        <f t="shared" si="1"/>
        <v>1.1050065807702965E-2</v>
      </c>
      <c r="G23">
        <v>28.5</v>
      </c>
      <c r="H23">
        <v>108.4</v>
      </c>
      <c r="I23">
        <v>7.9</v>
      </c>
      <c r="J23">
        <v>24</v>
      </c>
    </row>
    <row r="24" spans="1:10" x14ac:dyDescent="0.2">
      <c r="A24" t="s">
        <v>15</v>
      </c>
      <c r="B24">
        <v>39822723</v>
      </c>
      <c r="C24">
        <v>185086</v>
      </c>
      <c r="D24">
        <v>184142</v>
      </c>
      <c r="E24" s="2">
        <f t="shared" si="0"/>
        <v>4.6477484726496479E-3</v>
      </c>
      <c r="F24" s="2">
        <f t="shared" si="1"/>
        <v>4.6240434136058453E-3</v>
      </c>
      <c r="G24">
        <v>28.5</v>
      </c>
      <c r="H24">
        <v>108.4</v>
      </c>
      <c r="I24">
        <v>7.9</v>
      </c>
      <c r="J24">
        <v>24</v>
      </c>
    </row>
    <row r="25" spans="1:10" x14ac:dyDescent="0.2">
      <c r="A25" t="s">
        <v>16</v>
      </c>
      <c r="B25">
        <v>1611143</v>
      </c>
      <c r="C25">
        <v>7561</v>
      </c>
      <c r="D25">
        <v>4949</v>
      </c>
      <c r="E25" s="2">
        <f t="shared" si="0"/>
        <v>4.6929415948801564E-3</v>
      </c>
      <c r="F25" s="2">
        <f t="shared" si="1"/>
        <v>3.0717323043330108E-3</v>
      </c>
      <c r="G25">
        <v>28.5</v>
      </c>
      <c r="H25">
        <v>108.4</v>
      </c>
      <c r="I25">
        <v>7.9</v>
      </c>
      <c r="J25">
        <v>24</v>
      </c>
    </row>
    <row r="26" spans="1:10" x14ac:dyDescent="0.2">
      <c r="A26" t="s">
        <v>17</v>
      </c>
      <c r="B26">
        <v>439790</v>
      </c>
      <c r="C26">
        <v>15328</v>
      </c>
      <c r="D26">
        <v>12834</v>
      </c>
      <c r="E26" s="2">
        <f t="shared" si="0"/>
        <v>3.4852998021783127E-2</v>
      </c>
      <c r="F26" s="2">
        <f t="shared" si="1"/>
        <v>2.9182109643238818E-2</v>
      </c>
      <c r="G26">
        <v>28.5</v>
      </c>
      <c r="H26">
        <v>108.4</v>
      </c>
      <c r="I26">
        <v>7.9</v>
      </c>
      <c r="J26">
        <v>24</v>
      </c>
    </row>
    <row r="27" spans="1:10" x14ac:dyDescent="0.2">
      <c r="A27" t="s">
        <v>18</v>
      </c>
      <c r="B27">
        <v>758688</v>
      </c>
      <c r="C27">
        <v>2130</v>
      </c>
      <c r="D27">
        <v>569</v>
      </c>
      <c r="E27" s="2">
        <f t="shared" si="0"/>
        <v>2.8074781728457546E-3</v>
      </c>
      <c r="F27" s="2">
        <f t="shared" si="1"/>
        <v>7.4997891096208191E-4</v>
      </c>
      <c r="G27">
        <v>28.5</v>
      </c>
      <c r="H27">
        <v>108.4</v>
      </c>
      <c r="I27">
        <v>7.9</v>
      </c>
      <c r="J27">
        <v>24</v>
      </c>
    </row>
    <row r="28" spans="1:10" x14ac:dyDescent="0.2">
      <c r="A28" t="s">
        <v>19</v>
      </c>
      <c r="B28">
        <v>313177</v>
      </c>
      <c r="C28">
        <v>2762</v>
      </c>
      <c r="D28">
        <v>2719</v>
      </c>
      <c r="E28" s="2">
        <f t="shared" si="0"/>
        <v>8.8192938817346096E-3</v>
      </c>
      <c r="F28" s="2">
        <f t="shared" si="1"/>
        <v>8.6819913339740793E-3</v>
      </c>
      <c r="G28">
        <v>28.5</v>
      </c>
      <c r="H28">
        <v>108.4</v>
      </c>
      <c r="I28">
        <v>7.9</v>
      </c>
      <c r="J28">
        <v>24</v>
      </c>
    </row>
    <row r="29" spans="1:10" x14ac:dyDescent="0.2">
      <c r="A29" t="s">
        <v>20</v>
      </c>
      <c r="B29">
        <v>8827709</v>
      </c>
      <c r="C29">
        <v>341988</v>
      </c>
      <c r="D29">
        <v>187074</v>
      </c>
      <c r="E29" s="2">
        <f t="shared" si="0"/>
        <v>3.8740289241523479E-2</v>
      </c>
      <c r="F29" s="2">
        <f t="shared" si="1"/>
        <v>2.11916817828952E-2</v>
      </c>
      <c r="G29">
        <v>28.5</v>
      </c>
      <c r="H29">
        <v>108.4</v>
      </c>
      <c r="I29">
        <v>7.9</v>
      </c>
      <c r="J29">
        <v>24</v>
      </c>
    </row>
    <row r="30" spans="1:10" x14ac:dyDescent="0.2">
      <c r="A30" t="s">
        <v>21</v>
      </c>
      <c r="B30">
        <v>25869804</v>
      </c>
      <c r="C30">
        <v>27564</v>
      </c>
      <c r="D30">
        <v>26416</v>
      </c>
      <c r="E30" s="2">
        <f t="shared" si="0"/>
        <v>1.0654893249287857E-3</v>
      </c>
      <c r="F30" s="2">
        <f t="shared" si="1"/>
        <v>1.0211132639427805E-3</v>
      </c>
      <c r="G30">
        <v>28.5</v>
      </c>
      <c r="H30">
        <v>108.4</v>
      </c>
      <c r="I30">
        <v>7.9</v>
      </c>
      <c r="J30">
        <v>24</v>
      </c>
    </row>
    <row r="31" spans="1:10" x14ac:dyDescent="0.2">
      <c r="A31" t="s">
        <v>22</v>
      </c>
      <c r="B31">
        <v>5632644</v>
      </c>
      <c r="C31">
        <v>71607</v>
      </c>
      <c r="D31">
        <v>59738</v>
      </c>
      <c r="E31" s="2">
        <f t="shared" si="0"/>
        <v>1.2712857407640178E-2</v>
      </c>
      <c r="F31" s="2">
        <f t="shared" si="1"/>
        <v>1.0605676481595499E-2</v>
      </c>
      <c r="G31">
        <v>28.5</v>
      </c>
      <c r="H31">
        <v>108.4</v>
      </c>
      <c r="I31">
        <v>7.9</v>
      </c>
      <c r="J31">
        <v>24</v>
      </c>
    </row>
    <row r="32" spans="1:10" x14ac:dyDescent="0.2">
      <c r="A32" t="s">
        <v>23</v>
      </c>
      <c r="B32">
        <v>7611039</v>
      </c>
      <c r="C32">
        <v>23644</v>
      </c>
      <c r="D32">
        <v>8329</v>
      </c>
      <c r="E32" s="2">
        <f t="shared" si="0"/>
        <v>3.1065403816745649E-3</v>
      </c>
      <c r="F32" s="2">
        <f t="shared" si="1"/>
        <v>1.0943315360754293E-3</v>
      </c>
      <c r="G32">
        <v>28.5</v>
      </c>
      <c r="H32">
        <v>108.4</v>
      </c>
      <c r="I32">
        <v>7.9</v>
      </c>
      <c r="J32">
        <v>24</v>
      </c>
    </row>
    <row r="33" spans="1:10" x14ac:dyDescent="0.2">
      <c r="A33" t="s">
        <v>24</v>
      </c>
      <c r="B33">
        <v>4985979</v>
      </c>
      <c r="C33">
        <v>223677</v>
      </c>
      <c r="D33">
        <v>276580</v>
      </c>
      <c r="E33" s="2">
        <f t="shared" si="0"/>
        <v>4.4861199776413015E-2</v>
      </c>
      <c r="F33" s="2">
        <f t="shared" si="1"/>
        <v>5.5471553329847559E-2</v>
      </c>
      <c r="G33">
        <v>28.5</v>
      </c>
      <c r="H33">
        <v>108.4</v>
      </c>
      <c r="I33">
        <v>7.9</v>
      </c>
      <c r="J33">
        <v>24</v>
      </c>
    </row>
    <row r="34" spans="1:10" x14ac:dyDescent="0.2">
      <c r="A34" t="s">
        <v>25</v>
      </c>
      <c r="B34">
        <v>1189457</v>
      </c>
      <c r="C34">
        <v>7914</v>
      </c>
      <c r="D34">
        <v>1546</v>
      </c>
      <c r="E34" s="2">
        <f t="shared" si="0"/>
        <v>6.6534561568850322E-3</v>
      </c>
      <c r="F34" s="2">
        <f t="shared" si="1"/>
        <v>1.2997527443194667E-3</v>
      </c>
      <c r="G34">
        <v>28.5</v>
      </c>
      <c r="H34">
        <v>108.4</v>
      </c>
      <c r="I34">
        <v>7.9</v>
      </c>
      <c r="J34">
        <v>24</v>
      </c>
    </row>
    <row r="35" spans="1:10" x14ac:dyDescent="0.2">
      <c r="A35" t="s">
        <v>26</v>
      </c>
      <c r="B35">
        <v>2493183</v>
      </c>
      <c r="C35">
        <v>4705</v>
      </c>
      <c r="D35">
        <v>4215</v>
      </c>
      <c r="E35" s="2">
        <f t="shared" si="0"/>
        <v>1.8871458693565616E-3</v>
      </c>
      <c r="F35" s="2">
        <f t="shared" si="1"/>
        <v>1.6906099552259099E-3</v>
      </c>
      <c r="G35">
        <v>28.5</v>
      </c>
      <c r="H35">
        <v>108.4</v>
      </c>
      <c r="I35">
        <v>7.9</v>
      </c>
      <c r="J35">
        <v>24</v>
      </c>
    </row>
    <row r="36" spans="1:10" x14ac:dyDescent="0.2">
      <c r="A36" t="s">
        <v>27</v>
      </c>
      <c r="B36">
        <v>31878624</v>
      </c>
      <c r="C36">
        <v>395000</v>
      </c>
      <c r="D36">
        <v>339000</v>
      </c>
      <c r="E36" s="2">
        <f t="shared" si="0"/>
        <v>1.2390748107572021E-2</v>
      </c>
      <c r="F36" s="2">
        <f t="shared" si="1"/>
        <v>1.0634085084726366E-2</v>
      </c>
      <c r="G36">
        <v>28.5</v>
      </c>
      <c r="H36">
        <v>108.4</v>
      </c>
      <c r="I36">
        <v>7.9</v>
      </c>
      <c r="J36">
        <v>24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2023-05-11T13:23:28Z</dcterms:created>
  <dcterms:modified xsi:type="dcterms:W3CDTF">2023-05-11T16:02:38Z</dcterms:modified>
</cp:coreProperties>
</file>
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codeName="ThisWorkbook" defaultThemeVersion="166925"/>
  <mc:AlternateContent xmlns:mc="http://schemas.openxmlformats.org/markup-compatibility/2006">
    <mc:Choice Requires="x15">
      <x15ac:absPath xmlns:x15ac="http://schemas.microsoft.com/office/spreadsheetml/2010/11/ac" url="/Users/scottjeen/phd/research/CUBES/src/cubes/data/housing_stock/"/>
    </mc:Choice>
  </mc:AlternateContent>
  <xr:revisionPtr revIDLastSave="0" documentId="13_ncr:1_{BD7070C1-EE48-C94B-806F-C19287FCA0F7}" xr6:coauthVersionLast="47" xr6:coauthVersionMax="47" xr10:uidLastSave="{00000000-0000-0000-0000-000000000000}"/>
  <bookViews>
    <workbookView xWindow="3800" yWindow="3400" windowWidth="25600" windowHeight="14560" tabRatio="502" xr2:uid="{16B56DFA-C6B2-4B97-A204-872E546EA583}"/>
  </bookViews>
  <sheets>
    <sheet name="Energy_Systems_DB" sheetId="5" r:id="rId1"/>
    <sheet name="Systems_list_data" sheetId="3" r:id="rId2"/>
  </sheets>
  <definedNames>
    <definedName name="_xlnm._FilterDatabase" localSheetId="0" hidden="1">Energy_Systems_DB!$A$1:$AH$454</definedName>
    <definedName name="DHW_systems_G1">Systems_list_data!$C$29:$C$40</definedName>
    <definedName name="DHW_systems_G2">Systems_list_data!$H$29:$H$36</definedName>
    <definedName name="DHW_systems_G3">Systems_list_data!$M$29:$M$36</definedName>
    <definedName name="DHW_systems_G4">Systems_list_data!$R$29:$R$39</definedName>
    <definedName name="Dimension_types">Systems_list_data!$I$3:$I$5</definedName>
    <definedName name="Fuel_types">Systems_list_data!$J$3:$J$8</definedName>
    <definedName name="Heating_systems_G1">Systems_list_data!$C$11:$C$25</definedName>
    <definedName name="Heating_systems_G2">Systems_list_data!$H$11:$H$20</definedName>
    <definedName name="Heating_systems_G3">Systems_list_data!$M$11:$M$18</definedName>
    <definedName name="Heating_systems_G4">Systems_list_data!$R$11:$R$20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7" i="3" l="1"/>
  <c r="F29" i="3"/>
  <c r="P29" i="3"/>
  <c r="P31" i="3"/>
  <c r="U31" i="3"/>
  <c r="U29" i="3"/>
  <c r="U33" i="3"/>
  <c r="U30" i="3"/>
  <c r="F33" i="3"/>
  <c r="F32" i="3"/>
  <c r="P33" i="3"/>
  <c r="P32" i="3"/>
  <c r="P35" i="3"/>
  <c r="F39" i="3"/>
  <c r="F12" i="3" l="1"/>
  <c r="F11" i="3"/>
  <c r="K12" i="3"/>
  <c r="U11" i="3"/>
  <c r="P12" i="3"/>
  <c r="P14" i="3"/>
  <c r="P18" i="3"/>
  <c r="F22" i="3"/>
  <c r="F16" i="3"/>
  <c r="F15" i="3"/>
  <c r="P30" i="3" l="1"/>
  <c r="P15" i="3"/>
  <c r="K13" i="3"/>
  <c r="K29" i="3"/>
  <c r="U13" i="3"/>
  <c r="U14" i="3"/>
  <c r="U15" i="3"/>
  <c r="U16" i="3"/>
  <c r="U17" i="3"/>
  <c r="U18" i="3"/>
  <c r="U12" i="3"/>
  <c r="U19" i="3"/>
  <c r="U20" i="3"/>
  <c r="U32" i="3"/>
  <c r="U36" i="3"/>
  <c r="U37" i="3"/>
  <c r="P13" i="3"/>
  <c r="P17" i="3"/>
  <c r="K35" i="3"/>
  <c r="K15" i="3"/>
  <c r="K19" i="3"/>
  <c r="K11" i="3"/>
  <c r="U35" i="3" l="1"/>
  <c r="U34" i="3"/>
  <c r="U39" i="3"/>
  <c r="U38" i="3"/>
  <c r="P34" i="3"/>
  <c r="K30" i="3"/>
  <c r="K31" i="3"/>
  <c r="K36" i="3"/>
  <c r="K33" i="3"/>
  <c r="K32" i="3"/>
  <c r="K34" i="3"/>
  <c r="F35" i="3"/>
  <c r="F34" i="3"/>
  <c r="F38" i="3"/>
  <c r="F31" i="3"/>
  <c r="F30" i="3"/>
  <c r="F36" i="3"/>
  <c r="P11" i="3"/>
  <c r="P16" i="3"/>
  <c r="K16" i="3"/>
  <c r="K14" i="3"/>
  <c r="K18" i="3"/>
  <c r="K17" i="3"/>
  <c r="K20" i="3"/>
  <c r="F17" i="3"/>
  <c r="F21" i="3"/>
  <c r="F20" i="3"/>
  <c r="F19" i="3"/>
  <c r="F18" i="3"/>
  <c r="F25" i="3"/>
  <c r="F14" i="3"/>
  <c r="F13" i="3"/>
  <c r="F24" i="3"/>
  <c r="F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tc={17979976-0128-4D39-935A-B23AC5C156E2}</author>
    <author>tc={41503B2D-9A99-40C5-95F2-1C86FD1A4046}</author>
    <author>tc={98640530-B731-4A82-A59C-5D9DC730DE64}</author>
    <author>tc={C646F204-E484-439C-9DDF-97B91580892F}</author>
    <author>tc={20478FA1-38A1-49F6-8813-A92463DD9B62}</author>
    <author>tc={A6D31A9C-4EC2-491F-B90E-CD577246981B}</author>
    <author>tc={78EAE066-080A-43A0-A53E-55100AEDB28D}</author>
    <author>tc={CA6C3EDC-FFFE-434E-8DCE-AA7EFFD71B64}</author>
    <author>tc={D5226049-A7FF-490A-914A-377F1DA10040}</author>
    <author>tc={15175DED-4ABA-4C0D-888E-2BA36DC0DD0A}</author>
    <author>tc={418B8251-D5CB-422F-A7F5-531950B89109}</author>
    <author>tc={9E6FF253-FC63-49B6-BCC5-671DFF05D886}</author>
    <author>tc={3E253C95-30B4-49FE-8E94-FD92DC98A833}</author>
    <author>tc={96899DE2-9B40-429E-9809-F5D869A576ED}</author>
    <author>tc={1E6B2C57-4A72-4303-A239-A13AF7E3371F}</author>
    <author>tc={9BD3B7AF-9260-4CDA-B7F5-28B583D2F0D8}</author>
    <author>tc={4BD25CD8-6470-4844-9E0E-4CA74F58354D}</author>
    <author>tc={3D86645E-F625-4DCF-81F0-1ACD71EB71DA}</author>
    <author>tc={4D0E5357-98E8-4088-9C00-D3F50C0299E6}</author>
    <author>tc={BC2A830C-11B3-4630-A56E-326C625D1366}</author>
    <author>tc={7C4728B8-A878-498E-B07D-EAC27B949119}</author>
    <author>tc={5F25A048-52C8-4449-B6B9-F12A634C4450}</author>
    <author>tc={83F0352A-4455-42AC-B45D-ED9134CEBAC7}</author>
    <author>tc={C073B51F-150A-4250-8BAC-C02B9FA0FCA0}</author>
    <author>tc={19167536-6C44-4B04-8F1C-4C00966188A5}</author>
    <author>tc={0F3ABF8D-31D5-4595-B03A-AAC1218E5804}</author>
    <author>tc={6253F2E5-514A-43FB-BDD3-D701A229C32C}</author>
    <author>tc={83F88E84-80E3-4C22-AEF8-3A09F14850CF}</author>
    <author>tc={4C9F0F4C-38D2-4731-814F-D9318184E93C}</author>
    <author>tc={1EB38036-573E-4FCB-B84E-1CF18F653233}</author>
    <author>tc={F07A1496-EC5E-4556-B46E-274B2C3064AE}</author>
    <author>tc={93F8626D-74BD-42FB-8870-AC86F141C685}</author>
    <author>tc={8C35A644-C735-4832-83BF-5B9F175009CF}</author>
    <author>tc={B3E7CA18-3B70-4AF3-85BE-7F7E3B078376}</author>
    <author>tc={9B10FD16-86FB-45E1-B03B-DECCABED8775}</author>
    <author>tc={CF6C79C0-0910-40C8-91F4-20D10FE158C6}</author>
    <author>tc={DA0F5380-2E03-4940-AA48-BBBAD82D7E26}</author>
    <author>tc={FBFE35FD-1FAF-49AC-A234-65750C7513CA}</author>
    <author>tc={B0B72DAD-60B2-4685-B527-08D8DC947EDB}</author>
    <author>tc={0BAA1609-CCC8-476E-BF95-58ED56D0E067}</author>
    <author>tc={B678BC0D-91DA-4F3E-8D35-56ECDD5EA7B4}</author>
    <author>tc={F6588886-5E62-4525-848C-A18F01D938B6}</author>
    <author>tc={680CBB12-D0D2-4D27-A993-25E6E9E8AB83}</author>
    <author>tc={8FB236DE-8683-4D6E-8862-FD369BE58769}</author>
    <author>tc={5AADBC03-89A2-41FB-9C65-CBE5B82C22AF}</author>
    <author>tc={C32E79B3-3904-4A80-8515-4079AF0A02B8}</author>
    <author>tc={09FEE07E-93CA-4C9F-B5A9-DC241A119041}</author>
    <author>tc={2A81D710-FF7E-4286-A28B-0923F112FC71}</author>
    <author>tc={A77444D3-9C42-41F9-B864-1A1DBA6FC759}</author>
    <author>tc={0E34A2A9-7F6E-4B5F-889E-31BB10FB00F3}</author>
    <author>tc={5BF57663-BF70-4E15-B6DA-B60EB5D44638}</author>
    <author>tc={73AFA878-E084-45CE-88FD-933CD242E8C4}</author>
    <author>tc={35AC6896-A7C5-4268-9A9C-4A428244B5C2}</author>
    <author>tc={5529D534-F1B6-44BF-B583-84E69E2FE7AD}</author>
    <author>tc={6EFE5839-0183-4F17-96EB-D047BEC15FE4}</author>
    <author>tc={8CDA551A-9F92-419D-93D9-1C33D80A07CE}</author>
    <author>tc={983A3F6C-EB07-4A09-A828-FC3FCFFAF263}</author>
    <author>tc={58DA10DD-E1DE-496C-896E-2AC67C176FD5}</author>
    <author>tc={EE92E29B-AE93-4FFD-9CAF-D57CD5211007}</author>
    <author>tc={DB08086F-3097-43E3-9955-C945BABE5484}</author>
    <author>tc={D0A8BB68-5088-4B48-A98E-158024F52174}</author>
    <author>tc={FDB1DA03-4A67-4491-B88D-0856114725A2}</author>
    <author>tc={0DBCB201-D223-476C-ADBF-BDD80C5BDEAE}</author>
    <author>tc={C9929E93-0F79-41C0-A278-BBD69748EDCA}</author>
    <author>tc={4BF2FAAE-3B14-4DB7-A65E-C131E403393D}</author>
    <author>tc={F4F6E518-3D4F-4DDE-AAE8-88AB5A83FDED}</author>
    <author>tc={77C3B169-4C06-45A5-87ED-3F621BB725D4}</author>
    <author>tc={61516BFA-71AA-4D58-BB24-48F2F9A2F672}</author>
    <author>tc={388E8922-821B-47CC-9BA4-A556A4D2A9BF}</author>
    <author>tc={05218B1F-3026-47E8-B720-CEE201C16847}</author>
    <author>tc={B78AD73E-66B8-4513-8C6C-B4D4EED1F8DC}</author>
    <author>tc={C1E52AA6-05A8-4373-BBB5-095CA654C678}</author>
    <author>tc={D22492AF-312C-469D-B164-E32BB0C01DEB}</author>
    <author>tc={B0C94992-F1A2-489E-9D60-7C165AA4AF89}</author>
    <author>tc={242DD620-A55A-4192-9D43-3715A3B584B9}</author>
    <author>tc={CE1C301C-28ED-41D9-9A7F-ED91910CE8DE}</author>
    <author>tc={F3AAD9DE-A8DC-400E-873D-2787EB57AD74}</author>
    <author>tc={9F6C102D-5841-4A63-A645-14B7A8FF62EE}</author>
    <author>tc={267CCEBD-9978-4C66-A908-48050467C581}</author>
  </authors>
  <commentList>
    <comment ref="V7" authorId="0" shapeId="0" xr:uid="{17979976-0128-4D39-935A-B23AC5C156E2}">
      <text>
        <t>[Threaded comment]
Your version of Excel allows you to read this threaded comment; however, any edits to it will get removed if the file is opened in a newer version of Excel. Learn more: https://go.microsoft.com/fwlink/?linkid=870924
Comment:
    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
      </text>
    </comment>
    <comment ref="V28" authorId="1" shapeId="0" xr:uid="{41503B2D-9A99-40C5-95F2-1C86FD1A4046}">
      <text>
        <t>[Threaded comment]
Your version of Excel allows you to read this threaded comment; however, any edits to it will get removed if the file is opened in a newer version of Excel. Learn more: https://go.microsoft.com/fwlink/?linkid=870924
Comment:
    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
      </text>
    </comment>
    <comment ref="V29" authorId="2" shapeId="0" xr:uid="{98640530-B731-4A82-A59C-5D9DC730DE64}">
      <text>
        <t>[Threaded comment]
Your version of Excel allows you to read this threaded comment; however, any edits to it will get removed if the file is opened in a newer version of Excel. Learn more: https://go.microsoft.com/fwlink/?linkid=870924
Comment:
    Condensing boilers are most widespread, being widespread individual an central ones, both fueloil and gas-powered. Individual fueloil ones are the only present in TABULA, so they feature as 50%, whereas central and individual gas ones take 25% each</t>
      </text>
    </comment>
    <comment ref="V34" authorId="3" shapeId="0" xr:uid="{C646F204-E484-439C-9DDF-97B91580892F}">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39" authorId="4" shapeId="0" xr:uid="{20478FA1-38A1-49F6-8813-A92463DD9B62}">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61" authorId="5" shapeId="0" xr:uid="{A6D31A9C-4EC2-491F-B90E-CD577246981B}">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65" authorId="6" shapeId="0" xr:uid="{78EAE066-080A-43A0-A53E-55100AEDB28D}">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71" authorId="7" shapeId="0" xr:uid="{CA6C3EDC-FFFE-434E-8DCE-AA7EFFD71B64}">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72" authorId="8" shapeId="0" xr:uid="{D5226049-A7FF-490A-914A-377F1DA10040}">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78" authorId="9" shapeId="0" xr:uid="{15175DED-4ABA-4C0D-888E-2BA36DC0DD0A}">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79" authorId="10" shapeId="0" xr:uid="{418B8251-D5CB-422F-A7F5-531950B8910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85" authorId="11" shapeId="0" xr:uid="{9E6FF253-FC63-49B6-BCC5-671DFF05D886}">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86" authorId="12" shapeId="0" xr:uid="{3E253C95-30B4-49FE-8E94-FD92DC98A833}">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 ref="AA97" authorId="13" shapeId="0" xr:uid="{96899DE2-9B40-429E-9809-F5D869A576ED}">
      <text>
        <t>[Threaded comment]
Your version of Excel allows you to read this threaded comment; however, any edits to it will get removed if the file is opened in a newer version of Excel. Learn more: https://go.microsoft.com/fwlink/?linkid=870924
Comment:
    They are widespread but their contribution is considered half of that of mediterranean countrues, so a 25% is considered</t>
      </text>
    </comment>
    <comment ref="V115" authorId="14" shapeId="0" xr:uid="{1E6B2C57-4A72-4303-A239-A13AF7E3371F}">
      <text>
        <t>[Threaded comment]
Your version of Excel allows you to read this threaded comment; however, any edits to it will get removed if the file is opened in a newer version of Excel. Learn more: https://go.microsoft.com/fwlink/?linkid=870924
Comment:
    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
      </text>
    </comment>
    <comment ref="AH115" authorId="15" shapeId="0" xr:uid="{9BD3B7AF-9260-4CDA-B7F5-28B583D2F0D8}">
      <text>
        <t>[Threaded comment]
Your version of Excel allows you to read this threaded comment; however, any edits to it will get removed if the file is opened in a newer version of Excel. Learn more: https://go.microsoft.com/fwlink/?linkid=870924
Comment:
    10 out of that roughly 50-year period has space cooling systems (2011-2021), therefore, a 20% is assigned</t>
      </text>
    </comment>
    <comment ref="V116" authorId="16" shapeId="0" xr:uid="{4BD25CD8-6470-4844-9E0E-4CA74F58354D}">
      <text>
        <t>[Threaded comment]
Your version of Excel allows you to read this threaded comment; however, any edits to it will get removed if the file is opened in a newer version of Excel. Learn more: https://go.microsoft.com/fwlink/?linkid=870924
Comment:
    To clarify: Heat pumps are the "most widespread" technology on DHW while central heating and central are merely "widespread"</t>
      </text>
    </comment>
    <comment ref="AB123" authorId="17" shapeId="0" xr:uid="{3D86645E-F625-4DCF-81F0-1ACD71EB71DA}">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W133" authorId="18" shapeId="0" xr:uid="{4D0E5357-98E8-4088-9C00-D3F50C0299E6}">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G136" authorId="19" shapeId="0" xr:uid="{BC2A830C-11B3-4630-A56E-326C625D1366}">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136" authorId="20" shapeId="0" xr:uid="{7C4728B8-A878-498E-B07D-EAC27B949119}">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V149" authorId="21" shapeId="0" xr:uid="{5F25A048-52C8-4449-B6B9-F12A634C4450}">
      <text>
        <t>[Threaded comment]
Your version of Excel allows you to read this threaded comment; however, any edits to it will get removed if the file is opened in a newer version of Excel. Learn more: https://go.microsoft.com/fwlink/?linkid=870924
Comment:
    both these boilers and solar collectors are "most widespread"</t>
      </text>
    </comment>
    <comment ref="G158" authorId="22" shapeId="0" xr:uid="{83F0352A-4455-42AC-B45D-ED9134CEBAC7}">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159" authorId="23" shapeId="0" xr:uid="{C073B51F-150A-4250-8BAC-C02B9FA0FCA0}">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172" authorId="24" shapeId="0" xr:uid="{19167536-6C44-4B04-8F1C-4C00966188A5}">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205" authorId="25" shapeId="0" xr:uid="{0F3ABF8D-31D5-4595-B03A-AAC1218E5804}">
      <text>
        <t>[Threaded comment]
Your version of Excel allows you to read this threaded comment; however, any edits to it will get removed if the file is opened in a newer version of Excel. Learn more: https://go.microsoft.com/fwlink/?linkid=870924
Comment:
    from 1970 until 1974 (4 out og 6 yers of the period) electric heaters dominate--&gt;66,66%</t>
      </text>
    </comment>
    <comment ref="V210" authorId="26" shapeId="0" xr:uid="{6253F2E5-514A-43FB-BDD3-D701A229C32C}">
      <text>
        <t>[Threaded comment]
Your version of Excel allows you to read this threaded comment; however, any edits to it will get removed if the file is opened in a newer version of Excel. Learn more: https://go.microsoft.com/fwlink/?linkid=870924
Comment:
    4 out of 6 years pre-2010 --&gt; individual non-condensing boilers--&gt;66,66%</t>
      </text>
    </comment>
    <comment ref="G249" authorId="27" shapeId="0" xr:uid="{83F88E84-80E3-4C22-AEF8-3A09F14850CF}">
      <text>
        <t>[Threaded comment]
Your version of Excel allows you to read this threaded comment; however, any edits to it will get removed if the file is opened in a newer version of Excel. Learn more: https://go.microsoft.com/fwlink/?linkid=870924
Comment:
    For this period from hotmaps Heat pumps are "most widespread" and liquid fuels are "widespread"</t>
      </text>
    </comment>
    <comment ref="V263" authorId="28" shapeId="0" xr:uid="{4C9F0F4C-38D2-4731-814F-D9318184E93C}">
      <text>
        <t>[Threaded comment]
Your version of Excel allows you to read this threaded comment; however, any edits to it will get removed if the file is opened in a newer version of Excel. Learn more: https://go.microsoft.com/fwlink/?linkid=870924
Comment:
    out of the 16 years of this period,5 are exclusively of non condensing boiler and 11 of 50/50 with solar collectors. Therefore, 10,5/15=70%--&gt;66,67%</t>
      </text>
    </comment>
    <comment ref="V271" authorId="29" shapeId="0" xr:uid="{1EB38036-573E-4FCB-B84E-1CF18F653233}">
      <text>
        <t>[Threaded comment]
Your version of Excel allows you to read this threaded comment; however, any edits to it will get removed if the file is opened in a newer version of Excel. Learn more: https://go.microsoft.com/fwlink/?linkid=870924
Comment:
    Same than tof SFHs but with individual and central instead that only central non-condensing gas boilers</t>
      </text>
    </comment>
    <comment ref="V278" authorId="30" shapeId="0" xr:uid="{F07A1496-EC5E-4556-B46E-274B2C3064AE}">
      <text>
        <t>[Threaded comment]
Your version of Excel allows you to read this threaded comment; however, any edits to it will get removed if the file is opened in a newer version of Excel. Learn more: https://go.microsoft.com/fwlink/?linkid=870924
Comment:
    14 years, 9 dominated by indiv. non-condensing boilers and 5 shared by condensing boilers and sollar collectors;--&gt;9/14=64,2%--&gt;60% and 20% for the other two (due to the resolution limitations established)</t>
      </text>
    </comment>
    <comment ref="G280" authorId="31" shapeId="0" xr:uid="{93F8626D-74BD-42FB-8870-AC86F141C685}">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280" authorId="32" shapeId="0" xr:uid="{8C35A644-C735-4832-83BF-5B9F175009CF}">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290" authorId="33" shapeId="0" xr:uid="{B3E7CA18-3B70-4AF3-85BE-7F7E3B078376}">
      <text>
        <t>[Threaded comment]
Your version of Excel allows you to read this threaded comment; however, any edits to it will get removed if the file is opened in a newer version of Excel. Learn more: https://go.microsoft.com/fwlink/?linkid=870924
Comment:
    until 1945 only stoves, from then until 1964 liquid fueloil boilers. A 2/3-1/3 proportion has been considered</t>
      </text>
    </comment>
    <comment ref="V290" authorId="34" shapeId="0" xr:uid="{9B10FD16-86FB-45E1-B03B-DECCABED8775}">
      <text>
        <t>[Threaded comment]
Your version of Excel allows you to read this threaded comment; however, any edits to it will get removed if the file is opened in a newer version of Excel. Learn more: https://go.microsoft.com/fwlink/?linkid=870924
Comment:
    Dominant system until 1945. Until 1969 electric individual heaters prevail as the sole "most widespread". Considered a 50/50 proportion</t>
      </text>
    </comment>
    <comment ref="C292" authorId="35" shapeId="0" xr:uid="{CF6C79C0-0910-40C8-91F4-20D10FE158C6}">
      <text>
        <t>[Threaded comment]
Your version of Excel allows you to read this threaded comment; however, any edits to it will get removed if the file is opened in a newer version of Excel. Learn more: https://go.microsoft.com/fwlink/?linkid=870924
Comment:
    No central stoves found in tabula, only individual ones. In any case, the efficiency shouldn't vary greatly</t>
      </text>
    </comment>
    <comment ref="G292" authorId="36" shapeId="0" xr:uid="{DA0F5380-2E03-4940-AA48-BBBAD82D7E26}">
      <text>
        <t>[Threaded comment]
Your version of Excel allows you to read this threaded comment; however, any edits to it will get removed if the file is opened in a newer version of Excel. Learn more: https://go.microsoft.com/fwlink/?linkid=870924
Comment:
    central fueloil non-condensing boilers were dominant until 1979, and then individual and central gas boilers took over as "most widespread" until 1991. A 33% for all has been then determined, as 5 years makes up roughly 1/3 of the duration of this period</t>
      </text>
    </comment>
    <comment ref="H292" authorId="37" shapeId="0" xr:uid="{FBFE35FD-1FAF-49AC-A234-65750C7513CA}">
      <text>
        <t>[Threaded comment]
Your version of Excel allows you to read this threaded comment; however, any edits to it will get removed if the file is opened in a newer version of Excel. Learn more: https://go.microsoft.com/fwlink/?linkid=870924
Comment:
    Only soild fuel individual stove available from TABULA, mots similar match</t>
      </text>
    </comment>
    <comment ref="G293" authorId="38" shapeId="0" xr:uid="{B0B72DAD-60B2-4685-B527-08D8DC947EDB}">
      <text>
        <t>[Threaded comment]
Your version of Excel allows you to read this threaded comment; however, any edits to it will get removed if the file is opened in a newer version of Excel. Learn more: https://go.microsoft.com/fwlink/?linkid=870924
Comment:
    from 1992 until 2000 stoves of solid fuels are most widespread, and durin the 2000-2005 period electric heating is. Therefore a 2/3-1/3 ratio has been assigned</t>
      </text>
    </comment>
    <comment ref="AH293" authorId="39" shapeId="0" xr:uid="{0BAA1609-CCC8-476E-BF95-58ED56D0E067}">
      <text>
        <t>[Threaded comment]
Your version of Excel allows you to read this threaded comment; however, any edits to it will get removed if the file is opened in a newer version of Excel. Learn more: https://go.microsoft.com/fwlink/?linkid=870924
Comment:
    5 out of the 13 years of this period have "Most cases YES" in Hotmaps, therefore 5/13=38,4%--&gt;40</t>
      </text>
    </comment>
    <comment ref="G294" authorId="40" shapeId="0" xr:uid="{B678BC0D-91DA-4F3E-8D35-56ECDD5EA7B4}">
      <text>
        <t>[Threaded comment]
Your version of Excel allows you to read this threaded comment; however, any edits to it will get removed if the file is opened in a newer version of Excel. Learn more: https://go.microsoft.com/fwlink/?linkid=870924
Comment:
    from 2005 to 2010, electring heating is most widespread, then after 2011 it's central heat pumps</t>
      </text>
    </comment>
    <comment ref="V294" authorId="41" shapeId="0" xr:uid="{F6588886-5E62-4525-848C-A18F01D938B6}">
      <text>
        <t>[Threaded comment]
Your version of Excel allows you to read this threaded comment; however, any edits to it will get removed if the file is opened in a newer version of Excel. Learn more: https://go.microsoft.com/fwlink/?linkid=870924
Comment:
    This period is the exact average of the period above and the period below, considering the periods defined in HOTMAPS and here. For resolultion reasons, this average is rounded up to the 2014-2021 period values</t>
      </text>
    </comment>
    <comment ref="AB294" authorId="42" shapeId="0" xr:uid="{680CBB12-D0D2-4D27-A993-25E6E9E8AB83}">
      <text>
        <t>[Threaded comment]
Your version of Excel allows you to read this threaded comment; however, any edits to it will get removed if the file is opened in a newer version of Excel. Learn more: https://go.microsoft.com/fwlink/?linkid=870924
Comment:
    Due to resolution limitations, instead of 10% for individual and 10% of central condensing boilers featuring here, 20% of individual ones were chosen as it is a SFH (in case it were a MFH or ABL, central would have prevailed)</t>
      </text>
    </comment>
    <comment ref="V295" authorId="43" shapeId="0" xr:uid="{8FB236DE-8683-4D6E-8862-FD369BE58769}">
      <text>
        <t>[Threaded comment]
Your version of Excel allows you to read this threaded comment; however, any edits to it will get removed if the file is opened in a newer version of Excel. Learn more: https://go.microsoft.com/fwlink/?linkid=870924
Comment:
    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
      </text>
    </comment>
    <comment ref="W296" authorId="44" shapeId="0" xr:uid="{5AADBC03-89A2-41FB-9C65-CBE5B82C22AF}">
      <text>
        <t>[Threaded comment]
Your version of Excel allows you to read this threaded comment; however, any edits to it will get removed if the file is opened in a newer version of Excel. Learn more: https://go.microsoft.com/fwlink/?linkid=870924
Comment:
    No central electric heaters featuring in TABULA. individual ones take its share,that would correspond to the 25%. Therefore, 50% for individual ones appears here</t>
      </text>
    </comment>
    <comment ref="V297" authorId="45" shapeId="0" xr:uid="{C32E79B3-3904-4A80-8515-4079AF0A02B8}">
      <text>
        <t>[Threaded comment]
Your version of Excel allows you to read this threaded comment; however, any edits to it will get removed if the file is opened in a newer version of Excel. Learn more: https://go.microsoft.com/fwlink/?linkid=870924
Comment:
    As this period is right in-between two HOTMAPS periods, half of the above period's shares are attributed in this one + the half of the 100% share of electric heaters corresponding to the 1970-1974 period. Thus,  a 75/25 ratio is obtained</t>
      </text>
    </comment>
    <comment ref="G298" authorId="46" shapeId="0" xr:uid="{09FEE07E-93CA-4C9F-B5A9-DC241A119041}">
      <text>
        <t>[Threaded comment]
Your version of Excel allows you to read this threaded comment; however, any edits to it will get removed if the file is opened in a newer version of Excel. Learn more: https://go.microsoft.com/fwlink/?linkid=870924
Comment:
    one third of the period is that of 1970-1979 in hotmaps and the rest 2/3 is assigned to the condensing central boilers dominated 1980-1989 period</t>
      </text>
    </comment>
    <comment ref="G299" authorId="47" shapeId="0" xr:uid="{2A81D710-FF7E-4286-A28B-0923F112FC71}">
      <text>
        <t>[Threaded comment]
Your version of Excel allows you to read this threaded comment; however, any edits to it will get removed if the file is opened in a newer version of Excel. Learn more: https://go.microsoft.com/fwlink/?linkid=870924
Comment:
    2/3belong to the 1991-1999 period dominated by electric heaters, then the remaining third to central non-condensing gas boilers era of 2000-2010</t>
      </text>
    </comment>
    <comment ref="H303" authorId="48" shapeId="0" xr:uid="{A77444D3-9C42-41F9-B864-1A1DBA6FC759}">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303" authorId="49" shapeId="0" xr:uid="{0E34A2A9-7F6E-4B5F-889E-31BB10FB00F3}">
      <text>
        <t>[Threaded comment]
Your version of Excel allows you to read this threaded comment; however, any edits to it will get removed if the file is opened in a newer version of Excel. Learn more: https://go.microsoft.com/fwlink/?linkid=870924
Comment:
    as stated above, this period is in the middle of two different hotmaps periods where two different systems dominate.</t>
      </text>
    </comment>
    <comment ref="G304" authorId="50" shapeId="0" xr:uid="{5BF57663-BF70-4E15-B6DA-B60EB5D44638}">
      <text>
        <t>[Threaded comment]
Your version of Excel allows you to read this threaded comment; however, any edits to it will get removed if the file is opened in a newer version of Excel. Learn more: https://go.microsoft.com/fwlink/?linkid=870924
Comment:
    2/3 of the 1974-1991 period assumed to be comprised by the hotmaps 1980-1989 period where individual gas condensing boilers prevailed as "most widespread"</t>
      </text>
    </comment>
    <comment ref="H304" authorId="51" shapeId="0" xr:uid="{73AFA878-E084-45CE-88FD-933CD242E8C4}">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304" authorId="52" shapeId="0" xr:uid="{35AC6896-A7C5-4268-9A9C-4A428244B5C2}">
      <text>
        <t>[Threaded comment]
Your version of Excel allows you to read this threaded comment; however, any edits to it will get removed if the file is opened in a newer version of Excel. Learn more: https://go.microsoft.com/fwlink/?linkid=870924
Comment:
    11 out the 16 years of this period are dominated by individual non condensing gas boilers: 68,8%--&gt;66%</t>
      </text>
    </comment>
    <comment ref="V306" authorId="53" shapeId="0" xr:uid="{5529D534-F1B6-44BF-B583-84E69E2FE7AD}">
      <text>
        <t>[Threaded comment]
Your version of Excel allows you to read this threaded comment; however, any edits to it will get removed if the file is opened in a newer version of Excel. Learn more: https://go.microsoft.com/fwlink/?linkid=870924
Comment:
    this period is in the middle of two of HOTMAPS, non condensing until 2010 and condensing after. 50/50 then</t>
      </text>
    </comment>
    <comment ref="G308" authorId="54" shapeId="0" xr:uid="{6EFE5839-0183-4F17-96EB-D047BEC15FE4}">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308" authorId="55" shapeId="0" xr:uid="{8CDA551A-9F92-419D-93D9-1C33D80A07CE}">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322" authorId="56" shapeId="0" xr:uid="{983A3F6C-EB07-4A09-A828-FC3FCFFAF263}">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323" authorId="57" shapeId="0" xr:uid="{58DA10DD-E1DE-496C-896E-2AC67C176FD5}">
      <text>
        <t>[Threaded comment]
Your version of Excel allows you to read this threaded comment; however, any edits to it will get removed if the file is opened in a newer version of Excel. Learn more: https://go.microsoft.com/fwlink/?linkid=870924
Comment:
    out of the 14 years that that period lasts, 4 are exclusively of non-condensing gas boilers and the remaining 10 are 50/50 with solar collectors. Therefore: 9/14=64,3%--&gt;66,7%</t>
      </text>
    </comment>
    <comment ref="V334" authorId="58" shapeId="0" xr:uid="{EE92E29B-AE93-4FFD-9CAF-D57CD5211007}">
      <text>
        <t>[Threaded comment]
Your version of Excel allows you to read this threaded comment; however, any edits to it will get removed if the file is opened in a newer version of Excel. Learn more: https://go.microsoft.com/fwlink/?linkid=870924
Comment:
    20 out of the 26 yers of this period are dominated by indiv. gas non-condensing boilers: 20/26=76,9%--&gt;75%. The remaining 25% goes to condensing boilers</t>
      </text>
    </comment>
    <comment ref="R336" authorId="59" shapeId="0" xr:uid="{DB08086F-3097-43E3-9955-C945BABE5484}">
      <text>
        <t>[Threaded comment]
Your version of Excel allows you to read this threaded comment; however, any edits to it will get removed if the file is opened in a newer version of Excel. Learn more: https://go.microsoft.com/fwlink/?linkid=870924
Comment:
    TABULA confirms that condensing boilers are dominant in every typology, as for SFHs and MFHs the only definition provided was "combined"</t>
      </text>
    </comment>
    <comment ref="C361" authorId="60" shapeId="0" xr:uid="{D0A8BB68-5088-4B48-A98E-158024F52174}">
      <text>
        <t>[Threaded comment]
Your version of Excel allows you to read this threaded comment; however, any edits to it will get removed if the file is opened in a newer version of Excel. Learn more: https://go.microsoft.com/fwlink/?linkid=870924
Comment:
    Hotmaps states that the district heating stations are gas-powered for MFHs and ABLs, but it does it in grey-colored cells as a hypothesis: Checking TABULA, these stations are coal-powered in all cases, so coal district heating stations were assigned instead</t>
      </text>
    </comment>
    <comment ref="R361" authorId="61" shapeId="0" xr:uid="{FDB1DA03-4A67-4491-B88D-0856114725A2}">
      <text>
        <t>[Threaded comment]
Your version of Excel allows you to read this threaded comment; however, any edits to it will get removed if the file is opened in a newer version of Excel. Learn more: https://go.microsoft.com/fwlink/?linkid=870924
Comment:
    TABULA confirms coal-powered is actually the current system used for district heating in the country for every MFH and ABL typology</t>
      </text>
    </comment>
    <comment ref="G377" authorId="62" shapeId="0" xr:uid="{0DBCB201-D223-476C-ADBF-BDD80C5BDEAE}">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378" authorId="63" shapeId="0" xr:uid="{C9929E93-0F79-41C0-A278-BBD69748EDCA}">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407" authorId="64" shapeId="0" xr:uid="{4BF2FAAE-3B14-4DB7-A65E-C131E403393D}">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407" authorId="65" shapeId="0" xr:uid="{F4F6E518-3D4F-4DDE-AAE8-88AB5A83FDED}">
      <text>
        <t>[Threaded comment]
Your version of Excel allows you to read this threaded comment; however, any edits to it will get removed if the file is opened in a newer version of Excel. Learn more: https://go.microsoft.com/fwlink/?linkid=870924
Comment:
    electricty and central heat pumps are both the most widespread fuel and technology, being non-condensing boilers "widespread" and gas and fueloil both "less widespread". A 60/20/20 proportion was chosen</t>
      </text>
    </comment>
    <comment ref="G417" authorId="66" shapeId="0" xr:uid="{77C3B169-4C06-45A5-87ED-3F621BB725D4}">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418" authorId="67" shapeId="0" xr:uid="{61516BFA-71AA-4D58-BB24-48F2F9A2F672}">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423" authorId="68" shapeId="0" xr:uid="{388E8922-821B-47CC-9BA4-A556A4D2A9BF}">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424" authorId="69" shapeId="0" xr:uid="{05218B1F-3026-47E8-B720-CEE201C16847}">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429" authorId="70" shapeId="0" xr:uid="{B78AD73E-66B8-4513-8C6C-B4D4EED1F8DC}">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430" authorId="71" shapeId="0" xr:uid="{C1E52AA6-05A8-4373-BBB5-095CA654C678}">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B435" authorId="72" shapeId="0" xr:uid="{D22492AF-312C-469D-B164-E32BB0C01DEB}">
      <text>
        <t>[Threaded comment]
Your version of Excel allows you to read this threaded comment; however, any edits to it will get removed if the file is opened in a newer version of Excel. Learn more: https://go.microsoft.com/fwlink/?linkid=870924
Comment:
    SK is identical to CZ in hotmaps, and CZ data in TABULA pretty much matches that established in hotmaps, so the assumption made in hotmaps for SK with its cells colored in grey (meaning assumption) seems to be fairly accurate</t>
      </text>
    </comment>
    <comment ref="V439" authorId="73" shapeId="0" xr:uid="{B0C94992-F1A2-489E-9D60-7C165AA4AF89}">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440" authorId="74" shapeId="0" xr:uid="{242DD620-A55A-4192-9D43-3715A3B584B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446" authorId="75" shapeId="0" xr:uid="{CE1C301C-28ED-41D9-9A7F-ED91910CE8DE}">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447" authorId="76" shapeId="0" xr:uid="{F3AAD9DE-A8DC-400E-873D-2787EB57AD74}">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453" authorId="77" shapeId="0" xr:uid="{9F6C102D-5841-4A63-A645-14B7A8FF62EE}">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454" authorId="78" shapeId="0" xr:uid="{267CCEBD-9978-4C66-A908-48050467C581}">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tc={98D2E19D-E587-4F4B-B5BE-615147806531}</author>
    <author>tc={6D7C4F92-92EC-41C8-83BC-8BBB49F20CD4}</author>
  </authors>
  <commentList>
    <comment ref="P36" authorId="0" shapeId="0" xr:uid="{98D2E19D-E587-4F4B-B5BE-615147806531}">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
      </text>
    </comment>
    <comment ref="F40" authorId="1" shapeId="0" xr:uid="{6D7C4F92-92EC-41C8-83BC-8BBB49F20CD4}">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
      </text>
    </comment>
  </commentList>
</comments>
</file>

<file path=xl/sharedStrings.xml><?xml version="1.0" encoding="utf-8"?>
<sst xmlns="http://schemas.openxmlformats.org/spreadsheetml/2006/main" count="5751" uniqueCount="624">
  <si>
    <t>HEATING SYSTEM 1 TECHNOLOGY</t>
  </si>
  <si>
    <t>HEATING SYSTEM 1 DIMENSIONS</t>
  </si>
  <si>
    <t>HEATING SYSTEM 1 FUEL USED</t>
  </si>
  <si>
    <t>HEATING SYSTEM 1 EFFICIENCY</t>
  </si>
  <si>
    <t>HEATING SYSTEM 1 PREVALENCY ON BUILDING STOCK</t>
  </si>
  <si>
    <t>HEATING SYSTEM 2 TECHNOLOGY</t>
  </si>
  <si>
    <t>HEATING SYSTEM 2 DIMENSIONS</t>
  </si>
  <si>
    <t>HEATING SYSTEM 2 FUEL USED</t>
  </si>
  <si>
    <t>HEATING SYSTEM 2 EFFICIENCY</t>
  </si>
  <si>
    <t>HEATING SYSTEM 2 PREVALENCY ON BUILDING STOCK</t>
  </si>
  <si>
    <t>HEATING SYSTEM 3 TECHNOLOGY</t>
  </si>
  <si>
    <t>HEATING SYSTEM 3 DIMENSIONS</t>
  </si>
  <si>
    <t>HEATING SYSTEM 3 FUEL USED</t>
  </si>
  <si>
    <t>HEATING SYSTEM 3 EFFICIENCY</t>
  </si>
  <si>
    <t>HEATING SYSTEM 3 PREVALENCY ON BUILDING STOCK</t>
  </si>
  <si>
    <t>DHW SYSTEM 1 TECHNOLOGY</t>
  </si>
  <si>
    <t>DHW SYSTEM 1 DIMENSIONS</t>
  </si>
  <si>
    <t>DHW SYSTEM 1 FUEL USED</t>
  </si>
  <si>
    <t>DHW SYSTEM 1 EFFICIENCY</t>
  </si>
  <si>
    <t>DHW SYSTEM 1 PREVALENCY ON BUILDING STOCK</t>
  </si>
  <si>
    <t>DHW SYSTEM 2 TECHNOLOGY</t>
  </si>
  <si>
    <t>DHW SYSTEM 2 DIMENSIONS</t>
  </si>
  <si>
    <t>DHW SYSTEM 2 FUEL USED</t>
  </si>
  <si>
    <t>DHW SYSTEM 2 EFFICIENCY</t>
  </si>
  <si>
    <t>DHW SYSTEM 2 PREVALENCY ON BUILDING STOCK</t>
  </si>
  <si>
    <t>DHW SYSTEM 3 TECHNOLOGY</t>
  </si>
  <si>
    <t>DHW SYSTEM 3 DIMENSIONS</t>
  </si>
  <si>
    <t>DHW SYSTEM 3 FUEL USED</t>
  </si>
  <si>
    <t>DHW SYSTEM 3 EFFICIENCY</t>
  </si>
  <si>
    <t>DHW SYSTEM 3 PREVALENCY ON BUILDING STOCK</t>
  </si>
  <si>
    <t>COOLING SYSTEMS PRESENCE ON BUILDING STOCK</t>
  </si>
  <si>
    <t>Cooling presence according to HOTMAPS</t>
  </si>
  <si>
    <t>AT</t>
  </si>
  <si>
    <t>Central gas condensing boiler</t>
  </si>
  <si>
    <t>Central</t>
  </si>
  <si>
    <t>Gas</t>
  </si>
  <si>
    <t>Individual air/water heat pump</t>
  </si>
  <si>
    <t>Individual</t>
  </si>
  <si>
    <t>Electricity</t>
  </si>
  <si>
    <t>Central gas low temperature condensing boiler</t>
  </si>
  <si>
    <t>Most cases NO</t>
  </si>
  <si>
    <t>Most cases YES</t>
  </si>
  <si>
    <t>BE</t>
  </si>
  <si>
    <t>BG</t>
  </si>
  <si>
    <t>Central gas non-condensing boiler</t>
  </si>
  <si>
    <t>Central gas low temperature non-condensing boiler</t>
  </si>
  <si>
    <t>CY</t>
  </si>
  <si>
    <t>Individual gas condensing boiler</t>
  </si>
  <si>
    <t>Individual electric convector heater</t>
  </si>
  <si>
    <t xml:space="preserve">Central gas low temperature condensing boiler </t>
  </si>
  <si>
    <t>CZ</t>
  </si>
  <si>
    <t>DE</t>
  </si>
  <si>
    <t>DK</t>
  </si>
  <si>
    <t>District heating gas boilers old</t>
  </si>
  <si>
    <t>District</t>
  </si>
  <si>
    <t>Central heat pump air-water</t>
  </si>
  <si>
    <t>Central heat pump air to water</t>
  </si>
  <si>
    <t>EE</t>
  </si>
  <si>
    <t>EL</t>
  </si>
  <si>
    <t>ES</t>
  </si>
  <si>
    <t>FI</t>
  </si>
  <si>
    <t>FR</t>
  </si>
  <si>
    <t>HR</t>
  </si>
  <si>
    <t>HU</t>
  </si>
  <si>
    <t>IE</t>
  </si>
  <si>
    <t>IT</t>
  </si>
  <si>
    <t>LT</t>
  </si>
  <si>
    <t>LU</t>
  </si>
  <si>
    <t>LV</t>
  </si>
  <si>
    <t>MT</t>
  </si>
  <si>
    <t>NL</t>
  </si>
  <si>
    <t>PL</t>
  </si>
  <si>
    <t>PT</t>
  </si>
  <si>
    <t>RO</t>
  </si>
  <si>
    <t>SE</t>
  </si>
  <si>
    <t>SI</t>
  </si>
  <si>
    <t>SK</t>
  </si>
  <si>
    <t>AT-SFH-1850-1918-00</t>
  </si>
  <si>
    <t>Central fueloil non-condensing boiler</t>
  </si>
  <si>
    <t>Liquid</t>
  </si>
  <si>
    <t>AT-SFH-1919-1944-00</t>
  </si>
  <si>
    <t>AT-SFH-1945-1960-00</t>
  </si>
  <si>
    <t>AT-SFH-1961-1980-00</t>
  </si>
  <si>
    <t>AT-SFH-1981-1990-00</t>
  </si>
  <si>
    <t>AT-SFH-1991-2000-00</t>
  </si>
  <si>
    <t>Central fueloil condensing boiler</t>
  </si>
  <si>
    <t>AT-SFH-2001-2009-00</t>
  </si>
  <si>
    <t>AT-SFH-2010-2021-00</t>
  </si>
  <si>
    <t>AT-MFH-1850-1918-00</t>
  </si>
  <si>
    <t>AT-MFH-1919-1944-00</t>
  </si>
  <si>
    <t>AT-MFH-1945-1960-00</t>
  </si>
  <si>
    <t>AT-MFH-1961-1980-00</t>
  </si>
  <si>
    <t>AT-MFH-1981-1990-00</t>
  </si>
  <si>
    <t>AT-MFH-1991-2000-00</t>
  </si>
  <si>
    <t>AT-MFH-2001-2009-00</t>
  </si>
  <si>
    <t>AT-MFH-2010-2021-00</t>
  </si>
  <si>
    <t>AT-ABL-1850-1918-00</t>
  </si>
  <si>
    <t>AT-ABL-1919-1944-00</t>
  </si>
  <si>
    <t>AT-ABL-1945-1960-00</t>
  </si>
  <si>
    <t>AT-ABL-1961-1980-00</t>
  </si>
  <si>
    <t>AT-ABL-1981-1990-00</t>
  </si>
  <si>
    <t>AT-ABL-1991-2000-00</t>
  </si>
  <si>
    <t>AT-ABL-2001-2009-00</t>
  </si>
  <si>
    <t>AT-ABL-2010-2021-00</t>
  </si>
  <si>
    <t>BE-SFH-1850-1945-00</t>
  </si>
  <si>
    <t>Individual fueloil stove</t>
  </si>
  <si>
    <t>Individual electric heated DHW tank</t>
  </si>
  <si>
    <t>BE-SFH-1946-1970-00</t>
  </si>
  <si>
    <t>Individual gas low temperature non-condensing boiler</t>
  </si>
  <si>
    <t>BE-SFH-1971-1990-00</t>
  </si>
  <si>
    <t>BE-SFH-1991-2005-00</t>
  </si>
  <si>
    <t xml:space="preserve">Individual gas low temperature non-condensing boiler </t>
  </si>
  <si>
    <t>Individual fueloil condensing boiler</t>
  </si>
  <si>
    <t>BE-SFH-2006-2011-00</t>
  </si>
  <si>
    <t>BE-SFH-2012-2021-00</t>
  </si>
  <si>
    <t>BE-MFH-1850-1945-00</t>
  </si>
  <si>
    <t>Individual gas stove</t>
  </si>
  <si>
    <t>BE-MFH-1946-1970-00</t>
  </si>
  <si>
    <t>BE-MFH-1971-1990-00</t>
  </si>
  <si>
    <t>BE-MFH-1991-2005-00</t>
  </si>
  <si>
    <t>BE-MFH-2006-2011-00</t>
  </si>
  <si>
    <t>BE-MFH-2012-2021-00</t>
  </si>
  <si>
    <t>BE-ABL-1850-1970-00</t>
  </si>
  <si>
    <t>BE-ABL-1971-1990-00</t>
  </si>
  <si>
    <t>BE-ABL-1991-2005-00</t>
  </si>
  <si>
    <t>BE-ABL-2006-2011-00</t>
  </si>
  <si>
    <t>BE-ABL-2012-2021-00</t>
  </si>
  <si>
    <t>BG-SFH-1850-1918-00</t>
  </si>
  <si>
    <t>District heating gas boilers</t>
  </si>
  <si>
    <t>Individual electric heater</t>
  </si>
  <si>
    <t>BG-SFH-1919-1929-00</t>
  </si>
  <si>
    <t>BG-SFH-1930-1959-00</t>
  </si>
  <si>
    <t>BG-SFH-1960-1998-00</t>
  </si>
  <si>
    <t>BG-SFH-1999-2008-00</t>
  </si>
  <si>
    <t>BG-SFH-2009-2021-00</t>
  </si>
  <si>
    <t>BG-MFH-1850-1918-00</t>
  </si>
  <si>
    <t>BG-MFH-1919-1929-00</t>
  </si>
  <si>
    <t>BG-MFH-1930-1959-00</t>
  </si>
  <si>
    <t>BG-MFH-1960-1998-00</t>
  </si>
  <si>
    <t>BG-MFH-1999-2008-00</t>
  </si>
  <si>
    <t>BG-MFH-2009-2021-00</t>
  </si>
  <si>
    <t>BG-ABL-1850-1959-00</t>
  </si>
  <si>
    <t>BG-ABL-1960-1998-00</t>
  </si>
  <si>
    <t>BG-ABL-1999-2008-00</t>
  </si>
  <si>
    <t>BG-ABL-2009-2021-00</t>
  </si>
  <si>
    <t>CY-SFH-1850-1980-00</t>
  </si>
  <si>
    <t>CY-SFH-1981-2006-00</t>
  </si>
  <si>
    <t>CY-SFH-2007-2013-00</t>
  </si>
  <si>
    <t>Individual gas non-condensing boiler</t>
  </si>
  <si>
    <t>Individual solar collectors</t>
  </si>
  <si>
    <t>RES</t>
  </si>
  <si>
    <t>CY-SFH-2014-2021-00</t>
  </si>
  <si>
    <t>Central gas non-condensing boiler new</t>
  </si>
  <si>
    <t>CY-MFH-1850-1980-00</t>
  </si>
  <si>
    <t>CY-MFH-1981-2006-00</t>
  </si>
  <si>
    <t>CY-MFH-2007-2013-00</t>
  </si>
  <si>
    <t>CY-MFH-2014-2021-00</t>
  </si>
  <si>
    <t>CZ-SFH-1850-1920-00</t>
  </si>
  <si>
    <t>Individual electrical night storage heater</t>
  </si>
  <si>
    <t>CZ-SFH-1921-1945-00</t>
  </si>
  <si>
    <t>CZ-SFH-1946-1960-00</t>
  </si>
  <si>
    <t>CZ-SFH-1961-1980-00</t>
  </si>
  <si>
    <t>CZ-SFH-1981-1994-00</t>
  </si>
  <si>
    <t>CZ-SFH-1995-2010-00</t>
  </si>
  <si>
    <t>Central gas condensing boiler new</t>
  </si>
  <si>
    <t>CZ-SFH-2011-2021-00</t>
  </si>
  <si>
    <t>CZ-MFH-1850-1920-00</t>
  </si>
  <si>
    <t>District heating gas-powered station</t>
  </si>
  <si>
    <t>CZ-MFH-1921-1945-00</t>
  </si>
  <si>
    <t>CZ-MFH-1946-1960-00</t>
  </si>
  <si>
    <t>CZ-MFH-1961-1980-00</t>
  </si>
  <si>
    <t>CZ-MFH-1981-1994-00</t>
  </si>
  <si>
    <t>CZ-MFH-1995-2010-00</t>
  </si>
  <si>
    <t>CZ-MFH-2011-2021-00</t>
  </si>
  <si>
    <t>CZ-ABL-1850-1920-00</t>
  </si>
  <si>
    <t>CZ-ABL-1921-1945-00</t>
  </si>
  <si>
    <t>CZ-ABL-1946-1960-00</t>
  </si>
  <si>
    <t>CZ-ABL-1961-1980-00</t>
  </si>
  <si>
    <t>CZ-ABL-1981-1994-00</t>
  </si>
  <si>
    <t>CZ-ABL-1995-2021-00</t>
  </si>
  <si>
    <t>DE-SFH-1850-1859-00</t>
  </si>
  <si>
    <t>DE-SFH-1860-1918-00</t>
  </si>
  <si>
    <t>DE-SFH-1919-1948-00</t>
  </si>
  <si>
    <t>DE-SFH-1949-1957-00</t>
  </si>
  <si>
    <t>DE-SFH-1958-1968-00</t>
  </si>
  <si>
    <t>DE-SFH-1969-1978-00</t>
  </si>
  <si>
    <t>DE-SFH-1979-1983-00</t>
  </si>
  <si>
    <t>DE-SFH-1984-1994-00</t>
  </si>
  <si>
    <t>DE-SFH-1995-2001-00</t>
  </si>
  <si>
    <t>DE-SFH-2002-2009-00</t>
  </si>
  <si>
    <t>DE-SFH-2010-2015-00</t>
  </si>
  <si>
    <t>DE-SFH-2016-2021-00</t>
  </si>
  <si>
    <t>DE-MFH-1850-1859-00</t>
  </si>
  <si>
    <t>DE-MFH-1860-1918-00</t>
  </si>
  <si>
    <t>DE-MFH-1919-1948-00</t>
  </si>
  <si>
    <t>DE-MFH-1949-1957-00</t>
  </si>
  <si>
    <t>DE-MFH-1958-1968-00</t>
  </si>
  <si>
    <t>DE-MFH-1969-1978-00</t>
  </si>
  <si>
    <t>DE-MFH-1979-1983-00</t>
  </si>
  <si>
    <t>DE-MFH-1984-1994-00</t>
  </si>
  <si>
    <t>DE-MFH-1995-2001-00</t>
  </si>
  <si>
    <t>DE-MFH-2002-2009-00</t>
  </si>
  <si>
    <t>DE-MFH-2010-2015-00</t>
  </si>
  <si>
    <t>DE-MFH-2016-2021-00</t>
  </si>
  <si>
    <t>DE-ABL-1850-1918-00</t>
  </si>
  <si>
    <t>DE-ABL-1919-1948-00</t>
  </si>
  <si>
    <t>DE-ABL-1949-1957-00</t>
  </si>
  <si>
    <t>DE-ABL-1958-1968-00</t>
  </si>
  <si>
    <t>DE-ABL-1969-2021-00</t>
  </si>
  <si>
    <t>Special case</t>
  </si>
  <si>
    <t>DK-SFH-1850-1850-00</t>
  </si>
  <si>
    <t>DK-SFH-1851-1930-00</t>
  </si>
  <si>
    <t>DK-SFH-1931-1950-00</t>
  </si>
  <si>
    <t>DK-SFH-1951-1960-00</t>
  </si>
  <si>
    <t>DK-SFH-1961-1972-00</t>
  </si>
  <si>
    <t>DK-SFH-1973-1978-00</t>
  </si>
  <si>
    <t>DK-SFH-1979-1998-00</t>
  </si>
  <si>
    <t>DK-SFH-1999-2006-00</t>
  </si>
  <si>
    <t>District heating gas boilers new with heat recovery</t>
  </si>
  <si>
    <t>DK-SFH-2007-2010-00</t>
  </si>
  <si>
    <t>DK-SFH-2011-2021-00</t>
  </si>
  <si>
    <t>DK-ABL-1850-1850-00</t>
  </si>
  <si>
    <t>DK-ABL-1851-1930-00</t>
  </si>
  <si>
    <t>DK-ABL-1931-1950-00</t>
  </si>
  <si>
    <t>DK-ABL-1951-1960-00</t>
  </si>
  <si>
    <t>DK-ABL-1961-1972-00</t>
  </si>
  <si>
    <t>DK-ABL-1973-1978-00</t>
  </si>
  <si>
    <t>DK-ABL-1979-1998-00</t>
  </si>
  <si>
    <t>DK-ABL-1999-2006-00</t>
  </si>
  <si>
    <t>DK-ABL-2007-2010-00</t>
  </si>
  <si>
    <t>DK-ABL-2011-2021-00</t>
  </si>
  <si>
    <t>EE-SFH-1850-1960-00</t>
  </si>
  <si>
    <t>Central fueloil boiler</t>
  </si>
  <si>
    <t>EE-SFH-1961-1975-00</t>
  </si>
  <si>
    <t>EE-SFH-1976-1985-00</t>
  </si>
  <si>
    <t>EE-SFH-1986-1995-00</t>
  </si>
  <si>
    <t>EE-SFH-1996-2021-00</t>
  </si>
  <si>
    <t>EE-MFH-1850-1960-00</t>
  </si>
  <si>
    <t>EE-MFH-1961-1975-00</t>
  </si>
  <si>
    <t>EE-MFH-1976-1985-00</t>
  </si>
  <si>
    <t>EE-MFH-1986-1995-00</t>
  </si>
  <si>
    <t>EE-MFH-1996-2021-00</t>
  </si>
  <si>
    <t>EL-SFH-1850-1980-00</t>
  </si>
  <si>
    <t>EL-SFH-1981-2000-00</t>
  </si>
  <si>
    <t>EL-SFH-2001-2010-00</t>
  </si>
  <si>
    <t>EL-SFH-2011-2021-00</t>
  </si>
  <si>
    <t>EL-MFH-1850-1980-00</t>
  </si>
  <si>
    <t>EL-MFH-1981-2000-00</t>
  </si>
  <si>
    <t>EL-MFH-2001-2010-00</t>
  </si>
  <si>
    <t>EL-MFH-2011-2021-00</t>
  </si>
  <si>
    <t>ES-SFH-1850-1900-00</t>
  </si>
  <si>
    <t>Central gas non-condensing boiler old</t>
  </si>
  <si>
    <t>ES-SFH-1901-1936-00</t>
  </si>
  <si>
    <t>ES-SFH-1937-1959-00</t>
  </si>
  <si>
    <t>ES-SFH-1960-1979-00</t>
  </si>
  <si>
    <t>ES-SFH-1980-2006-00</t>
  </si>
  <si>
    <t>ES-SFH-2007-2021-00</t>
  </si>
  <si>
    <t>ES-MFH-1850-1900-00</t>
  </si>
  <si>
    <t>ES-MFH-1901-1936-00</t>
  </si>
  <si>
    <t>ES-MFH-1937-1959-00</t>
  </si>
  <si>
    <t>ES-MFH-1960-1979-00</t>
  </si>
  <si>
    <t>ES-MFH-1980-2006-00</t>
  </si>
  <si>
    <t>ES-MFH-2007-2021-00</t>
  </si>
  <si>
    <t>ES-ABL-1850-1900-00</t>
  </si>
  <si>
    <t>ES-ABL-1901-1936-00</t>
  </si>
  <si>
    <t>ES-ABL-1937-1959-00</t>
  </si>
  <si>
    <t>ES-ABL-1960-1979-00</t>
  </si>
  <si>
    <t>ES-ABL-1980-2006-00</t>
  </si>
  <si>
    <t>ES-ABL-2007-2021-00</t>
  </si>
  <si>
    <t>FI-SFH-1850-1960-00</t>
  </si>
  <si>
    <t>FI-SFH-1961-1975-00</t>
  </si>
  <si>
    <t>FI-SFH-1976-1985-00</t>
  </si>
  <si>
    <t>FI-SFH-1986-1995-00</t>
  </si>
  <si>
    <t>FI-SFH-1996-2021-00</t>
  </si>
  <si>
    <t>FI-MFH-1850-1960-00</t>
  </si>
  <si>
    <t>FI-MFH-1961-1975-00</t>
  </si>
  <si>
    <t>FI-MFH-1976-1985-00</t>
  </si>
  <si>
    <t>FI-MFH-1986-1995-00</t>
  </si>
  <si>
    <t>FI-MFH-1996-2021-00</t>
  </si>
  <si>
    <t>FR-SFH-1850-1914-00</t>
  </si>
  <si>
    <t>FR-SFH-1915-1948-00</t>
  </si>
  <si>
    <t>FR-SFH-1949-1967-00</t>
  </si>
  <si>
    <t>FR-SFH-1968-1974-00</t>
  </si>
  <si>
    <t>FR-SFH-1975-1981-00</t>
  </si>
  <si>
    <t>FR-SFH-1982-1989-00</t>
  </si>
  <si>
    <t>Individual wood stove</t>
  </si>
  <si>
    <t>Biomass</t>
  </si>
  <si>
    <t>FR-SFH-1990-1999-00</t>
  </si>
  <si>
    <t>Individual heat pump with auxiliary resistance heating</t>
  </si>
  <si>
    <t>FR-SFH-2000-2005-00</t>
  </si>
  <si>
    <t>FR-SFH-2006-2012-00</t>
  </si>
  <si>
    <t>FR-SFH-2013-2021-00</t>
  </si>
  <si>
    <t>FR-MFH-1850-1914-00</t>
  </si>
  <si>
    <t>FR-MFH-1915-1948-00</t>
  </si>
  <si>
    <t>FR-MFH-1949-1967-00</t>
  </si>
  <si>
    <t>FR-MFH-1968-1974-00</t>
  </si>
  <si>
    <t>FR-MFH-1975-1981-00</t>
  </si>
  <si>
    <t>FR-MFH-1982-1989-00</t>
  </si>
  <si>
    <t>FR-MFH-1990-1999-00</t>
  </si>
  <si>
    <t>FR-MFH-2000-2005-00</t>
  </si>
  <si>
    <t>FR-MFH-2006-2012-00</t>
  </si>
  <si>
    <t>FR-MFH-2013-2021-00</t>
  </si>
  <si>
    <t>FR-ABL-1850-1914-00</t>
  </si>
  <si>
    <t>FR-ABL-1915-1948-00</t>
  </si>
  <si>
    <t>FR-ABL-1949-1967-00</t>
  </si>
  <si>
    <t>FR-ABL-1968-1974-00</t>
  </si>
  <si>
    <t>FR-ABL-1975-1981-00</t>
  </si>
  <si>
    <t>FR-ABL-1982-1989-00</t>
  </si>
  <si>
    <t>FR-ABL-1990-1999-00</t>
  </si>
  <si>
    <t>FR-ABL-2000-2005-00</t>
  </si>
  <si>
    <t>FR-ABL-2006-2012-00</t>
  </si>
  <si>
    <t>FR-ABL-2013-2021-00</t>
  </si>
  <si>
    <t>HR-SFH-1850-1945-00</t>
  </si>
  <si>
    <t>Central biomass boiler old</t>
  </si>
  <si>
    <t>HR-SFH-1946-1970-00</t>
  </si>
  <si>
    <t>HR-SFH-1971-1980-00</t>
  </si>
  <si>
    <t>HR-SFH-1981-2001-00</t>
  </si>
  <si>
    <t>Central biomass boiler new</t>
  </si>
  <si>
    <t>HR-SFH-2002-2008-00</t>
  </si>
  <si>
    <t>HR-SFH-2009-2021-00</t>
  </si>
  <si>
    <t>HR-MFH-1850-1945-00</t>
  </si>
  <si>
    <t>Central fueloil boiler old</t>
  </si>
  <si>
    <t>HR-MFH-1946-1970-00</t>
  </si>
  <si>
    <t>HR-MFH-1971-1980-00</t>
  </si>
  <si>
    <t>HR-MFH-1981-2001-00</t>
  </si>
  <si>
    <t>HR-MFH-2002-2008-00</t>
  </si>
  <si>
    <t>HR-MFH-2009-2021-00</t>
  </si>
  <si>
    <t>HR-ABL-1850-1945-00</t>
  </si>
  <si>
    <t>HR-ABL-1946-1970-00</t>
  </si>
  <si>
    <t>HR-ABL-1971-1980-00</t>
  </si>
  <si>
    <t>HR-ABL-1981-2001-00</t>
  </si>
  <si>
    <t>HR-ABL-2002-2008-00</t>
  </si>
  <si>
    <t>HR-ABL-2009-2021-00</t>
  </si>
  <si>
    <t>HU-SFH-1850-1944-00</t>
  </si>
  <si>
    <t xml:space="preserve">Individual gas non-condensing boiler </t>
  </si>
  <si>
    <t>HU-SFH-1945-1979-00</t>
  </si>
  <si>
    <t>HU-SFH-1980-1989-00</t>
  </si>
  <si>
    <t>HU-SFH-1990-2005-00</t>
  </si>
  <si>
    <t>HU-SFH-2006-2021-00</t>
  </si>
  <si>
    <t>HU-MFH-1850-1944-00</t>
  </si>
  <si>
    <t>HU-MFH-1945-1979-00</t>
  </si>
  <si>
    <t>HU-MFH-1980-1989-00</t>
  </si>
  <si>
    <t>HU-MFH-1990-2005-00</t>
  </si>
  <si>
    <t>HU-MFH-2006-2021-00</t>
  </si>
  <si>
    <t>IE-SFH-1850-1899-00</t>
  </si>
  <si>
    <t>IE-SFH-1900-1929-00</t>
  </si>
  <si>
    <t>IE-SFH-1930-1949-00</t>
  </si>
  <si>
    <t>IE-SFH-1950-1966-00</t>
  </si>
  <si>
    <t>IE-SFH-1967-1977-00</t>
  </si>
  <si>
    <t>IE-SFH-1978-1982-00</t>
  </si>
  <si>
    <t>IE-SFH-1983-1993-00</t>
  </si>
  <si>
    <t>IE-SFH-1994-2004-00</t>
  </si>
  <si>
    <t>IE-SFH-2005-2010-00</t>
  </si>
  <si>
    <t>IE-SFH-2011-2021-00</t>
  </si>
  <si>
    <t>Central heat pump air source new</t>
  </si>
  <si>
    <t>IE-ABL-1850-1977-00</t>
  </si>
  <si>
    <t>IE-ABL-1978-1982-00</t>
  </si>
  <si>
    <t>IE-ABL-1983-1993-00</t>
  </si>
  <si>
    <t>IE-ABL-1994-2004-00</t>
  </si>
  <si>
    <t>IE-ABL-2005-2010-00</t>
  </si>
  <si>
    <t>IE-ABL-2011-2021-00</t>
  </si>
  <si>
    <t>IT-SFH-1850-1900-00</t>
  </si>
  <si>
    <t>IT-SFH-1901-1920-00</t>
  </si>
  <si>
    <t>IT-SFH-1921-1945-00</t>
  </si>
  <si>
    <t>IT-SFH-1946-1960-00</t>
  </si>
  <si>
    <t>IT-SFH-1961-1975-00</t>
  </si>
  <si>
    <t>IT-SFH-1976-1990-00</t>
  </si>
  <si>
    <t>IT-SFH-1991-2005-00</t>
  </si>
  <si>
    <t>IT-SFH-2006-2021-00</t>
  </si>
  <si>
    <t>IT-MFH-1850-1900-00</t>
  </si>
  <si>
    <t>IT-MFH-1901-1920-00</t>
  </si>
  <si>
    <t>IT-MFH-1921-1945-00</t>
  </si>
  <si>
    <t>IT-MFH-1946-1960-00</t>
  </si>
  <si>
    <t>IT-MFH-1961-1975-00</t>
  </si>
  <si>
    <t>IT-MFH-1976-1990-00</t>
  </si>
  <si>
    <t>IT-MFH-1991-2005-00</t>
  </si>
  <si>
    <t>IT-MFH-2006-2021-00</t>
  </si>
  <si>
    <t>IT-ABL-1850-1900-00</t>
  </si>
  <si>
    <t>IT-ABL-1901-1920-00</t>
  </si>
  <si>
    <t>IT-ABL-1921-1945-00</t>
  </si>
  <si>
    <t>IT-ABL-1946-1960-00</t>
  </si>
  <si>
    <t>IT-ABL-1961-1975-00</t>
  </si>
  <si>
    <t>IT-ABL-1976-1990-00</t>
  </si>
  <si>
    <t>IT-ABL-1991-2005-00</t>
  </si>
  <si>
    <t>IT-ABL-2006-2021-00</t>
  </si>
  <si>
    <t>LT-SFH-1850-1960-00</t>
  </si>
  <si>
    <t>LT-SFH-1961-1975-00</t>
  </si>
  <si>
    <t>LT-SFH-1976-1985-00</t>
  </si>
  <si>
    <t>LT-SFH-1986-1995-00</t>
  </si>
  <si>
    <t>LT-SFH-1996-2021-00</t>
  </si>
  <si>
    <t>LT-MFH-1850-1960-00</t>
  </si>
  <si>
    <t>LT-MFH-1961-1975-00</t>
  </si>
  <si>
    <t>LT-MFH-1976-1985-00</t>
  </si>
  <si>
    <t>LT-MFH-1986-1995-00</t>
  </si>
  <si>
    <t>LT-MFH-1996-2021-00</t>
  </si>
  <si>
    <t>LU-SFH-1850-1964-00</t>
  </si>
  <si>
    <t>LU-SFH-1965-1974-00</t>
  </si>
  <si>
    <t>LU-SFH-1975-1991-00</t>
  </si>
  <si>
    <t>LU-SFH-1992-2005-00</t>
  </si>
  <si>
    <t>LU-SFH-2006-2014-00</t>
  </si>
  <si>
    <t>LU-SFH-2015-2021-00</t>
  </si>
  <si>
    <t>LU-MFH-1850-1964-00</t>
  </si>
  <si>
    <t>LU-MFH-1965-1974-00</t>
  </si>
  <si>
    <t>District heating gas boilers high temperature</t>
  </si>
  <si>
    <t>LU-MFH-1975-1991-00</t>
  </si>
  <si>
    <t>LU-MFH-1992-2005-00</t>
  </si>
  <si>
    <t>LU-MFH-2006-2014-00</t>
  </si>
  <si>
    <t>LU-MFH-2015-2021-00</t>
  </si>
  <si>
    <t>LU-ABL-1850-1964-00</t>
  </si>
  <si>
    <t>LU-ABL-1965-1974-00</t>
  </si>
  <si>
    <t>LU-ABL-1975-1991-00</t>
  </si>
  <si>
    <t>LU-ABL-1992-2005-00</t>
  </si>
  <si>
    <t>LU-ABL-2006-2014-00</t>
  </si>
  <si>
    <t>LU-ABL-2015-2021-00</t>
  </si>
  <si>
    <t>LV-SFH-1850-1960-00</t>
  </si>
  <si>
    <t>LV-SFH-1961-1975-00</t>
  </si>
  <si>
    <t>LV-SFH-1976-1985-00</t>
  </si>
  <si>
    <t>LV-SFH-1986-1995-00</t>
  </si>
  <si>
    <t>LV-SFH-1996-2021-00</t>
  </si>
  <si>
    <t>LV-MFH-1850-1960-00</t>
  </si>
  <si>
    <t>LV-MFH-1961-1975-00</t>
  </si>
  <si>
    <t>LV-MFH-1976-1985-00</t>
  </si>
  <si>
    <t>LV-MFH-1986-1995-00</t>
  </si>
  <si>
    <t>LV-MFH-1996-2021-00</t>
  </si>
  <si>
    <t>MT-SFH-1850-1900-00</t>
  </si>
  <si>
    <t>MT-SFH-1901-1936-00</t>
  </si>
  <si>
    <t>MT-SFH-1937-1959-00</t>
  </si>
  <si>
    <t>MT-SFH-1960-1979-00</t>
  </si>
  <si>
    <t>MT-SFH-1980-2006-00</t>
  </si>
  <si>
    <t>MT-SFH-2007-2021-00</t>
  </si>
  <si>
    <t>MT-MFH-1850-1900-00</t>
  </si>
  <si>
    <t>MT-MFH-1901-1936-00</t>
  </si>
  <si>
    <t>MT-MFH-1937-1959-00</t>
  </si>
  <si>
    <t>MT-MFH-1960-1979-00</t>
  </si>
  <si>
    <t>MT-MFH-1980-2006-00</t>
  </si>
  <si>
    <t>MT-MFH-2007-2021-00</t>
  </si>
  <si>
    <t>MT-ABL-1850-1900-00</t>
  </si>
  <si>
    <t>MT-ABL-1901-1936-00</t>
  </si>
  <si>
    <t>MT-ABL-1937-1959-00</t>
  </si>
  <si>
    <t>MT-ABL-1960-1979-00</t>
  </si>
  <si>
    <t>MT-ABL-1980-2006-00</t>
  </si>
  <si>
    <t>MT-ABL-2007-2021-00</t>
  </si>
  <si>
    <t>NL-SFH-1850-1964-00</t>
  </si>
  <si>
    <t>NL-SFH-1965-1974-00</t>
  </si>
  <si>
    <t>NL-SFH-1975-1991-00</t>
  </si>
  <si>
    <t>NL-SFH-1992-2005-00</t>
  </si>
  <si>
    <t>NL-SFH-2006-2014-00</t>
  </si>
  <si>
    <t>NL-SFH-2015-2021-00</t>
  </si>
  <si>
    <t>NL-MFH-1850-1964-00</t>
  </si>
  <si>
    <t>NL-MFH-1965-1974-00</t>
  </si>
  <si>
    <t>NL-MFH-1975-1991-00</t>
  </si>
  <si>
    <t>NL-MFH-1992-2005-00</t>
  </si>
  <si>
    <t>NL-MFH-2006-2014-00</t>
  </si>
  <si>
    <t>NL-MFH-2015-2021-00</t>
  </si>
  <si>
    <t>NL-ABL-1850-1964-00</t>
  </si>
  <si>
    <t>NL-ABL-1965-1974-00</t>
  </si>
  <si>
    <t>NL-ABL-1975-1991-00</t>
  </si>
  <si>
    <t>NL-ABL-1992-2005-00</t>
  </si>
  <si>
    <t>NL-ABL-2006-2014-00</t>
  </si>
  <si>
    <t>NL-ABL-2015-2021-00</t>
  </si>
  <si>
    <t>PL-SFH-1850-1945-00</t>
  </si>
  <si>
    <t>PL-SFH-1946-1966-00</t>
  </si>
  <si>
    <t>PL-SFH-1967-1985-00</t>
  </si>
  <si>
    <t>PL-SFH-1986-1992-00</t>
  </si>
  <si>
    <t>PL-SFH-1993-2002-00</t>
  </si>
  <si>
    <t>PL-SFH-2003-2008-00</t>
  </si>
  <si>
    <t>PL-SFH-2009-2021-00</t>
  </si>
  <si>
    <t>PL-MFH-1850-1945-00</t>
  </si>
  <si>
    <t>District heating coal station non-CHP</t>
  </si>
  <si>
    <t>Solid</t>
  </si>
  <si>
    <t>District heating coal-powered station</t>
  </si>
  <si>
    <t>PL-MFH-1946-1966-00</t>
  </si>
  <si>
    <t>PL-MFH-1967-1985-00</t>
  </si>
  <si>
    <t>PL-MFH-1986-1992-00</t>
  </si>
  <si>
    <t>PL-MFH-1993-2002-00</t>
  </si>
  <si>
    <t>PL-MFH-2003-2008-00</t>
  </si>
  <si>
    <t>PL-MFH-2009-2021-00</t>
  </si>
  <si>
    <t>PL-ABL-1850-1985-00</t>
  </si>
  <si>
    <t>PL-ABL-1986-1992-00</t>
  </si>
  <si>
    <t>PL-ABL-1993-2002-00</t>
  </si>
  <si>
    <t>PL-ABL-2003-2008-00</t>
  </si>
  <si>
    <t>PL-ABL-2009-2021-00</t>
  </si>
  <si>
    <t>PT-SFH-1850-1900-00</t>
  </si>
  <si>
    <t>PT-SFH-1901-1936-00</t>
  </si>
  <si>
    <t>PT-SFH-1937-1959-00</t>
  </si>
  <si>
    <t>PT-SFH-1960-1979-00</t>
  </si>
  <si>
    <t>PT-SFH-1980-2006-00</t>
  </si>
  <si>
    <t>PT-SFH-2007-2021-00</t>
  </si>
  <si>
    <t>PT-MFH-1850-1900-00</t>
  </si>
  <si>
    <t>PT-MFH-1901-1936-00</t>
  </si>
  <si>
    <t>PT-MFH-1937-1959-00</t>
  </si>
  <si>
    <t>PT-MFH-1960-1979-00</t>
  </si>
  <si>
    <t>PT-MFH-1980-2006-00</t>
  </si>
  <si>
    <t>PT-MFH-2007-2021-00</t>
  </si>
  <si>
    <t>PT-ABL-1850-1900-00</t>
  </si>
  <si>
    <t>PT-ABL-1901-1936-00</t>
  </si>
  <si>
    <t>PT-ABL-1937-1959-00</t>
  </si>
  <si>
    <t>PT-ABL-1960-1979-00</t>
  </si>
  <si>
    <t>PT-ABL-1980-2006-00</t>
  </si>
  <si>
    <t>PT-ABL-2007-2021-00</t>
  </si>
  <si>
    <t>RO-SFH-1850-1918-00</t>
  </si>
  <si>
    <t>RO-SFH-1919-1929-00</t>
  </si>
  <si>
    <t>RO-SFH-1930-1959-00</t>
  </si>
  <si>
    <t>RO-SFH-1960-1998-00</t>
  </si>
  <si>
    <t>RO-SFH-1999-2008-00</t>
  </si>
  <si>
    <t>RO-SFH-2009-2021-00</t>
  </si>
  <si>
    <t>RO-MFH-1850-1918-00</t>
  </si>
  <si>
    <t>RO-MFH-1919-1929-00</t>
  </si>
  <si>
    <t>RO-MFH-1930-1959-00</t>
  </si>
  <si>
    <t>RO-MFH-1960-1998-00</t>
  </si>
  <si>
    <t>RO-MFH-1999-2008-00</t>
  </si>
  <si>
    <t>RO-MFH-2009-2021-00</t>
  </si>
  <si>
    <t>RO-ABL-1850-1959-00</t>
  </si>
  <si>
    <t>RO-ABL-1960-1998-00</t>
  </si>
  <si>
    <t>RO-ABL-1999-2008-00</t>
  </si>
  <si>
    <t>RO-ABL-2009-2021-00</t>
  </si>
  <si>
    <t>SE-SFH-1850-1960-00</t>
  </si>
  <si>
    <t>SE-SFH-1961-1975-00</t>
  </si>
  <si>
    <t>SE-SFH-1976-1985-00</t>
  </si>
  <si>
    <t>SE-SFH-1986-1995-00</t>
  </si>
  <si>
    <t>SE-SFH-1996-2021-00</t>
  </si>
  <si>
    <t>SE-MFH-1850-1960-00</t>
  </si>
  <si>
    <t>SE-MFH-1961-1975-00</t>
  </si>
  <si>
    <t>SE-MFH-1976-1985-00</t>
  </si>
  <si>
    <t>SE-MFH-1986-1995-00</t>
  </si>
  <si>
    <t>SE-MFH-1996-2021-00</t>
  </si>
  <si>
    <t>SI-SFH-1850-1945-00</t>
  </si>
  <si>
    <t>SI-SFH-1946-1970-00</t>
  </si>
  <si>
    <t>SI-SFH-1971-1980-00</t>
  </si>
  <si>
    <t>SI-SFH-1981-2001-00</t>
  </si>
  <si>
    <t>SI-SFH-2002-2008-00</t>
  </si>
  <si>
    <t>SI-SFH-2009-2021-00</t>
  </si>
  <si>
    <t>SI-MFH-1850-1945-00</t>
  </si>
  <si>
    <t>SI-MFH-1946-1970-00</t>
  </si>
  <si>
    <t>SI-MFH-1971-1980-00</t>
  </si>
  <si>
    <t>SI-MFH-1981-2001-00</t>
  </si>
  <si>
    <t>SI-MFH-2002-2008-00</t>
  </si>
  <si>
    <t>SI-MFH-2009-2021-00</t>
  </si>
  <si>
    <t>SI-ABL-1850-1945-00</t>
  </si>
  <si>
    <t>SI-ABL-1946-1970-00</t>
  </si>
  <si>
    <t>SI-ABL-1971-1980-00</t>
  </si>
  <si>
    <t>SI-ABL-1981-2001-00</t>
  </si>
  <si>
    <t>SI-ABL-2002-2008-00</t>
  </si>
  <si>
    <t>SI-ABL-2009-2021-00</t>
  </si>
  <si>
    <t>SK-SFH-1850-1920-00</t>
  </si>
  <si>
    <t>SK-SFH-1921-1945-00</t>
  </si>
  <si>
    <t>SK-SFH-1946-1960-00</t>
  </si>
  <si>
    <t>SK-SFH-1961-1980-00</t>
  </si>
  <si>
    <t>SK-SFH-1981-1994-00</t>
  </si>
  <si>
    <t>SK-SFH-1995-2010-00</t>
  </si>
  <si>
    <t>SK-SFH-2011-2021-00</t>
  </si>
  <si>
    <t>SK-MFH-1850-1920-00</t>
  </si>
  <si>
    <t>SK-MFH-1921-1945-00</t>
  </si>
  <si>
    <t>SK-MFH-1946-1960-00</t>
  </si>
  <si>
    <t>SK-MFH-1961-1980-00</t>
  </si>
  <si>
    <t>SK-MFH-1981-1994-00</t>
  </si>
  <si>
    <t>SK-MFH-1995-2010-00</t>
  </si>
  <si>
    <t>SK-MFH-2011-2021-00</t>
  </si>
  <si>
    <t>SK-ABL-1850-1920-00</t>
  </si>
  <si>
    <t>SK-ABL-1921-1945-00</t>
  </si>
  <si>
    <t>SK-ABL-1946-1960-00</t>
  </si>
  <si>
    <t>SK-ABL-1961-1980-00</t>
  </si>
  <si>
    <t>SK-ABL-1981-1994-00</t>
  </si>
  <si>
    <t>SK-ABL-1995-2021-00</t>
  </si>
  <si>
    <t xml:space="preserve">4 Groups of countries according to HOTMAPS' classification for non-residential, representative countries do feature in TABULA </t>
  </si>
  <si>
    <t>Dimension types</t>
  </si>
  <si>
    <t xml:space="preserve">Fuel types </t>
  </si>
  <si>
    <t>Group 1 (Central Europe): AT, BE, DE, NL, LU, FR, IE --&gt; Represented by DE, FR, AT, NL, BE &amp; IE</t>
  </si>
  <si>
    <t xml:space="preserve">Group 2 (Eastern Europe): PL, CZ, HU, SI, SK, HR, BG, RO --&gt; Represented by PL,CZ, SI, HU &amp; BG </t>
  </si>
  <si>
    <t>Group 3 (Southern Europe): ES, IT, EL, CY, MT, PT --&gt; Represented by ES, IT, EL &amp; CY</t>
  </si>
  <si>
    <t>Group 4 (Northern Europe): DK, FI, SE, EE, LV, LT --&gt; Represented by DK, SE &amp; NO</t>
  </si>
  <si>
    <t>Heating systems Group 1 (DE, FR, AT, NL, BE, IE)</t>
  </si>
  <si>
    <t>Heating systems Group 2 (PL, CZ, SI, HU, BG)</t>
  </si>
  <si>
    <t>Heating systems Group 3 (ES, IT, EL, CY)</t>
  </si>
  <si>
    <t>Heating systems Group 4 (DK, SE, NO)</t>
  </si>
  <si>
    <t>Technology</t>
  </si>
  <si>
    <t>Dimensions</t>
  </si>
  <si>
    <t>Fuel</t>
  </si>
  <si>
    <t>Efficiency</t>
  </si>
  <si>
    <t>Central heat pump air source old</t>
  </si>
  <si>
    <t>Individual electric convective heater</t>
  </si>
  <si>
    <t>Individual heat pump air to air</t>
  </si>
  <si>
    <t>Individual condensing gas boiler new</t>
  </si>
  <si>
    <t>Individual electric underfloor radiant heating</t>
  </si>
  <si>
    <t>Individual fueloil boiler</t>
  </si>
  <si>
    <t>DHW systems Group 1 (DE, FR, AT, NL, BE, IE)</t>
  </si>
  <si>
    <t>DHW systems Group 2 (PL, CZ, SI, HU, BG)</t>
  </si>
  <si>
    <t>DHW systems Group 3 (ES, IT, EL, CY)</t>
  </si>
  <si>
    <t>DHW systems Group 4 (DK, SE, NO)</t>
  </si>
  <si>
    <t>Central biomass non-condensing boiler</t>
  </si>
  <si>
    <t>Individual gas condensing boiler old</t>
  </si>
  <si>
    <t>Individual gas condensing boiler new</t>
  </si>
  <si>
    <t>Individual electric boiler</t>
  </si>
  <si>
    <t>Individual heat pump air to water</t>
  </si>
  <si>
    <t>GB-ABL-03</t>
  </si>
  <si>
    <t>GB</t>
  </si>
  <si>
    <t>GB-ABL-04</t>
  </si>
  <si>
    <t>GB-ABL-07</t>
  </si>
  <si>
    <t>GB-MFH-01</t>
  </si>
  <si>
    <t>GB-MFH-02</t>
  </si>
  <si>
    <t>GB-MFH-03</t>
  </si>
  <si>
    <t>GB-MFH-04</t>
  </si>
  <si>
    <t>GB-MFH-05</t>
  </si>
  <si>
    <t>GB-MFH-06</t>
  </si>
  <si>
    <t>GB-MFH-07</t>
  </si>
  <si>
    <t>GB-MFH-08</t>
  </si>
  <si>
    <t>GB-SFH-01</t>
  </si>
  <si>
    <t>GB-SFH-02</t>
  </si>
  <si>
    <t>GB-SFH-03</t>
  </si>
  <si>
    <t>GB-SFH-04</t>
  </si>
  <si>
    <t>GB-SFH-05</t>
  </si>
  <si>
    <t>GB-SFH-06</t>
  </si>
  <si>
    <t>GB-SFH-07</t>
  </si>
  <si>
    <t>GB-SFH-08</t>
  </si>
  <si>
    <t>GB-TH-01</t>
  </si>
  <si>
    <t>GB-TH-02</t>
  </si>
  <si>
    <t>GB-TH-03</t>
  </si>
  <si>
    <t>GB-TH-04</t>
  </si>
  <si>
    <t>GB-TH-05</t>
  </si>
  <si>
    <t>GB-TH-06</t>
  </si>
  <si>
    <t>GB-TH-07</t>
  </si>
  <si>
    <t>GB-TH-08</t>
  </si>
  <si>
    <t>REFERENCE BUILDING COUNTRY CODE</t>
  </si>
  <si>
    <t>REFERENCE BUILDING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</si>
</sst>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Calibri"/>
      <family val="2"/>
      <scheme val="minor"/>
    </font>
    <font>
      <i/>
      <sz val="9"/>
      <name val="Calibri"/>
      <family val="2"/>
      <scheme val="minor"/>
    </font>
    <font>
      <sz val="9"/>
      <name val="Calibri"/>
      <family val="2"/>
      <scheme val="minor"/>
    </font>
    <font>
      <sz val="9"/>
      <color theme="1"/>
      <name val="Calibri"/>
      <family val="2"/>
      <scheme val="minor"/>
    </font>
    <font>
      <i/>
      <sz val="11"/>
      <color theme="1"/>
      <name val="Calibri"/>
      <family val="2"/>
      <scheme val="minor"/>
    </font>
    <font>
      <b/>
      <sz val="11"/>
      <color theme="1"/>
      <name val="Calibri"/>
      <family val="2"/>
      <scheme val="minor"/>
    </font>
    <font>
      <sz val="8"/>
      <name val="Calibri"/>
      <family val="2"/>
      <scheme val="minor"/>
    </font>
    <font>
      <b/>
      <sz val="9"/>
      <color theme="1"/>
      <name val="Calibri"/>
      <family val="2"/>
      <scheme val="minor"/>
    </font>
    <font>
      <b/>
      <i/>
      <sz val="11"/>
      <color theme="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theme="4" tint="0.79998168889431442"/>
      </patternFill>
    </fill>
  </fills>
  <borders count="20">
    <border>
      <left/>
      <right/>
      <top/>
      <bottom/>
      <diagonal/>
    </border>
    <border>
      <left/>
      <right style="thin">
        <color indexed="64"/>
      </right>
      <top/>
      <bottom/>
      <diagonal/>
    </border>
    <border>
      <left style="thin">
        <color indexed="64"/>
      </left>
      <right/>
      <top/>
      <bottom/>
      <diagonal/>
    </border>
    <border>
      <left/>
      <right style="mediumDashed">
        <color indexed="64"/>
      </right>
      <top/>
      <bottom/>
      <diagonal/>
    </border>
    <border>
      <left/>
      <right style="dashed">
        <color indexed="64"/>
      </right>
      <top/>
      <bottom/>
      <diagonal/>
    </border>
    <border>
      <left style="thin">
        <color indexed="64"/>
      </left>
      <right/>
      <top style="thin">
        <color indexed="64"/>
      </top>
      <bottom/>
      <diagonal/>
    </border>
    <border>
      <left/>
      <right/>
      <top style="thin">
        <color indexed="64"/>
      </top>
      <bottom/>
      <diagonal/>
    </border>
    <border>
      <left/>
      <right style="dashed">
        <color indexed="64"/>
      </right>
      <top style="thin">
        <color indexed="64"/>
      </top>
      <bottom/>
      <diagonal/>
    </border>
    <border>
      <left/>
      <right style="mediumDashed">
        <color indexed="64"/>
      </right>
      <top style="thin">
        <color indexed="64"/>
      </top>
      <bottom/>
      <diagonal/>
    </border>
    <border>
      <left/>
      <right style="thin">
        <color indexed="64"/>
      </right>
      <top style="thin">
        <color indexed="64"/>
      </top>
      <bottom/>
      <diagonal/>
    </border>
    <border>
      <left style="mediumDashed">
        <color indexed="64"/>
      </left>
      <right/>
      <top style="thin">
        <color indexed="64"/>
      </top>
      <bottom/>
      <diagonal/>
    </border>
    <border>
      <left style="mediumDashed">
        <color indexed="64"/>
      </left>
      <right/>
      <top/>
      <bottom/>
      <diagonal/>
    </border>
    <border>
      <left/>
      <right/>
      <top/>
      <bottom style="thin">
        <color indexed="64"/>
      </bottom>
      <diagonal/>
    </border>
    <border>
      <left/>
      <right style="dashed">
        <color indexed="64"/>
      </right>
      <top/>
      <bottom style="thin">
        <color indexed="64"/>
      </bottom>
      <diagonal/>
    </border>
    <border>
      <left/>
      <right style="mediumDashed">
        <color indexed="64"/>
      </right>
      <top/>
      <bottom style="thin">
        <color indexed="64"/>
      </bottom>
      <diagonal/>
    </border>
    <border>
      <left style="dashed">
        <color auto="1"/>
      </left>
      <right/>
      <top/>
      <bottom/>
      <diagonal/>
    </border>
    <border>
      <left style="dashed">
        <color auto="1"/>
      </left>
      <right/>
      <top/>
      <bottom style="thin">
        <color indexed="64"/>
      </bottom>
      <diagonal/>
    </border>
    <border>
      <left style="dashed">
        <color auto="1"/>
      </left>
      <right/>
      <top style="thin">
        <color indexed="64"/>
      </top>
      <bottom/>
      <diagonal/>
    </border>
    <border>
      <left/>
      <right/>
      <top style="thin">
        <color theme="4" tint="0.39997558519241921"/>
      </top>
      <bottom/>
      <diagonal/>
    </border>
    <border>
      <left style="mediumDashed">
        <color indexed="64"/>
      </left>
      <right/>
      <top/>
      <bottom style="thin">
        <color indexed="64"/>
      </bottom>
      <diagonal/>
    </border>
  </borders>
  <cellStyleXfs count="1">
    <xf numFmtId="0" fontId="0" fillId="0" borderId="0"/>
  </cellStyleXfs>
  <cellXfs count="73">
    <xf numFmtId="0" fontId="0" fillId="0" borderId="0" xfId="0"/>
    <xf numFmtId="0" fontId="2"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6" xfId="0" applyBorder="1"/>
    <xf numFmtId="0" fontId="2" fillId="3" borderId="0" xfId="0" applyFont="1" applyFill="1" applyAlignment="1">
      <alignment horizontal="center" vertical="center" wrapText="1"/>
    </xf>
    <xf numFmtId="0" fontId="0" fillId="0" borderId="0" xfId="0"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9" xfId="0" applyFont="1" applyBorder="1" applyAlignment="1">
      <alignment horizontal="center"/>
    </xf>
    <xf numFmtId="0" fontId="0" fillId="0" borderId="6" xfId="0" applyBorder="1" applyAlignment="1">
      <alignment horizontal="center"/>
    </xf>
    <xf numFmtId="9" fontId="0" fillId="0" borderId="0" xfId="0" applyNumberFormat="1"/>
    <xf numFmtId="0" fontId="5" fillId="4" borderId="0" xfId="0" applyFont="1" applyFill="1" applyAlignment="1">
      <alignment horizontal="center"/>
    </xf>
    <xf numFmtId="0" fontId="0" fillId="0" borderId="0" xfId="0" applyAlignment="1">
      <alignment horizontal="right"/>
    </xf>
    <xf numFmtId="0" fontId="0" fillId="0" borderId="0" xfId="0" applyAlignment="1">
      <alignment horizontal="right" vertical="center"/>
    </xf>
    <xf numFmtId="0" fontId="6" fillId="0" borderId="0" xfId="0" applyFont="1"/>
    <xf numFmtId="0" fontId="1" fillId="0" borderId="0" xfId="0" applyFont="1" applyAlignment="1">
      <alignment horizontal="left" vertical="center"/>
    </xf>
    <xf numFmtId="9" fontId="1" fillId="0" borderId="0" xfId="0" applyNumberFormat="1" applyFont="1" applyAlignment="1">
      <alignment horizontal="left" vertical="center"/>
    </xf>
    <xf numFmtId="0" fontId="0" fillId="0" borderId="6" xfId="0" applyBorder="1" applyAlignment="1">
      <alignment horizontal="left" vertical="center"/>
    </xf>
    <xf numFmtId="9" fontId="0" fillId="0" borderId="6" xfId="0" applyNumberFormat="1" applyBorder="1" applyAlignment="1">
      <alignment horizontal="left" vertical="center"/>
    </xf>
    <xf numFmtId="0" fontId="0" fillId="0" borderId="0" xfId="0" applyAlignment="1">
      <alignment horizontal="left" vertical="center"/>
    </xf>
    <xf numFmtId="9" fontId="0" fillId="0" borderId="0" xfId="0" applyNumberFormat="1" applyAlignment="1">
      <alignment horizontal="left" vertical="center"/>
    </xf>
    <xf numFmtId="9" fontId="1" fillId="0" borderId="4" xfId="0" applyNumberFormat="1" applyFont="1" applyBorder="1" applyAlignment="1">
      <alignment horizontal="left" vertical="center"/>
    </xf>
    <xf numFmtId="0" fontId="0" fillId="0" borderId="4" xfId="0" applyBorder="1" applyAlignment="1">
      <alignment horizontal="left" vertical="center"/>
    </xf>
    <xf numFmtId="9" fontId="1" fillId="0" borderId="3" xfId="0" applyNumberFormat="1" applyFont="1" applyBorder="1" applyAlignment="1">
      <alignment horizontal="left" vertical="center"/>
    </xf>
    <xf numFmtId="0" fontId="0" fillId="0" borderId="3" xfId="0" applyBorder="1" applyAlignment="1">
      <alignment horizontal="left" vertical="center"/>
    </xf>
    <xf numFmtId="0" fontId="4" fillId="0" borderId="0" xfId="0" applyFont="1" applyAlignment="1">
      <alignment horizontal="center"/>
    </xf>
    <xf numFmtId="0" fontId="0" fillId="0" borderId="5" xfId="0" applyBorder="1" applyAlignment="1">
      <alignment horizontal="left" vertical="center"/>
    </xf>
    <xf numFmtId="0" fontId="0" fillId="0" borderId="2" xfId="0" applyBorder="1" applyAlignment="1">
      <alignment horizontal="left" vertical="center"/>
    </xf>
    <xf numFmtId="0" fontId="1" fillId="0" borderId="6" xfId="0" applyFont="1" applyBorder="1" applyAlignment="1">
      <alignment horizontal="left" vertical="center"/>
    </xf>
    <xf numFmtId="9" fontId="1" fillId="0" borderId="6" xfId="0" applyNumberFormat="1" applyFont="1" applyBorder="1" applyAlignment="1">
      <alignment horizontal="left" vertical="center"/>
    </xf>
    <xf numFmtId="9" fontId="1" fillId="0" borderId="7" xfId="0" applyNumberFormat="1" applyFont="1" applyBorder="1" applyAlignment="1">
      <alignment horizontal="left" vertical="center"/>
    </xf>
    <xf numFmtId="9" fontId="1" fillId="0" borderId="8" xfId="0" applyNumberFormat="1" applyFont="1" applyBorder="1" applyAlignment="1">
      <alignment horizontal="left" vertical="center"/>
    </xf>
    <xf numFmtId="9" fontId="3" fillId="2" borderId="0" xfId="0" applyNumberFormat="1" applyFont="1" applyFill="1" applyAlignment="1">
      <alignment horizontal="center"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8" fillId="5" borderId="0" xfId="0" applyFont="1" applyFill="1" applyAlignment="1">
      <alignment horizontal="center" vertical="center" wrapText="1"/>
    </xf>
    <xf numFmtId="0" fontId="1" fillId="0" borderId="12" xfId="0" applyFont="1" applyBorder="1" applyAlignment="1">
      <alignment horizontal="left" vertical="center"/>
    </xf>
    <xf numFmtId="9" fontId="1" fillId="0" borderId="12" xfId="0" applyNumberFormat="1" applyFont="1" applyBorder="1" applyAlignment="1">
      <alignment horizontal="left" vertical="center"/>
    </xf>
    <xf numFmtId="9" fontId="1" fillId="0" borderId="13" xfId="0" applyNumberFormat="1" applyFont="1" applyBorder="1" applyAlignment="1">
      <alignment horizontal="left" vertical="center"/>
    </xf>
    <xf numFmtId="0" fontId="0" fillId="0" borderId="12" xfId="0" applyBorder="1" applyAlignment="1">
      <alignment horizontal="left" vertical="center"/>
    </xf>
    <xf numFmtId="0" fontId="3" fillId="2" borderId="15" xfId="0" applyFont="1" applyFill="1" applyBorder="1" applyAlignment="1">
      <alignment horizontal="center" vertical="center" wrapText="1"/>
    </xf>
    <xf numFmtId="0" fontId="1" fillId="0" borderId="15" xfId="0" applyFont="1" applyBorder="1" applyAlignment="1">
      <alignment horizontal="left" vertical="center"/>
    </xf>
    <xf numFmtId="0" fontId="1" fillId="0" borderId="16" xfId="0" applyFont="1" applyBorder="1" applyAlignment="1">
      <alignment horizontal="left" vertical="center"/>
    </xf>
    <xf numFmtId="0" fontId="0" fillId="0" borderId="15" xfId="0" applyBorder="1" applyAlignment="1">
      <alignment horizontal="left" vertical="center"/>
    </xf>
    <xf numFmtId="0" fontId="0" fillId="0" borderId="17" xfId="0" applyBorder="1" applyAlignment="1">
      <alignment horizontal="left" vertical="center"/>
    </xf>
    <xf numFmtId="0" fontId="0" fillId="0" borderId="16" xfId="0" applyBorder="1" applyAlignment="1">
      <alignment horizontal="left" vertical="center"/>
    </xf>
    <xf numFmtId="0" fontId="3" fillId="2" borderId="11" xfId="0" applyFont="1" applyFill="1" applyBorder="1" applyAlignment="1">
      <alignment horizontal="center" vertical="center" wrapText="1"/>
    </xf>
    <xf numFmtId="0" fontId="0" fillId="6" borderId="18" xfId="0" applyFill="1" applyBorder="1"/>
    <xf numFmtId="0" fontId="0" fillId="0" borderId="18" xfId="0" applyBorder="1"/>
    <xf numFmtId="9" fontId="0" fillId="6" borderId="18" xfId="0" applyNumberFormat="1" applyFill="1" applyBorder="1"/>
    <xf numFmtId="9" fontId="0" fillId="0" borderId="18" xfId="0" applyNumberFormat="1" applyBorder="1"/>
    <xf numFmtId="0" fontId="9" fillId="4" borderId="0" xfId="0" applyFont="1" applyFill="1" applyAlignment="1">
      <alignment horizontal="center"/>
    </xf>
    <xf numFmtId="9" fontId="0" fillId="0" borderId="4" xfId="0" applyNumberFormat="1" applyBorder="1" applyAlignment="1">
      <alignment horizontal="left" vertical="center"/>
    </xf>
    <xf numFmtId="9" fontId="0" fillId="0" borderId="7" xfId="0" applyNumberFormat="1" applyBorder="1" applyAlignment="1">
      <alignment horizontal="left" vertical="center"/>
    </xf>
    <xf numFmtId="9" fontId="0" fillId="0" borderId="3" xfId="0" applyNumberFormat="1" applyBorder="1" applyAlignment="1">
      <alignment horizontal="left" vertical="center"/>
    </xf>
    <xf numFmtId="9" fontId="0" fillId="0" borderId="8" xfId="0" applyNumberFormat="1" applyBorder="1" applyAlignment="1">
      <alignment horizontal="left" vertical="center"/>
    </xf>
    <xf numFmtId="0" fontId="0" fillId="0" borderId="5" xfId="0" applyBorder="1" applyAlignment="1">
      <alignment horizontal="center"/>
    </xf>
    <xf numFmtId="0" fontId="0" fillId="0" borderId="2" xfId="0" applyBorder="1" applyAlignment="1">
      <alignment horizontal="center"/>
    </xf>
    <xf numFmtId="11" fontId="0" fillId="0" borderId="0" xfId="0" applyNumberFormat="1"/>
    <xf numFmtId="0" fontId="1" fillId="0" borderId="19" xfId="0" applyFont="1" applyBorder="1" applyAlignment="1">
      <alignment horizontal="left" vertical="center"/>
    </xf>
    <xf numFmtId="9" fontId="0" fillId="0" borderId="14" xfId="0" applyNumberFormat="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9" fontId="0" fillId="0" borderId="12" xfId="0" applyNumberFormat="1" applyBorder="1" applyAlignment="1">
      <alignment horizontal="left" vertical="center"/>
    </xf>
    <xf numFmtId="0" fontId="0" fillId="0" borderId="19" xfId="0" applyBorder="1" applyAlignment="1">
      <alignment horizontal="left" vertical="center"/>
    </xf>
    <xf numFmtId="9" fontId="0" fillId="0" borderId="13" xfId="0" applyNumberFormat="1" applyBorder="1" applyAlignment="1">
      <alignment horizontal="left" vertical="center"/>
    </xf>
    <xf numFmtId="9" fontId="0" fillId="0" borderId="19" xfId="0" applyNumberFormat="1" applyBorder="1" applyAlignment="1">
      <alignment horizontal="left" vertical="center"/>
    </xf>
    <xf numFmtId="9" fontId="0" fillId="0" borderId="10" xfId="0" applyNumberFormat="1" applyBorder="1" applyAlignment="1">
      <alignment horizontal="left" vertical="center"/>
    </xf>
    <xf numFmtId="9" fontId="0" fillId="0" borderId="11" xfId="0" applyNumberFormat="1" applyBorder="1" applyAlignment="1">
      <alignment horizontal="left" vertical="center"/>
    </xf>
    <xf numFmtId="9" fontId="0" fillId="0" borderId="17" xfId="0" applyNumberFormat="1" applyBorder="1" applyAlignment="1">
      <alignment horizontal="left" vertical="center"/>
    </xf>
    <xf numFmtId="0" fontId="6" fillId="0" borderId="0" xfId="0" applyFont="1" applyAlignment="1">
      <alignment horizontal="center"/>
    </xf>
  </cellXfs>
  <cellStyles count="1">
    <cellStyle name="Normal" xfId="0" builtinId="0"/>
  </cellStyles>
  <dxfs count="21">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strike val="0"/>
        <condense val="0"/>
        <extend val="0"/>
        <outline val="0"/>
        <shadow val="0"/>
        <u val="none"/>
        <vertAlign val="baseline"/>
        <sz val="11"/>
        <color theme="0"/>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Xerome  Fernández Álvarez" id="{7158B863-74C2-41FC-A847-64E8ABCADCDE}" userId="S::xerome.fernandez.alvarez@bpie.eu::cff808cf-fcaf-4fd8-83be-87252527bc1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D2EBE-7DA7-4D50-89D8-BE76BB6CFC3E}" name="DHW_Group1" displayName="DHW_Group1" ref="C28:F40" totalsRowShown="0" headerRowDxfId="20">
  <autoFilter ref="C28:F40" xr:uid="{D9AD2EBE-7DA7-4D50-89D8-BE76BB6CFC3E}"/>
  <sortState xmlns:xlrd2="http://schemas.microsoft.com/office/spreadsheetml/2017/richdata2" ref="C29:F40">
    <sortCondition ref="D29:D40"/>
    <sortCondition ref="E29:E40"/>
    <sortCondition ref="F29:F40"/>
  </sortState>
  <tableColumns count="4">
    <tableColumn id="1" xr3:uid="{2D977356-E16E-4308-ACF6-6A4167AE3E86}" name="Technology"/>
    <tableColumn id="2" xr3:uid="{F88A5401-9162-4E8E-8309-FAB97FAAB55A}" name="Dimensions"/>
    <tableColumn id="3" xr3:uid="{61DC8947-0522-42C6-904E-E0C20EDE3546}" name="Fuel"/>
    <tableColumn id="4" xr3:uid="{3F27C16E-20ED-44BF-A78B-58481A6C5F4F}" name="Efficiency"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B6FE8-0E24-4B4E-9A15-1C5D88150E99}" name="Heating_Group2" displayName="Heating_Group2" ref="H10:K20" totalsRowShown="0" headerRowDxfId="18">
  <autoFilter ref="H10:K20" xr:uid="{9C4B6FE8-0E24-4B4E-9A15-1C5D88150E99}"/>
  <sortState xmlns:xlrd2="http://schemas.microsoft.com/office/spreadsheetml/2017/richdata2" ref="H11:K20">
    <sortCondition ref="I11:I20"/>
    <sortCondition ref="J11:J20"/>
    <sortCondition ref="K11:K20"/>
  </sortState>
  <tableColumns count="4">
    <tableColumn id="1" xr3:uid="{4FC6F497-D89D-46DC-A456-0C58731A1A3E}" name="Technology"/>
    <tableColumn id="2" xr3:uid="{D687A10E-73C1-4AAE-A8BB-A6B980B3662F}" name="Dimensions"/>
    <tableColumn id="3" xr3:uid="{199BE0FB-946C-4961-9CAD-BABDDF96745C}" name="Fuel"/>
    <tableColumn id="4" xr3:uid="{97AC87AE-D828-4254-B977-7251D296369A}" name="Efficiency"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DF7E7B-214D-48FC-BCF8-13D4AB4241ED}" name="Heating_Group3" displayName="Heating_Group3" ref="M10:P18" totalsRowShown="0" headerRowDxfId="16">
  <autoFilter ref="M10:P18" xr:uid="{07DF7E7B-214D-48FC-BCF8-13D4AB4241ED}"/>
  <sortState xmlns:xlrd2="http://schemas.microsoft.com/office/spreadsheetml/2017/richdata2" ref="M11:P18">
    <sortCondition ref="N11:N18"/>
    <sortCondition ref="O11:O18"/>
    <sortCondition ref="P11:P18"/>
  </sortState>
  <tableColumns count="4">
    <tableColumn id="1" xr3:uid="{6EF07136-D94F-4B83-9AC7-0E2EBDB55013}" name="Technology"/>
    <tableColumn id="2" xr3:uid="{A68EEC83-3EAB-49BB-9D16-BE7507592DD3}" name="Dimensions"/>
    <tableColumn id="3" xr3:uid="{C885B319-E8B0-4B68-A1F1-0123B14EA8DE}" name="Fuel"/>
    <tableColumn id="4" xr3:uid="{F740879A-5DBE-468B-83ED-800C247B04F4}" name="Efficiency"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0FA1BB-E622-4E50-B35E-E8BC34CD46D2}" name="Heating_Group1" displayName="Heating_Group1" ref="C10:F25" totalsRowShown="0" headerRowDxfId="14">
  <autoFilter ref="C10:F25" xr:uid="{8B0FA1BB-E622-4E50-B35E-E8BC34CD46D2}"/>
  <sortState xmlns:xlrd2="http://schemas.microsoft.com/office/spreadsheetml/2017/richdata2" ref="C11:F25">
    <sortCondition ref="D11:D25"/>
    <sortCondition ref="E11:E25"/>
    <sortCondition ref="F11:F25"/>
  </sortState>
  <tableColumns count="4">
    <tableColumn id="1" xr3:uid="{CCCC9F9D-12D0-4A24-BEA7-6F69A670710F}" name="Technology"/>
    <tableColumn id="2" xr3:uid="{2B0E740F-45BB-43A8-B1F8-862514DC3C3C}" name="Dimensions"/>
    <tableColumn id="3" xr3:uid="{A86232C4-F7B2-4636-9D40-EBD3803AC9F2}" name="Fuel"/>
    <tableColumn id="4" xr3:uid="{B677963F-723A-4960-9D39-DDA04487660B}" name="Efficiency"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B63DDB-92C7-42F9-9B65-1AB71859F683}" name="DHW_Group2" displayName="DHW_Group2" ref="H28:K36" totalsRowShown="0" headerRowDxfId="12">
  <autoFilter ref="H28:K36" xr:uid="{E0B63DDB-92C7-42F9-9B65-1AB71859F683}"/>
  <sortState xmlns:xlrd2="http://schemas.microsoft.com/office/spreadsheetml/2017/richdata2" ref="H29:K36">
    <sortCondition ref="I29:I36"/>
    <sortCondition ref="J29:J36"/>
    <sortCondition ref="K29:K36"/>
  </sortState>
  <tableColumns count="4">
    <tableColumn id="1" xr3:uid="{FA5DA5FF-D48E-4E30-91F7-CC63B8FC6BBE}" name="Technology"/>
    <tableColumn id="2" xr3:uid="{FBBFBE2A-DD47-427E-A232-22C591FB24C1}" name="Dimensions"/>
    <tableColumn id="3" xr3:uid="{F48BE425-E4A6-443C-90EA-16082B5963DF}" name="Fuel"/>
    <tableColumn id="4" xr3:uid="{7F82A7ED-64A6-4429-BCAE-BB80CB694376}" name="Efficiency"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9BB2BE-6953-4DB3-B876-A1127A96111E}" name="DHW_Group3" displayName="DHW_Group3" ref="M28:P36" totalsRowShown="0" headerRowDxfId="10">
  <autoFilter ref="M28:P36" xr:uid="{3C9BB2BE-6953-4DB3-B876-A1127A96111E}"/>
  <sortState xmlns:xlrd2="http://schemas.microsoft.com/office/spreadsheetml/2017/richdata2" ref="M29:P36">
    <sortCondition ref="N29:N36"/>
    <sortCondition ref="O29:O36"/>
    <sortCondition ref="P29:P36"/>
  </sortState>
  <tableColumns count="4">
    <tableColumn id="1" xr3:uid="{F4B9F199-ABCD-4D3F-9387-B36F7F5DBC5C}" name="Technology"/>
    <tableColumn id="2" xr3:uid="{07F62A3B-43C2-4E74-99B7-582EC2B0A3BA}" name="Dimensions"/>
    <tableColumn id="3" xr3:uid="{1B20220D-0605-485E-8678-2A94FBEA0337}" name="Fuel"/>
    <tableColumn id="4" xr3:uid="{2BE4149A-93B5-4C88-8DC9-C13C9E395F17}" name="Efficienc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073E71-53E0-41FF-A253-5E092478B509}" name="DHW_Group4" displayName="DHW_Group4" ref="R28:U39" totalsRowShown="0" headerRowDxfId="8">
  <autoFilter ref="R28:U39" xr:uid="{7E073E71-53E0-41FF-A253-5E092478B509}"/>
  <sortState xmlns:xlrd2="http://schemas.microsoft.com/office/spreadsheetml/2017/richdata2" ref="R29:U39">
    <sortCondition ref="S29:S39"/>
    <sortCondition ref="T29:T39"/>
    <sortCondition ref="U29:U39"/>
  </sortState>
  <tableColumns count="4">
    <tableColumn id="1" xr3:uid="{881CBCB9-88B5-4951-A302-B2AF57ABFEC6}" name="Technology"/>
    <tableColumn id="2" xr3:uid="{EC7E6969-6CD9-4500-916F-246B37683C7D}" name="Dimensions"/>
    <tableColumn id="3" xr3:uid="{23F40ABD-DBBF-4B20-9348-BA1041889677}" name="Fuel"/>
    <tableColumn id="4" xr3:uid="{F7E2A979-DF62-4514-959B-0A19A73982D9}" name="Efficiency" dataDxfId="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217E93-F66E-437F-8311-32A04C67A36A}" name="Heating_Group4" displayName="Heating_Group4" ref="R10:U20" totalsRowShown="0" headerRowDxfId="6" dataDxfId="5" tableBorderDxfId="4">
  <autoFilter ref="R10:U20" xr:uid="{9B217E93-F66E-437F-8311-32A04C67A36A}"/>
  <sortState xmlns:xlrd2="http://schemas.microsoft.com/office/spreadsheetml/2017/richdata2" ref="R11:U20">
    <sortCondition ref="S11:S20"/>
    <sortCondition ref="T11:T20"/>
    <sortCondition ref="U11:U20"/>
  </sortState>
  <tableColumns count="4">
    <tableColumn id="1" xr3:uid="{B24A4D53-A1CA-48BE-9585-A7DC9B5E0107}" name="Technology" dataDxfId="3"/>
    <tableColumn id="2" xr3:uid="{9295A516-F2EF-46D2-B9CE-FB888C4DB2F3}" name="Dimensions" dataDxfId="2"/>
    <tableColumn id="3" xr3:uid="{C9978948-3709-4B80-8B3E-CBB3DDE5C4F4}" name="Fuel" dataDxfId="1"/>
    <tableColumn id="4" xr3:uid="{1537B1B5-2715-4465-9CA0-E5090C012B2E}" name="Efficie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7" dT="2022-02-09T09:15:01.95" personId="{7158B863-74C2-41FC-A847-64E8ABCADCDE}" id="{17979976-0128-4D39-935A-B23AC5C156E2}">
    <text>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ext>
  </threadedComment>
  <threadedComment ref="V28" dT="2022-02-09T10:19:00.55" personId="{7158B863-74C2-41FC-A847-64E8ABCADCDE}" id="{41503B2D-9A99-40C5-95F2-1C86FD1A4046}">
    <text>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ext>
  </threadedComment>
  <threadedComment ref="V29" dT="2022-02-09T10:26:35.33" personId="{7158B863-74C2-41FC-A847-64E8ABCADCDE}" id="{98640530-B731-4A82-A59C-5D9DC730DE64}">
    <text>Condensing boilers are most widespread, being widespread individual an central ones, both fueloil and gas-powered. Individual fueloil ones are the only present in TABULA, so they feature as 50%, whereas central and individual gas ones take 25% each</text>
  </threadedComment>
  <threadedComment ref="V34" dT="2022-02-09T10:50:28.73" personId="{7158B863-74C2-41FC-A847-64E8ABCADCDE}" id="{C646F204-E484-439C-9DDF-97B91580892F}">
    <text>non condensing gas dominates 1971-1980, and condensing fueloil and gas (both widespread, 50/50) the 1981-1990 period. therefore, a 50/25/25 distribution was considered.</text>
  </threadedComment>
  <threadedComment ref="V39" dT="2022-02-09T10:50:28.73" personId="{7158B863-74C2-41FC-A847-64E8ABCADCDE}" id="{20478FA1-38A1-49F6-8813-A92463DD9B62}">
    <text>non condensing gas dominates 1971-1980, and condensing fueloil and gas (both widespread, 50/50) the 1981-1990 period. therefore, a 50/25/25 distribution was considered.</text>
  </threadedComment>
  <threadedComment ref="V61" dT="2022-02-09T11:52:53.38" personId="{7158B863-74C2-41FC-A847-64E8ABCADCDE}" id="{A6D31A9C-4EC2-491F-B90E-CD577246981B}">
    <text>half of the period (until 2010) is dominated by electric heaters, afterwards it's half non-condensing gas boilers and half solar collectors</text>
  </threadedComment>
  <threadedComment ref="V65" dT="2022-02-09T11:52:53.38" personId="{7158B863-74C2-41FC-A847-64E8ABCADCDE}" id="{78EAE066-080A-43A0-A53E-55100AEDB28D}">
    <text>half of the period (until 2010) is dominated by electric heaters, afterwards it's half non-condensing gas boilers and half solar collectors</text>
  </threadedComment>
  <threadedComment ref="V71" dT="2022-02-09T12:06:31.56" personId="{7158B863-74C2-41FC-A847-64E8ABCADCDE}" id="{CA6C3EDC-FFFE-434E-8DCE-AA7EFFD71B64}">
    <text>untill 1990 the period is dominated by electric, then by non-condensing gas</text>
  </threadedComment>
  <threadedComment ref="V72" dT="2022-02-09T12:04:06.45" personId="{7158B863-74C2-41FC-A847-64E8ABCADCDE}" id="{D5226049-A7FF-490A-914A-377F1DA10040}">
    <text>gradual introduction of condensing boilers considered, as hotmaps only states that boilers are "combined" and doesn't specify condensing or non-condensing</text>
  </threadedComment>
  <threadedComment ref="V78" dT="2022-02-09T12:08:09.57" personId="{7158B863-74C2-41FC-A847-64E8ABCADCDE}" id="{15175DED-4ABA-4C0D-888E-2BA36DC0DD0A}">
    <text>untill 1990 the period is dominated by gas district heating, then by non-condensing gas</text>
  </threadedComment>
  <threadedComment ref="V79" dT="2022-02-09T12:04:06.45" personId="{7158B863-74C2-41FC-A847-64E8ABCADCDE}" id="{418B8251-D5CB-422F-A7F5-531950B89109}">
    <text>gradual introduction of condensing boilers considered, as hotmaps only states that boilers are "combined" and doesn't specify condensing or non-condensing</text>
  </threadedComment>
  <threadedComment ref="V85" dT="2022-02-09T12:08:09.57" personId="{7158B863-74C2-41FC-A847-64E8ABCADCDE}" id="{9E6FF253-FC63-49B6-BCC5-671DFF05D886}">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86" dT="2022-02-09T12:17:45.71" personId="{7158B863-74C2-41FC-A847-64E8ABCADCDE}" id="{3E253C95-30B4-49FE-8E94-FD92DC98A833}">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 ref="AA97" dT="2022-02-09T13:03:12.91" personId="{7158B863-74C2-41FC-A847-64E8ABCADCDE}" id="{96899DE2-9B40-429E-9809-F5D869A576ED}">
    <text>They are widespread but their contribution is considered half of that of mediterranean countrues, so a 25% is considered</text>
  </threadedComment>
  <threadedComment ref="V115" dT="2022-02-09T13:19:43.37" personId="{7158B863-74C2-41FC-A847-64E8ABCADCDE}" id="{1E6B2C57-4A72-4303-A239-A13AF7E3371F}">
    <text>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ext>
  </threadedComment>
  <threadedComment ref="AH115" dT="2022-02-10T13:01:12.49" personId="{7158B863-74C2-41FC-A847-64E8ABCADCDE}" id="{9BD3B7AF-9260-4CDA-B7F5-28B583D2F0D8}">
    <text>10 out of that roughly 50-year period has space cooling systems (2011-2021), therefore, a 20% is assigned</text>
  </threadedComment>
  <threadedComment ref="V116" dT="2022-02-09T15:34:07.24" personId="{7158B863-74C2-41FC-A847-64E8ABCADCDE}" id="{4BD25CD8-6470-4844-9E0E-4CA74F58354D}">
    <text>To clarify: Heat pumps are the "most widespread" technology on DHW while central heating and central are merely "widespread"</text>
  </threadedComment>
  <threadedComment ref="AB123" dT="2022-02-09T13:38:44.17" personId="{7158B863-74C2-41FC-A847-64E8ABCADCDE}" id="{3D86645E-F625-4DCF-81F0-1ACD71EB71DA}">
    <text>As per tabula states, after the year 2000 district heating units had heat recovery and its efficiency increased</text>
  </threadedComment>
  <threadedComment ref="W133" dT="2022-02-09T13:38:44.17" personId="{7158B863-74C2-41FC-A847-64E8ABCADCDE}" id="{4D0E5357-98E8-4088-9C00-D3F50C0299E6}">
    <text>As per tabula states, after the year 2000 district heating units had heat recovery and its efficiency increased</text>
  </threadedComment>
  <threadedComment ref="G136" dT="2022-02-08T14:20:48.91" personId="{7158B863-74C2-41FC-A847-64E8ABCADCDE}" id="{BC2A830C-11B3-4630-A56E-326C625D1366}">
    <text>Fueloil boilers are "most widespread", heat pumps "less widespread"</text>
  </threadedComment>
  <threadedComment ref="V136" dT="2022-02-09T14:42:36.68" personId="{7158B863-74C2-41FC-A847-64E8ABCADCDE}" id="{7C4728B8-A878-498E-B07D-EAC27B949119}">
    <text>Central non-condensing fueloil and gas are widespread, and heat pumps are less widespread, therefore 40/40/20</text>
  </threadedComment>
  <threadedComment ref="V149" dT="2022-02-09T14:47:15.53" personId="{7158B863-74C2-41FC-A847-64E8ABCADCDE}" id="{5F25A048-52C8-4449-B6B9-F12A634C4450}">
    <text>both these boilers and solar collectors are "most widespread"</text>
  </threadedComment>
  <threadedComment ref="G158" dT="2022-02-09T00:45:16.88" personId="{7158B863-74C2-41FC-A847-64E8ABCADCDE}" id="{83F0352A-4455-42AC-B45D-ED9134CEBAC7}">
    <text>around 60% of the period took part before 1996, so the manufactured gas non-condensing boilers up to that year  were less efficient according to the TABULA data</text>
  </threadedComment>
  <threadedComment ref="V159" dT="2022-02-09T15:25:16.86" personId="{7158B863-74C2-41FC-A847-64E8ABCADCDE}" id="{C073B51F-150A-4250-8BAC-C02B9FA0FCA0}">
    <text>On the 15 year period, the first four years are dominated exclusively by non-condensing gas boilers. The remaining 11 years are 50/50 with solar collectors. Therefore, a share of 9,5/15 corresponds to gas non-condensing boilers = 63,2--&gt;60%</text>
  </threadedComment>
  <threadedComment ref="G172" dT="2022-02-08T14:20:14.00" personId="{7158B863-74C2-41FC-A847-64E8ABCADCDE}" id="{19167536-6C44-4B04-8F1C-4C00966188A5}">
    <text>Heat pumps are "most widespread", whereas fueloil boilers are merely "widespread"</text>
  </threadedComment>
  <threadedComment ref="V205" dT="2022-02-09T16:19:00.51" personId="{7158B863-74C2-41FC-A847-64E8ABCADCDE}" id="{0F3ABF8D-31D5-4595-B03A-AAC1218E5804}">
    <text>from 1970 until 1974 (4 out og 6 yers of the period) electric heaters dominate--&gt;66,66%</text>
  </threadedComment>
  <threadedComment ref="V210" dT="2022-02-09T16:18:12.79" personId="{7158B863-74C2-41FC-A847-64E8ABCADCDE}" id="{6253F2E5-514A-43FB-BDD3-D701A229C32C}">
    <text>4 out of 6 years pre-2010 --&gt; individual non-condensing boilers--&gt;66,66%</text>
  </threadedComment>
  <threadedComment ref="G249" dT="2022-02-08T17:35:17.16" personId="{7158B863-74C2-41FC-A847-64E8ABCADCDE}" id="{83F88E84-80E3-4C22-AEF8-3A09F14850CF}">
    <text>For this period from hotmaps Heat pumps are "most widespread" and liquid fuels are "widespread"</text>
  </threadedComment>
  <threadedComment ref="V263" dT="2022-02-09T19:32:37.53" personId="{7158B863-74C2-41FC-A847-64E8ABCADCDE}" id="{4C9F0F4C-38D2-4731-814F-D9318184E93C}">
    <text>out of the 16 years of this period,5 are exclusively of non condensing boiler and 11 of 50/50 with solar collectors. Therefore, 10,5/15=70%--&gt;66,67%</text>
  </threadedComment>
  <threadedComment ref="V271" dT="2022-02-09T19:33:46.35" personId="{7158B863-74C2-41FC-A847-64E8ABCADCDE}" id="{1EB38036-573E-4FCB-B84E-1CF18F653233}">
    <text>Same than tof SFHs but with individual and central instead that only central non-condensing gas boilers</text>
  </threadedComment>
  <threadedComment ref="V278" dT="2022-02-09T19:39:25.33" personId="{7158B863-74C2-41FC-A847-64E8ABCADCDE}" id="{F07A1496-EC5E-4556-B46E-274B2C3064AE}">
    <text>14 years, 9 dominated by indiv. non-condensing boilers and 5 shared by condensing boilers and sollar collectors;--&gt;9/14=64,2%--&gt;60% and 20% for the other two (due to the resolution limitations established)</text>
  </threadedComment>
  <threadedComment ref="G280" dT="2022-02-08T14:20:48.91" personId="{7158B863-74C2-41FC-A847-64E8ABCADCDE}" id="{93F8626D-74BD-42FB-8870-AC86F141C685}">
    <text>Fueloil boilers are "most widespread", heat pumps "less widespread"</text>
  </threadedComment>
  <threadedComment ref="V280" dT="2022-02-09T14:42:36.68" personId="{7158B863-74C2-41FC-A847-64E8ABCADCDE}" id="{8C35A644-C735-4832-83BF-5B9F175009CF}">
    <text>Central non-condensing fueloil and gas are widespread, and heat pumps are less widespread, therefore 40/40/20</text>
  </threadedComment>
  <threadedComment ref="G290" dT="2022-02-08T17:35:17.16" personId="{7158B863-74C2-41FC-A847-64E8ABCADCDE}" id="{B3E7CA18-3B70-4AF3-85BE-7F7E3B078376}">
    <text>until 1945 only stoves, from then until 1964 liquid fueloil boilers. A 2/3-1/3 proportion has been considered</text>
  </threadedComment>
  <threadedComment ref="V290" dT="2022-02-09T19:59:13.78" personId="{7158B863-74C2-41FC-A847-64E8ABCADCDE}" id="{9B10FD16-86FB-45E1-B03B-DECCABED8775}">
    <text>Dominant system until 1945. Until 1969 electric individual heaters prevail as the sole "most widespread". Considered a 50/50 proportion</text>
  </threadedComment>
  <threadedComment ref="C292" dT="2022-02-09T00:13:06.70" personId="{7158B863-74C2-41FC-A847-64E8ABCADCDE}" id="{CF6C79C0-0910-40C8-91F4-20D10FE158C6}">
    <text>No central stoves found in tabula, only individual ones. In any case, the efficiency shouldn't vary greatly</text>
  </threadedComment>
  <threadedComment ref="G292" dT="2022-02-08T23:58:16.22" personId="{7158B863-74C2-41FC-A847-64E8ABCADCDE}" id="{DA0F5380-2E03-4940-AA48-BBBAD82D7E26}">
    <text>central fueloil non-condensing boilers were dominant until 1979, and then individual and central gas boilers took over as "most widespread" until 1991. A 33% for all has been then determined, as 5 years makes up roughly 1/3 of the duration of this period</text>
  </threadedComment>
  <threadedComment ref="H292" dT="2022-02-09T00:08:31.65" personId="{7158B863-74C2-41FC-A847-64E8ABCADCDE}" id="{FBFE35FD-1FAF-49AC-A234-65750C7513CA}">
    <text>Only soild fuel individual stove available from TABULA, mots similar match</text>
  </threadedComment>
  <threadedComment ref="G293" dT="2022-02-09T00:15:44.97" personId="{7158B863-74C2-41FC-A847-64E8ABCADCDE}" id="{B0B72DAD-60B2-4685-B527-08D8DC947EDB}">
    <text>from 1992 until 2000 stoves of solid fuels are most widespread, and durin the 2000-2005 period electric heating is. Therefore a 2/3-1/3 ratio has been assigned</text>
  </threadedComment>
  <threadedComment ref="AH293" dT="2022-02-10T13:20:00.65" personId="{7158B863-74C2-41FC-A847-64E8ABCADCDE}" id="{0BAA1609-CCC8-476E-BF95-58ED56D0E067}">
    <text>5 out of the 13 years of this period have "Most cases YES" in Hotmaps, therefore 5/13=38,4%--&gt;40</text>
  </threadedComment>
  <threadedComment ref="G294" dT="2022-02-09T00:17:19.25" personId="{7158B863-74C2-41FC-A847-64E8ABCADCDE}" id="{B678BC0D-91DA-4F3E-8D35-56ECDD5EA7B4}">
    <text>from 2005 to 2010, electring heating is most widespread, then after 2011 it's central heat pumps</text>
  </threadedComment>
  <threadedComment ref="V294" dT="2022-02-09T20:16:36.12" personId="{7158B863-74C2-41FC-A847-64E8ABCADCDE}" id="{F6588886-5E62-4525-848C-A18F01D938B6}">
    <text>This period is the exact average of the period above and the period below, considering the periods defined in HOTMAPS and here. For resolultion reasons, this average is rounded up to the 2014-2021 period values</text>
  </threadedComment>
  <threadedComment ref="AB294" dT="2022-02-09T20:20:43.52" personId="{7158B863-74C2-41FC-A847-64E8ABCADCDE}" id="{680CBB12-D0D2-4D27-A993-25E6E9E8AB83}">
    <text>Due to resolution limitations, instead of 10% for individual and 10% of central condensing boilers featuring here, 20% of individual ones were chosen as it is a SFH (in case it were a MFH or ABL, central would have prevailed)</text>
  </threadedComment>
  <threadedComment ref="V295" dT="2022-02-09T20:18:14.91" personId="{7158B863-74C2-41FC-A847-64E8ABCADCDE}" id="{8FB236DE-8683-4D6E-8862-FD369BE58769}">
    <text>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ext>
  </threadedComment>
  <threadedComment ref="W296" dT="2022-02-09T20:24:23.80" personId="{7158B863-74C2-41FC-A847-64E8ABCADCDE}" id="{5AADBC03-89A2-41FB-9C65-CBE5B82C22AF}">
    <text>No central electric heaters featuring in TABULA. individual ones take its share,that would correspond to the 25%. Therefore, 50% for individual ones appears here</text>
  </threadedComment>
  <threadedComment ref="V297" dT="2022-02-09T20:28:17.76" personId="{7158B863-74C2-41FC-A847-64E8ABCADCDE}" id="{C32E79B3-3904-4A80-8515-4079AF0A02B8}">
    <text>As this period is right in-between two HOTMAPS periods, half of the above period's shares are attributed in this one + the half of the 100% share of electric heaters corresponding to the 1970-1974 period. Thus,  a 75/25 ratio is obtained</text>
  </threadedComment>
  <threadedComment ref="G298" dT="2022-02-09T00:24:07.11" personId="{7158B863-74C2-41FC-A847-64E8ABCADCDE}" id="{09FEE07E-93CA-4C9F-B5A9-DC241A119041}">
    <text>one third of the period is that of 1970-1979 in hotmaps and the rest 2/3 is assigned to the condensing central boilers dominated 1980-1989 period</text>
  </threadedComment>
  <threadedComment ref="G299" dT="2022-02-09T00:25:54.35" personId="{7158B863-74C2-41FC-A847-64E8ABCADCDE}" id="{2A81D710-FF7E-4286-A28B-0923F112FC71}">
    <text>2/3belong to the 1991-1999 period dominated by electric heaters, then the remaining third to central non-condensing gas boilers era of 2000-2010</text>
  </threadedComment>
  <threadedComment ref="H303" dT="2022-02-09T00:32:46.89" personId="{7158B863-74C2-41FC-A847-64E8ABCADCDE}" id="{A77444D3-9C42-41F9-B864-1A1DBA6FC759}">
    <text>Central fueloil non-condensing system considered the best match to substitute the district heating fueloil non-condensing system defined in hotmaps as most widespread for the 1970-1979 period</text>
  </threadedComment>
  <threadedComment ref="V303" dT="2022-02-09T20:33:17.59" personId="{7158B863-74C2-41FC-A847-64E8ABCADCDE}" id="{0E34A2A9-7F6E-4B5F-889E-31BB10FB00F3}">
    <text>as stated above, this period is in the middle of two different hotmaps periods where two different systems dominate.</text>
  </threadedComment>
  <threadedComment ref="G304" dT="2022-02-09T00:35:01.74" personId="{7158B863-74C2-41FC-A847-64E8ABCADCDE}" id="{5BF57663-BF70-4E15-B6DA-B60EB5D44638}">
    <text>2/3 of the 1974-1991 period assumed to be comprised by the hotmaps 1980-1989 period where individual gas condensing boilers prevailed as "most widespread"</text>
  </threadedComment>
  <threadedComment ref="H304" dT="2022-02-09T00:32:46.89" personId="{7158B863-74C2-41FC-A847-64E8ABCADCDE}" id="{73AFA878-E084-45CE-88FD-933CD242E8C4}">
    <text>Central fueloil non-condensing system considered the best match to substitute the district heating fueloil non-condensing system defined in hotmaps as most widespread for the 1970-1979 period</text>
  </threadedComment>
  <threadedComment ref="V304" dT="2022-02-09T20:34:59.94" personId="{7158B863-74C2-41FC-A847-64E8ABCADCDE}" id="{35AC6896-A7C5-4268-9A9C-4A428244B5C2}">
    <text>11 out the 16 years of this period are dominated by individual non condensing gas boilers: 68,8%--&gt;66%</text>
  </threadedComment>
  <threadedComment ref="V306" dT="2022-02-09T20:37:45.01" personId="{7158B863-74C2-41FC-A847-64E8ABCADCDE}" id="{5529D534-F1B6-44BF-B583-84E69E2FE7AD}">
    <text>this period is in the middle of two of HOTMAPS, non condensing until 2010 and condensing after. 50/50 then</text>
  </threadedComment>
  <threadedComment ref="G308" dT="2022-02-08T14:20:48.91" personId="{7158B863-74C2-41FC-A847-64E8ABCADCDE}" id="{6EFE5839-0183-4F17-96EB-D047BEC15FE4}">
    <text>Fueloil boilers are "most widespread", heat pumps "less widespread"</text>
  </threadedComment>
  <threadedComment ref="V308" dT="2022-02-09T14:42:36.68" personId="{7158B863-74C2-41FC-A847-64E8ABCADCDE}" id="{8CDA551A-9F92-419D-93D9-1C33D80A07CE}">
    <text>Central non-condensing fueloil and gas are widespread, and heat pumps are less widespread, therefore 40/40/20</text>
  </threadedComment>
  <threadedComment ref="G322" dT="2022-02-09T00:45:16.88" personId="{7158B863-74C2-41FC-A847-64E8ABCADCDE}" id="{983A3F6C-EB07-4A09-A828-FC3FCFFAF263}">
    <text>around 60% of the period took part before 1996, so the manufactured gas non-condensing boilers up to that year  were less efficient according to the TABULA data</text>
  </threadedComment>
  <threadedComment ref="V323" dT="2022-02-09T23:33:47.33" personId="{7158B863-74C2-41FC-A847-64E8ABCADCDE}" id="{58DA10DD-E1DE-496C-896E-2AC67C176FD5}">
    <text>out of the 14 years that that period lasts, 4 are exclusively of non-condensing gas boilers and the remaining 10 are 50/50 with solar collectors. Therefore: 9/14=64,3%--&gt;66,7%</text>
  </threadedComment>
  <threadedComment ref="V334" dT="2022-02-09T23:39:48.67" personId="{7158B863-74C2-41FC-A847-64E8ABCADCDE}" id="{EE92E29B-AE93-4FFD-9CAF-D57CD5211007}">
    <text>20 out of the 26 yers of this period are dominated by indiv. gas non-condensing boilers: 20/26=76,9%--&gt;75%. The remaining 25% goes to condensing boilers</text>
  </threadedComment>
  <threadedComment ref="R336" dT="2022-02-09T23:45:33.77" personId="{7158B863-74C2-41FC-A847-64E8ABCADCDE}" id="{DB08086F-3097-43E3-9955-C945BABE5484}">
    <text>TABULA confirms that condensing boilers are dominant in every typology, as for SFHs and MFHs the only definition provided was "combined"</text>
  </threadedComment>
  <threadedComment ref="C361" dT="2022-02-09T01:13:15.77" personId="{7158B863-74C2-41FC-A847-64E8ABCADCDE}" id="{D0A8BB68-5088-4B48-A98E-158024F52174}">
    <text>Hotmaps states that the district heating stations are gas-powered for MFHs and ABLs, but it does it in grey-colored cells as a hypothesis: Checking TABULA, these stations are coal-powered in all cases, so coal district heating stations were assigned instead</text>
  </threadedComment>
  <threadedComment ref="R361" dT="2022-02-09T23:48:57.53" personId="{7158B863-74C2-41FC-A847-64E8ABCADCDE}" id="{FDB1DA03-4A67-4491-B88D-0856114725A2}">
    <text>TABULA confirms coal-powered is actually the current system used for district heating in the country for every MFH and ABL typology</text>
  </threadedComment>
  <threadedComment ref="G377" dT="2022-02-09T00:45:16.88" personId="{7158B863-74C2-41FC-A847-64E8ABCADCDE}" id="{0DBCB201-D223-476C-ADBF-BDD80C5BDEAE}">
    <text>around 60% of the period took part before 1996, so the manufactured gas non-condensing boilers up to that year  were less efficient according to the TABULA data</text>
  </threadedComment>
  <threadedComment ref="V378" dT="2022-02-09T15:25:16.86" personId="{7158B863-74C2-41FC-A847-64E8ABCADCDE}" id="{C9929E93-0F79-41C0-A278-BBD69748EDCA}">
    <text>On the 15 year period, the first four years are dominated exclusively by non-condensing gas boilers. The remaining 11 years are 50/50 with solar collectors. Therefore, a share of 9,5/15 corresponds to gas non-condensing boilers = 63,2--&gt;60%</text>
  </threadedComment>
  <threadedComment ref="G407" dT="2022-02-08T14:20:14.00" personId="{7158B863-74C2-41FC-A847-64E8ABCADCDE}" id="{4BF2FAAE-3B14-4DB7-A65E-C131E403393D}">
    <text>Heat pumps are "most widespread", whereas fueloil boilers are merely "widespread"</text>
  </threadedComment>
  <threadedComment ref="V407" dT="2022-02-09T23:59:16.38" personId="{7158B863-74C2-41FC-A847-64E8ABCADCDE}" id="{F4F6E518-3D4F-4DDE-AAE8-88AB5A83FDED}">
    <text>electricty and central heat pumps are both the most widespread fuel and technology, being non-condensing boilers "widespread" and gas and fueloil both "less widespread". A 60/20/20 proportion was chosen</text>
  </threadedComment>
  <threadedComment ref="G417" dT="2022-02-09T01:27:52.06" personId="{7158B863-74C2-41FC-A847-64E8ABCADCDE}" id="{77C3B169-4C06-45A5-87ED-3F621BB725D4}">
    <text>both biomass and fueloil are "widespread", so 50-50 prevalence</text>
  </threadedComment>
  <threadedComment ref="G418" dT="2022-02-09T01:26:45.21" personId="{7158B863-74C2-41FC-A847-64E8ABCADCDE}" id="{61516BFA-71AA-4D58-BB24-48F2F9A2F672}">
    <text>Biomass boilers in this period are "most widespread" whereas fueloil ones are "less widespread"</text>
  </threadedComment>
  <threadedComment ref="G423" dT="2022-02-09T01:27:52.06" personId="{7158B863-74C2-41FC-A847-64E8ABCADCDE}" id="{388E8922-821B-47CC-9BA4-A556A4D2A9BF}">
    <text>both biomass and fueloil are "widespread", so 50-50 prevalence</text>
  </threadedComment>
  <threadedComment ref="G424" dT="2022-02-09T01:26:45.21" personId="{7158B863-74C2-41FC-A847-64E8ABCADCDE}" id="{05218B1F-3026-47E8-B720-CEE201C16847}">
    <text>Biomass boilers in this period are "most widespread" whereas fueloil ones are "less widespread"</text>
  </threadedComment>
  <threadedComment ref="G429" dT="2022-02-09T01:27:52.06" personId="{7158B863-74C2-41FC-A847-64E8ABCADCDE}" id="{B78AD73E-66B8-4513-8C6C-B4D4EED1F8DC}">
    <text>both biomass and fueloil are "widespread", so 50-50 prevalence</text>
  </threadedComment>
  <threadedComment ref="G430" dT="2022-02-09T01:26:45.21" personId="{7158B863-74C2-41FC-A847-64E8ABCADCDE}" id="{C1E52AA6-05A8-4373-BBB5-095CA654C678}">
    <text>Biomass boilers in this period are "most widespread" whereas fueloil ones are "less widespread"</text>
  </threadedComment>
  <threadedComment ref="B435" dT="2022-02-09T01:34:53.47" personId="{7158B863-74C2-41FC-A847-64E8ABCADCDE}" id="{D22492AF-312C-469D-B164-E32BB0C01DEB}">
    <text>SK is identical to CZ in hotmaps, and CZ data in TABULA pretty much matches that established in hotmaps, so the assumption made in hotmaps for SK with its cells colored in grey (meaning assumption) seems to be fairly accurate</text>
  </threadedComment>
  <threadedComment ref="V439" dT="2022-02-09T12:06:31.56" personId="{7158B863-74C2-41FC-A847-64E8ABCADCDE}" id="{B0C94992-F1A2-489E-9D60-7C165AA4AF89}">
    <text>untill 1990 the period is dominated by electric, then by non-condensing gas</text>
  </threadedComment>
  <threadedComment ref="V440" dT="2022-02-09T12:04:06.45" personId="{7158B863-74C2-41FC-A847-64E8ABCADCDE}" id="{242DD620-A55A-4192-9D43-3715A3B584B9}">
    <text>gradual introduction of condensing boilers considered, as hotmaps only states that boilers are "combined" and doesn't specify condensing or non-condensing</text>
  </threadedComment>
  <threadedComment ref="V446" dT="2022-02-09T12:08:09.57" personId="{7158B863-74C2-41FC-A847-64E8ABCADCDE}" id="{CE1C301C-28ED-41D9-9A7F-ED91910CE8DE}">
    <text>untill 1990 the period is dominated by gas district heating, then by non-condensing gas</text>
  </threadedComment>
  <threadedComment ref="V447" dT="2022-02-09T12:04:06.45" personId="{7158B863-74C2-41FC-A847-64E8ABCADCDE}" id="{F3AAD9DE-A8DC-400E-873D-2787EB57AD74}">
    <text>gradual introduction of condensing boilers considered, as hotmaps only states that boilers are "combined" and doesn't specify condensing or non-condensing</text>
  </threadedComment>
  <threadedComment ref="V453" dT="2022-02-09T12:08:09.57" personId="{7158B863-74C2-41FC-A847-64E8ABCADCDE}" id="{9F6C102D-5841-4A63-A645-14B7A8FF62EE}">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454" dT="2022-02-09T12:17:45.71" personId="{7158B863-74C2-41FC-A847-64E8ABCADCDE}" id="{267CCEBD-9978-4C66-A908-48050467C581}">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P36" dT="2022-02-03T15:58:01.65" personId="{7158B863-74C2-41FC-A847-64E8ABCADCDE}" id="{98D2E19D-E587-4F4B-B5BE-615147806531}">
    <text>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ext>
  </threadedComment>
  <threadedComment ref="F40" dT="2022-02-03T15:58:01.65" personId="{7158B863-74C2-41FC-A847-64E8ABCADCDE}" id="{6D7C4F92-92EC-41C8-83BC-8BBB49F20CD4}">
    <text>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2.vml"/><Relationship Id="rId6" Type="http://schemas.openxmlformats.org/officeDocument/2006/relationships/table" Target="../tables/table5.xml"/><Relationship Id="rId11" Type="http://schemas.microsoft.com/office/2017/10/relationships/threadedComment" Target="../threadedComments/threadedComment2.xml"/><Relationship Id="rId5" Type="http://schemas.openxmlformats.org/officeDocument/2006/relationships/table" Target="../tables/table4.xml"/><Relationship Id="rId10" Type="http://schemas.openxmlformats.org/officeDocument/2006/relationships/comments" Target="../comments2.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DADA-E9A6-4EB7-8DC7-3456389684FE}">
  <dimension ref="A1:AH481"/>
  <sheetViews>
    <sheetView tabSelected="1" zoomScale="60" zoomScaleNormal="60" workbookViewId="0">
      <pane xSplit="1" topLeftCell="B1" activePane="topRight" state="frozen"/>
      <selection activeCell="A349" sqref="A349"/>
      <selection pane="topRight" activeCell="G17" sqref="G17"/>
    </sheetView>
  </sheetViews>
  <sheetFormatPr baseColWidth="10" defaultColWidth="8.83203125" defaultRowHeight="15"/>
  <cols>
    <col min="1" max="1" width="28.83203125" style="9" bestFit="1" customWidth="1"/>
    <col min="2" max="2" width="13.33203125" style="7" bestFit="1" customWidth="1"/>
    <col min="3" max="3" width="48" style="29" bestFit="1" customWidth="1"/>
    <col min="4" max="4" width="9.5" customWidth="1"/>
    <col min="5" max="5" width="9.5" style="21" bestFit="1" customWidth="1"/>
    <col min="6" max="6" width="8.5" style="22" bestFit="1" customWidth="1"/>
    <col min="7" max="7" width="9.5" style="24" bestFit="1" customWidth="1"/>
    <col min="8" max="8" width="51.6640625" style="21" bestFit="1" customWidth="1"/>
    <col min="9" max="10" width="9.5" style="21" bestFit="1" customWidth="1"/>
    <col min="11" max="11" width="8.5" style="22" bestFit="1" customWidth="1"/>
    <col min="12" max="12" width="9.83203125" style="21" bestFit="1" customWidth="1"/>
    <col min="13" max="13" width="50" style="45" bestFit="1" customWidth="1"/>
    <col min="14" max="14" width="9.5" style="21" bestFit="1" customWidth="1"/>
    <col min="15" max="15" width="8.83203125" style="21" bestFit="1" customWidth="1"/>
    <col min="16" max="16" width="8.5" style="22" bestFit="1" customWidth="1"/>
    <col min="17" max="17" width="9.83203125" style="26" bestFit="1" customWidth="1"/>
    <col min="18" max="18" width="48" style="21" bestFit="1" customWidth="1"/>
    <col min="19" max="19" width="9.5" style="21" bestFit="1" customWidth="1"/>
    <col min="20" max="20" width="8.6640625" style="21"/>
    <col min="21" max="21" width="8.83203125" style="22" bestFit="1" customWidth="1"/>
    <col min="22" max="22" width="8.83203125" style="24" bestFit="1" customWidth="1"/>
    <col min="23" max="23" width="53.6640625" style="21" bestFit="1" customWidth="1"/>
    <col min="24" max="25" width="8.6640625" style="21"/>
    <col min="26" max="26" width="8.6640625" style="22" customWidth="1"/>
    <col min="27" max="27" width="8.83203125" style="21" bestFit="1" customWidth="1"/>
    <col min="28" max="28" width="26.83203125" style="45" bestFit="1" customWidth="1"/>
    <col min="29" max="29" width="8.6640625" style="21"/>
    <col min="30" max="30" width="9.5" style="21" bestFit="1" customWidth="1"/>
    <col min="31" max="31" width="8.6640625" style="21" customWidth="1"/>
    <col min="32" max="32" width="10.1640625" style="26" bestFit="1" customWidth="1"/>
    <col min="33" max="33" width="11.5" style="22" customWidth="1"/>
    <col min="34" max="34" width="13.5" bestFit="1" customWidth="1"/>
  </cols>
  <sheetData>
    <row r="1" spans="1:34" s="27" customFormat="1" ht="78">
      <c r="A1" s="6" t="s">
        <v>623</v>
      </c>
      <c r="B1" s="1" t="s">
        <v>622</v>
      </c>
      <c r="C1" s="2" t="s">
        <v>0</v>
      </c>
      <c r="D1" s="2" t="s">
        <v>1</v>
      </c>
      <c r="E1" s="2" t="s">
        <v>2</v>
      </c>
      <c r="F1" s="2" t="s">
        <v>3</v>
      </c>
      <c r="G1" s="3" t="s">
        <v>4</v>
      </c>
      <c r="H1" s="2" t="s">
        <v>5</v>
      </c>
      <c r="I1" s="2" t="s">
        <v>6</v>
      </c>
      <c r="J1" s="2" t="s">
        <v>7</v>
      </c>
      <c r="K1" s="34" t="s">
        <v>8</v>
      </c>
      <c r="L1" s="2" t="s">
        <v>9</v>
      </c>
      <c r="M1" s="2" t="s">
        <v>10</v>
      </c>
      <c r="N1" s="2" t="s">
        <v>11</v>
      </c>
      <c r="O1" s="2" t="s">
        <v>12</v>
      </c>
      <c r="P1" s="34" t="s">
        <v>13</v>
      </c>
      <c r="Q1" s="2" t="s">
        <v>14</v>
      </c>
      <c r="R1" s="48" t="s">
        <v>15</v>
      </c>
      <c r="S1" s="2" t="s">
        <v>16</v>
      </c>
      <c r="T1" s="2" t="s">
        <v>17</v>
      </c>
      <c r="U1" s="34" t="s">
        <v>18</v>
      </c>
      <c r="V1" s="3" t="s">
        <v>19</v>
      </c>
      <c r="W1" s="2" t="s">
        <v>20</v>
      </c>
      <c r="X1" s="2" t="s">
        <v>21</v>
      </c>
      <c r="Y1" s="2" t="s">
        <v>22</v>
      </c>
      <c r="Z1" s="34" t="s">
        <v>23</v>
      </c>
      <c r="AA1" s="2" t="s">
        <v>24</v>
      </c>
      <c r="AB1" s="42" t="s">
        <v>25</v>
      </c>
      <c r="AC1" s="2" t="s">
        <v>26</v>
      </c>
      <c r="AD1" s="2" t="s">
        <v>27</v>
      </c>
      <c r="AE1" s="2" t="s">
        <v>28</v>
      </c>
      <c r="AF1" s="4" t="s">
        <v>29</v>
      </c>
      <c r="AG1" s="2" t="s">
        <v>30</v>
      </c>
      <c r="AH1" s="37" t="s">
        <v>31</v>
      </c>
    </row>
    <row r="2" spans="1:34">
      <c r="A2" s="8" t="s">
        <v>77</v>
      </c>
      <c r="B2" s="7" t="s">
        <v>32</v>
      </c>
      <c r="C2" s="29" t="s">
        <v>78</v>
      </c>
      <c r="D2" t="s">
        <v>34</v>
      </c>
      <c r="E2" s="21" t="s">
        <v>79</v>
      </c>
      <c r="F2" s="22">
        <v>0.81300813008130079</v>
      </c>
      <c r="G2" s="54">
        <v>1</v>
      </c>
      <c r="L2" s="54"/>
      <c r="Q2" s="56"/>
      <c r="R2" s="17" t="s">
        <v>45</v>
      </c>
      <c r="S2" s="17" t="s">
        <v>34</v>
      </c>
      <c r="T2" s="17" t="s">
        <v>35</v>
      </c>
      <c r="U2" s="18">
        <v>0.83333333333333337</v>
      </c>
      <c r="V2" s="23">
        <v>1</v>
      </c>
      <c r="AA2" s="54"/>
      <c r="AF2" s="56"/>
      <c r="AG2" s="22">
        <v>0</v>
      </c>
      <c r="AH2" t="s">
        <v>40</v>
      </c>
    </row>
    <row r="3" spans="1:34">
      <c r="A3" s="8" t="s">
        <v>80</v>
      </c>
      <c r="B3" s="7" t="s">
        <v>32</v>
      </c>
      <c r="C3" s="29" t="s">
        <v>78</v>
      </c>
      <c r="D3" t="s">
        <v>34</v>
      </c>
      <c r="E3" s="21" t="s">
        <v>79</v>
      </c>
      <c r="F3" s="22">
        <v>0.81300813008130079</v>
      </c>
      <c r="G3" s="54">
        <v>1</v>
      </c>
      <c r="L3" s="54"/>
      <c r="Q3" s="56"/>
      <c r="R3" s="17" t="s">
        <v>45</v>
      </c>
      <c r="S3" s="17" t="s">
        <v>34</v>
      </c>
      <c r="T3" s="17" t="s">
        <v>35</v>
      </c>
      <c r="U3" s="18">
        <v>0.83333333333333337</v>
      </c>
      <c r="V3" s="23">
        <v>1</v>
      </c>
      <c r="AA3" s="54"/>
      <c r="AF3" s="56"/>
      <c r="AG3" s="22">
        <v>0</v>
      </c>
      <c r="AH3" t="s">
        <v>40</v>
      </c>
    </row>
    <row r="4" spans="1:34">
      <c r="A4" s="8" t="s">
        <v>81</v>
      </c>
      <c r="B4" s="7" t="s">
        <v>32</v>
      </c>
      <c r="C4" s="29" t="s">
        <v>78</v>
      </c>
      <c r="D4" t="s">
        <v>34</v>
      </c>
      <c r="E4" s="21" t="s">
        <v>79</v>
      </c>
      <c r="F4" s="22">
        <v>0.81300813008130079</v>
      </c>
      <c r="G4" s="54">
        <v>1</v>
      </c>
      <c r="L4" s="54"/>
      <c r="Q4" s="56"/>
      <c r="R4" s="17" t="s">
        <v>45</v>
      </c>
      <c r="S4" s="17" t="s">
        <v>34</v>
      </c>
      <c r="T4" s="17" t="s">
        <v>35</v>
      </c>
      <c r="U4" s="18">
        <v>0.83333333333333337</v>
      </c>
      <c r="V4" s="23">
        <v>1</v>
      </c>
      <c r="AA4" s="54"/>
      <c r="AF4" s="56"/>
      <c r="AG4" s="22">
        <v>0</v>
      </c>
      <c r="AH4" t="s">
        <v>40</v>
      </c>
    </row>
    <row r="5" spans="1:34">
      <c r="A5" s="8" t="s">
        <v>82</v>
      </c>
      <c r="B5" s="7" t="s">
        <v>32</v>
      </c>
      <c r="C5" s="29" t="s">
        <v>78</v>
      </c>
      <c r="D5" t="s">
        <v>34</v>
      </c>
      <c r="E5" s="21" t="s">
        <v>79</v>
      </c>
      <c r="F5" s="22">
        <v>0.81300813008130079</v>
      </c>
      <c r="G5" s="54">
        <v>1</v>
      </c>
      <c r="L5" s="54"/>
      <c r="Q5" s="56"/>
      <c r="R5" s="17" t="s">
        <v>45</v>
      </c>
      <c r="S5" s="17" t="s">
        <v>34</v>
      </c>
      <c r="T5" s="17" t="s">
        <v>35</v>
      </c>
      <c r="U5" s="18">
        <v>0.83333333333333337</v>
      </c>
      <c r="V5" s="23">
        <v>1</v>
      </c>
      <c r="AA5" s="54"/>
      <c r="AF5" s="56"/>
      <c r="AG5" s="22">
        <v>0</v>
      </c>
      <c r="AH5" t="s">
        <v>40</v>
      </c>
    </row>
    <row r="6" spans="1:34">
      <c r="A6" s="8" t="s">
        <v>83</v>
      </c>
      <c r="B6" s="7" t="s">
        <v>32</v>
      </c>
      <c r="C6" s="29" t="s">
        <v>78</v>
      </c>
      <c r="D6" t="s">
        <v>34</v>
      </c>
      <c r="E6" s="21" t="s">
        <v>79</v>
      </c>
      <c r="F6" s="22">
        <v>0.81300813008130079</v>
      </c>
      <c r="G6" s="54">
        <v>1</v>
      </c>
      <c r="L6" s="54"/>
      <c r="Q6" s="56"/>
      <c r="R6" s="17" t="s">
        <v>45</v>
      </c>
      <c r="S6" s="17" t="s">
        <v>34</v>
      </c>
      <c r="T6" s="17" t="s">
        <v>35</v>
      </c>
      <c r="U6" s="18">
        <v>0.83333333333333337</v>
      </c>
      <c r="V6" s="23">
        <v>1</v>
      </c>
      <c r="AA6" s="54"/>
      <c r="AF6" s="56"/>
      <c r="AG6" s="22">
        <v>0</v>
      </c>
      <c r="AH6" t="s">
        <v>40</v>
      </c>
    </row>
    <row r="7" spans="1:34">
      <c r="A7" s="8" t="s">
        <v>84</v>
      </c>
      <c r="B7" s="7" t="s">
        <v>32</v>
      </c>
      <c r="C7" s="29" t="s">
        <v>85</v>
      </c>
      <c r="D7" t="s">
        <v>34</v>
      </c>
      <c r="E7" s="21" t="s">
        <v>79</v>
      </c>
      <c r="F7" s="22">
        <v>0.89285714285714279</v>
      </c>
      <c r="G7" s="54">
        <v>1</v>
      </c>
      <c r="L7" s="54"/>
      <c r="Q7" s="56"/>
      <c r="R7" s="17" t="s">
        <v>45</v>
      </c>
      <c r="S7" s="17" t="s">
        <v>34</v>
      </c>
      <c r="T7" s="17" t="s">
        <v>35</v>
      </c>
      <c r="U7" s="18">
        <v>0.83333333333333337</v>
      </c>
      <c r="V7" s="23">
        <v>0.75</v>
      </c>
      <c r="W7" s="17" t="s">
        <v>39</v>
      </c>
      <c r="X7" s="17" t="s">
        <v>34</v>
      </c>
      <c r="Y7" s="17" t="s">
        <v>35</v>
      </c>
      <c r="Z7" s="18">
        <v>0.84745762711864414</v>
      </c>
      <c r="AA7" s="23">
        <v>0.25</v>
      </c>
      <c r="AF7" s="56"/>
      <c r="AG7" s="22">
        <v>0</v>
      </c>
      <c r="AH7" t="s">
        <v>40</v>
      </c>
    </row>
    <row r="8" spans="1:34">
      <c r="A8" s="8" t="s">
        <v>86</v>
      </c>
      <c r="B8" s="7" t="s">
        <v>32</v>
      </c>
      <c r="C8" s="29" t="s">
        <v>85</v>
      </c>
      <c r="D8" t="s">
        <v>34</v>
      </c>
      <c r="E8" s="21" t="s">
        <v>79</v>
      </c>
      <c r="F8" s="22">
        <v>0.89285714285714279</v>
      </c>
      <c r="G8" s="54">
        <v>1</v>
      </c>
      <c r="L8" s="54"/>
      <c r="Q8" s="56"/>
      <c r="R8" s="17" t="s">
        <v>45</v>
      </c>
      <c r="S8" s="17" t="s">
        <v>34</v>
      </c>
      <c r="T8" s="17" t="s">
        <v>35</v>
      </c>
      <c r="U8" s="18">
        <v>0.83333333333333337</v>
      </c>
      <c r="V8" s="23">
        <v>0.75</v>
      </c>
      <c r="W8" s="17" t="s">
        <v>39</v>
      </c>
      <c r="X8" s="17" t="s">
        <v>34</v>
      </c>
      <c r="Y8" s="17" t="s">
        <v>35</v>
      </c>
      <c r="Z8" s="18">
        <v>0.84745762711864414</v>
      </c>
      <c r="AA8" s="23">
        <v>0.25</v>
      </c>
      <c r="AF8" s="56"/>
      <c r="AG8" s="22">
        <v>0</v>
      </c>
      <c r="AH8" t="s">
        <v>40</v>
      </c>
    </row>
    <row r="9" spans="1:34">
      <c r="A9" s="8" t="s">
        <v>87</v>
      </c>
      <c r="B9" s="7" t="s">
        <v>32</v>
      </c>
      <c r="C9" s="29" t="s">
        <v>85</v>
      </c>
      <c r="D9" t="s">
        <v>34</v>
      </c>
      <c r="E9" s="21" t="s">
        <v>79</v>
      </c>
      <c r="F9" s="22">
        <v>0.89285714285714279</v>
      </c>
      <c r="G9" s="54">
        <v>1</v>
      </c>
      <c r="L9" s="54"/>
      <c r="Q9" s="56"/>
      <c r="R9" s="17" t="s">
        <v>39</v>
      </c>
      <c r="S9" s="17" t="s">
        <v>34</v>
      </c>
      <c r="T9" s="17" t="s">
        <v>35</v>
      </c>
      <c r="U9" s="18">
        <v>0.84745762711864414</v>
      </c>
      <c r="V9" s="23">
        <v>0.5</v>
      </c>
      <c r="W9" s="17" t="s">
        <v>45</v>
      </c>
      <c r="X9" s="17" t="s">
        <v>34</v>
      </c>
      <c r="Y9" s="17" t="s">
        <v>35</v>
      </c>
      <c r="Z9" s="18">
        <v>0.83333333333333337</v>
      </c>
      <c r="AA9" s="23">
        <v>0.5</v>
      </c>
      <c r="AF9" s="56"/>
      <c r="AG9" s="22">
        <v>0</v>
      </c>
      <c r="AH9" t="s">
        <v>40</v>
      </c>
    </row>
    <row r="10" spans="1:34">
      <c r="A10" s="8" t="s">
        <v>88</v>
      </c>
      <c r="B10" s="7" t="s">
        <v>32</v>
      </c>
      <c r="C10" s="29" t="s">
        <v>45</v>
      </c>
      <c r="D10" t="s">
        <v>34</v>
      </c>
      <c r="E10" s="21" t="s">
        <v>35</v>
      </c>
      <c r="F10" s="22">
        <v>0.81300813008130079</v>
      </c>
      <c r="G10" s="54">
        <v>1</v>
      </c>
      <c r="L10" s="54"/>
      <c r="Q10" s="56"/>
      <c r="R10" s="17" t="s">
        <v>45</v>
      </c>
      <c r="S10" s="17" t="s">
        <v>34</v>
      </c>
      <c r="T10" s="17" t="s">
        <v>35</v>
      </c>
      <c r="U10" s="18">
        <v>0.83333333333333337</v>
      </c>
      <c r="V10" s="23">
        <v>1</v>
      </c>
      <c r="AA10" s="54"/>
      <c r="AF10" s="56"/>
      <c r="AG10" s="22">
        <v>0</v>
      </c>
      <c r="AH10" t="s">
        <v>40</v>
      </c>
    </row>
    <row r="11" spans="1:34">
      <c r="A11" s="8" t="s">
        <v>89</v>
      </c>
      <c r="B11" s="7" t="s">
        <v>32</v>
      </c>
      <c r="C11" s="29" t="s">
        <v>45</v>
      </c>
      <c r="D11" t="s">
        <v>34</v>
      </c>
      <c r="E11" s="21" t="s">
        <v>35</v>
      </c>
      <c r="F11" s="22">
        <v>0.81300813008130079</v>
      </c>
      <c r="G11" s="54">
        <v>1</v>
      </c>
      <c r="L11" s="54"/>
      <c r="Q11" s="56"/>
      <c r="R11" s="17" t="s">
        <v>45</v>
      </c>
      <c r="S11" s="17" t="s">
        <v>34</v>
      </c>
      <c r="T11" s="17" t="s">
        <v>35</v>
      </c>
      <c r="U11" s="18">
        <v>0.83333333333333337</v>
      </c>
      <c r="V11" s="23">
        <v>1</v>
      </c>
      <c r="AA11" s="54"/>
      <c r="AF11" s="56"/>
      <c r="AG11" s="22">
        <v>0</v>
      </c>
      <c r="AH11" t="s">
        <v>40</v>
      </c>
    </row>
    <row r="12" spans="1:34">
      <c r="A12" s="8" t="s">
        <v>90</v>
      </c>
      <c r="B12" s="7" t="s">
        <v>32</v>
      </c>
      <c r="C12" s="29" t="s">
        <v>78</v>
      </c>
      <c r="D12" t="s">
        <v>34</v>
      </c>
      <c r="E12" s="21" t="s">
        <v>79</v>
      </c>
      <c r="F12" s="22">
        <v>0.81300813008130079</v>
      </c>
      <c r="G12" s="54">
        <v>1</v>
      </c>
      <c r="L12" s="54"/>
      <c r="Q12" s="56"/>
      <c r="R12" s="17" t="s">
        <v>45</v>
      </c>
      <c r="S12" s="17" t="s">
        <v>34</v>
      </c>
      <c r="T12" s="17" t="s">
        <v>35</v>
      </c>
      <c r="U12" s="18">
        <v>0.83333333333333337</v>
      </c>
      <c r="V12" s="23">
        <v>1</v>
      </c>
      <c r="AA12" s="54"/>
      <c r="AF12" s="56"/>
      <c r="AG12" s="22">
        <v>0</v>
      </c>
      <c r="AH12" t="s">
        <v>40</v>
      </c>
    </row>
    <row r="13" spans="1:34">
      <c r="A13" s="8" t="s">
        <v>91</v>
      </c>
      <c r="B13" s="7" t="s">
        <v>32</v>
      </c>
      <c r="C13" s="29" t="s">
        <v>78</v>
      </c>
      <c r="D13" t="s">
        <v>34</v>
      </c>
      <c r="E13" s="21" t="s">
        <v>79</v>
      </c>
      <c r="F13" s="22">
        <v>0.81300813008130079</v>
      </c>
      <c r="G13" s="54">
        <v>1</v>
      </c>
      <c r="L13" s="54"/>
      <c r="Q13" s="56"/>
      <c r="R13" s="17" t="s">
        <v>45</v>
      </c>
      <c r="S13" s="17" t="s">
        <v>34</v>
      </c>
      <c r="T13" s="17" t="s">
        <v>35</v>
      </c>
      <c r="U13" s="18">
        <v>0.83333333333333337</v>
      </c>
      <c r="V13" s="23">
        <v>1</v>
      </c>
      <c r="AA13" s="54"/>
      <c r="AF13" s="56"/>
      <c r="AG13" s="22">
        <v>0</v>
      </c>
      <c r="AH13" t="s">
        <v>40</v>
      </c>
    </row>
    <row r="14" spans="1:34">
      <c r="A14" s="8" t="s">
        <v>92</v>
      </c>
      <c r="B14" s="7" t="s">
        <v>32</v>
      </c>
      <c r="C14" s="29" t="s">
        <v>78</v>
      </c>
      <c r="D14" t="s">
        <v>34</v>
      </c>
      <c r="E14" s="21" t="s">
        <v>79</v>
      </c>
      <c r="F14" s="22">
        <v>0.81300813008130079</v>
      </c>
      <c r="G14" s="54">
        <v>1</v>
      </c>
      <c r="L14" s="54"/>
      <c r="Q14" s="56"/>
      <c r="R14" s="17" t="s">
        <v>45</v>
      </c>
      <c r="S14" s="17" t="s">
        <v>34</v>
      </c>
      <c r="T14" s="17" t="s">
        <v>35</v>
      </c>
      <c r="U14" s="18">
        <v>0.83333333333333337</v>
      </c>
      <c r="V14" s="23">
        <v>1</v>
      </c>
      <c r="AA14" s="54"/>
      <c r="AF14" s="56"/>
      <c r="AG14" s="22">
        <v>0</v>
      </c>
      <c r="AH14" t="s">
        <v>40</v>
      </c>
    </row>
    <row r="15" spans="1:34">
      <c r="A15" s="8" t="s">
        <v>93</v>
      </c>
      <c r="B15" s="7" t="s">
        <v>32</v>
      </c>
      <c r="C15" s="29" t="s">
        <v>85</v>
      </c>
      <c r="D15" t="s">
        <v>34</v>
      </c>
      <c r="E15" s="21" t="s">
        <v>79</v>
      </c>
      <c r="F15" s="22">
        <v>0.89285714285714279</v>
      </c>
      <c r="G15" s="54">
        <v>1</v>
      </c>
      <c r="L15" s="54"/>
      <c r="Q15" s="56"/>
      <c r="R15" s="17" t="s">
        <v>45</v>
      </c>
      <c r="S15" s="17" t="s">
        <v>34</v>
      </c>
      <c r="T15" s="17" t="s">
        <v>35</v>
      </c>
      <c r="U15" s="18">
        <v>0.83333333333333337</v>
      </c>
      <c r="V15" s="23">
        <v>0.75</v>
      </c>
      <c r="W15" s="17" t="s">
        <v>39</v>
      </c>
      <c r="X15" s="17" t="s">
        <v>34</v>
      </c>
      <c r="Y15" s="17" t="s">
        <v>35</v>
      </c>
      <c r="Z15" s="18">
        <v>0.84745762711864414</v>
      </c>
      <c r="AA15" s="23">
        <v>0.25</v>
      </c>
      <c r="AF15" s="56"/>
      <c r="AG15" s="22">
        <v>0</v>
      </c>
      <c r="AH15" t="s">
        <v>40</v>
      </c>
    </row>
    <row r="16" spans="1:34">
      <c r="A16" s="8" t="s">
        <v>94</v>
      </c>
      <c r="B16" s="7" t="s">
        <v>32</v>
      </c>
      <c r="C16" s="29" t="s">
        <v>85</v>
      </c>
      <c r="D16" t="s">
        <v>34</v>
      </c>
      <c r="E16" s="21" t="s">
        <v>79</v>
      </c>
      <c r="F16" s="22">
        <v>0.89285714285714279</v>
      </c>
      <c r="G16" s="54">
        <v>1</v>
      </c>
      <c r="L16" s="54"/>
      <c r="Q16" s="56"/>
      <c r="R16" s="17" t="s">
        <v>45</v>
      </c>
      <c r="S16" s="17" t="s">
        <v>34</v>
      </c>
      <c r="T16" s="17" t="s">
        <v>35</v>
      </c>
      <c r="U16" s="18">
        <v>0.83333333333333337</v>
      </c>
      <c r="V16" s="23">
        <v>0.75</v>
      </c>
      <c r="W16" s="17" t="s">
        <v>39</v>
      </c>
      <c r="X16" s="17" t="s">
        <v>34</v>
      </c>
      <c r="Y16" s="17" t="s">
        <v>35</v>
      </c>
      <c r="Z16" s="18">
        <v>0.84745762711864414</v>
      </c>
      <c r="AA16" s="23">
        <v>0.25</v>
      </c>
      <c r="AF16" s="56"/>
      <c r="AG16" s="22">
        <v>0</v>
      </c>
      <c r="AH16" t="s">
        <v>40</v>
      </c>
    </row>
    <row r="17" spans="1:34">
      <c r="A17" s="8" t="s">
        <v>95</v>
      </c>
      <c r="B17" s="7" t="s">
        <v>32</v>
      </c>
      <c r="C17" s="29" t="s">
        <v>85</v>
      </c>
      <c r="D17" t="s">
        <v>34</v>
      </c>
      <c r="E17" s="21" t="s">
        <v>79</v>
      </c>
      <c r="F17" s="22">
        <v>0.89285714285714279</v>
      </c>
      <c r="G17" s="54">
        <v>1</v>
      </c>
      <c r="L17" s="54"/>
      <c r="Q17" s="56"/>
      <c r="R17" s="17" t="s">
        <v>39</v>
      </c>
      <c r="S17" s="17" t="s">
        <v>34</v>
      </c>
      <c r="T17" s="17" t="s">
        <v>35</v>
      </c>
      <c r="U17" s="18">
        <v>0.84745762711864414</v>
      </c>
      <c r="V17" s="23">
        <v>0.5</v>
      </c>
      <c r="W17" s="17" t="s">
        <v>45</v>
      </c>
      <c r="X17" s="17" t="s">
        <v>34</v>
      </c>
      <c r="Y17" s="17" t="s">
        <v>35</v>
      </c>
      <c r="Z17" s="18">
        <v>0.83333333333333337</v>
      </c>
      <c r="AA17" s="23">
        <v>0.5</v>
      </c>
      <c r="AF17" s="56"/>
      <c r="AG17" s="22">
        <v>0</v>
      </c>
      <c r="AH17" t="s">
        <v>40</v>
      </c>
    </row>
    <row r="18" spans="1:34">
      <c r="A18" s="8" t="s">
        <v>96</v>
      </c>
      <c r="B18" s="7" t="s">
        <v>32</v>
      </c>
      <c r="C18" s="29" t="s">
        <v>78</v>
      </c>
      <c r="D18" t="s">
        <v>34</v>
      </c>
      <c r="E18" s="21" t="s">
        <v>79</v>
      </c>
      <c r="F18" s="22">
        <v>0.81300813008130079</v>
      </c>
      <c r="G18" s="54">
        <v>0.5</v>
      </c>
      <c r="H18" s="29" t="s">
        <v>45</v>
      </c>
      <c r="I18" t="s">
        <v>34</v>
      </c>
      <c r="J18" s="21" t="s">
        <v>35</v>
      </c>
      <c r="K18" s="22">
        <v>0.81300813008130079</v>
      </c>
      <c r="L18" s="54">
        <v>0.5</v>
      </c>
      <c r="Q18" s="56"/>
      <c r="R18" s="17" t="s">
        <v>45</v>
      </c>
      <c r="S18" s="17" t="s">
        <v>34</v>
      </c>
      <c r="T18" s="17" t="s">
        <v>35</v>
      </c>
      <c r="U18" s="18">
        <v>0.83333333333333337</v>
      </c>
      <c r="V18" s="23">
        <v>1</v>
      </c>
      <c r="AA18" s="54"/>
      <c r="AF18" s="56"/>
      <c r="AG18" s="22">
        <v>0</v>
      </c>
      <c r="AH18" t="s">
        <v>40</v>
      </c>
    </row>
    <row r="19" spans="1:34">
      <c r="A19" s="8" t="s">
        <v>97</v>
      </c>
      <c r="B19" s="7" t="s">
        <v>32</v>
      </c>
      <c r="C19" s="29" t="s">
        <v>78</v>
      </c>
      <c r="D19" t="s">
        <v>34</v>
      </c>
      <c r="E19" s="21" t="s">
        <v>79</v>
      </c>
      <c r="F19" s="22">
        <v>0.81300813008130079</v>
      </c>
      <c r="G19" s="54">
        <v>0.5</v>
      </c>
      <c r="H19" s="29" t="s">
        <v>45</v>
      </c>
      <c r="I19" t="s">
        <v>34</v>
      </c>
      <c r="J19" s="21" t="s">
        <v>35</v>
      </c>
      <c r="K19" s="22">
        <v>0.81300813008130079</v>
      </c>
      <c r="L19" s="54">
        <v>0.5</v>
      </c>
      <c r="Q19" s="56"/>
      <c r="R19" s="17" t="s">
        <v>45</v>
      </c>
      <c r="S19" s="17" t="s">
        <v>34</v>
      </c>
      <c r="T19" s="17" t="s">
        <v>35</v>
      </c>
      <c r="U19" s="18">
        <v>0.83333333333333337</v>
      </c>
      <c r="V19" s="23">
        <v>1</v>
      </c>
      <c r="AA19" s="54"/>
      <c r="AF19" s="56"/>
      <c r="AG19" s="22">
        <v>0</v>
      </c>
      <c r="AH19" t="s">
        <v>40</v>
      </c>
    </row>
    <row r="20" spans="1:34">
      <c r="A20" s="8" t="s">
        <v>98</v>
      </c>
      <c r="B20" s="7" t="s">
        <v>32</v>
      </c>
      <c r="C20" s="29" t="s">
        <v>78</v>
      </c>
      <c r="D20" t="s">
        <v>34</v>
      </c>
      <c r="E20" s="21" t="s">
        <v>79</v>
      </c>
      <c r="F20" s="22">
        <v>0.81300813008130079</v>
      </c>
      <c r="G20" s="54">
        <v>0.5</v>
      </c>
      <c r="H20" s="29" t="s">
        <v>45</v>
      </c>
      <c r="I20" t="s">
        <v>34</v>
      </c>
      <c r="J20" s="21" t="s">
        <v>35</v>
      </c>
      <c r="K20" s="22">
        <v>0.81300813008130079</v>
      </c>
      <c r="L20" s="54">
        <v>0.5</v>
      </c>
      <c r="Q20" s="56"/>
      <c r="R20" s="17" t="s">
        <v>45</v>
      </c>
      <c r="S20" s="17" t="s">
        <v>34</v>
      </c>
      <c r="T20" s="17" t="s">
        <v>35</v>
      </c>
      <c r="U20" s="18">
        <v>0.83333333333333337</v>
      </c>
      <c r="V20" s="23">
        <v>1</v>
      </c>
      <c r="AA20" s="54"/>
      <c r="AF20" s="56"/>
      <c r="AG20" s="22">
        <v>0</v>
      </c>
      <c r="AH20" t="s">
        <v>40</v>
      </c>
    </row>
    <row r="21" spans="1:34">
      <c r="A21" s="8" t="s">
        <v>99</v>
      </c>
      <c r="B21" s="7" t="s">
        <v>32</v>
      </c>
      <c r="C21" s="29" t="s">
        <v>78</v>
      </c>
      <c r="D21" t="s">
        <v>34</v>
      </c>
      <c r="E21" s="21" t="s">
        <v>79</v>
      </c>
      <c r="F21" s="22">
        <v>0.81300813008130079</v>
      </c>
      <c r="G21" s="54">
        <v>0.5</v>
      </c>
      <c r="H21" s="29" t="s">
        <v>45</v>
      </c>
      <c r="I21" t="s">
        <v>34</v>
      </c>
      <c r="J21" s="21" t="s">
        <v>35</v>
      </c>
      <c r="K21" s="22">
        <v>0.81300813008130079</v>
      </c>
      <c r="L21" s="54">
        <v>0.5</v>
      </c>
      <c r="Q21" s="56"/>
      <c r="R21" s="17" t="s">
        <v>45</v>
      </c>
      <c r="S21" s="17" t="s">
        <v>34</v>
      </c>
      <c r="T21" s="17" t="s">
        <v>35</v>
      </c>
      <c r="U21" s="18">
        <v>0.83333333333333337</v>
      </c>
      <c r="V21" s="23">
        <v>1</v>
      </c>
      <c r="AA21" s="54"/>
      <c r="AF21" s="56"/>
      <c r="AG21" s="22">
        <v>0</v>
      </c>
      <c r="AH21" t="s">
        <v>40</v>
      </c>
    </row>
    <row r="22" spans="1:34">
      <c r="A22" s="8" t="s">
        <v>100</v>
      </c>
      <c r="B22" s="7" t="s">
        <v>32</v>
      </c>
      <c r="C22" s="29" t="s">
        <v>78</v>
      </c>
      <c r="D22" t="s">
        <v>34</v>
      </c>
      <c r="E22" s="21" t="s">
        <v>79</v>
      </c>
      <c r="F22" s="22">
        <v>0.81300813008130079</v>
      </c>
      <c r="G22" s="54">
        <v>0.5</v>
      </c>
      <c r="H22" s="29" t="s">
        <v>45</v>
      </c>
      <c r="I22" t="s">
        <v>34</v>
      </c>
      <c r="J22" s="21" t="s">
        <v>35</v>
      </c>
      <c r="K22" s="22">
        <v>0.81300813008130079</v>
      </c>
      <c r="L22" s="54">
        <v>0.5</v>
      </c>
      <c r="Q22" s="56"/>
      <c r="R22" s="17" t="s">
        <v>45</v>
      </c>
      <c r="S22" s="17" t="s">
        <v>34</v>
      </c>
      <c r="T22" s="17" t="s">
        <v>35</v>
      </c>
      <c r="U22" s="18">
        <v>0.83333333333333337</v>
      </c>
      <c r="V22" s="23">
        <v>1</v>
      </c>
      <c r="AA22" s="54"/>
      <c r="AF22" s="56"/>
      <c r="AG22" s="22">
        <v>0</v>
      </c>
      <c r="AH22" t="s">
        <v>40</v>
      </c>
    </row>
    <row r="23" spans="1:34">
      <c r="A23" s="8" t="s">
        <v>101</v>
      </c>
      <c r="B23" s="7" t="s">
        <v>32</v>
      </c>
      <c r="C23" s="29" t="s">
        <v>85</v>
      </c>
      <c r="D23" t="s">
        <v>34</v>
      </c>
      <c r="E23" s="21" t="s">
        <v>79</v>
      </c>
      <c r="F23" s="22">
        <v>0.89285714285714279</v>
      </c>
      <c r="G23" s="54">
        <v>0.5</v>
      </c>
      <c r="H23" s="21" t="s">
        <v>33</v>
      </c>
      <c r="I23" s="21" t="s">
        <v>34</v>
      </c>
      <c r="J23" s="21" t="s">
        <v>35</v>
      </c>
      <c r="K23" s="22">
        <v>0.94339622641509424</v>
      </c>
      <c r="L23" s="54">
        <v>0.5</v>
      </c>
      <c r="Q23" s="56"/>
      <c r="R23" s="17" t="s">
        <v>39</v>
      </c>
      <c r="S23" s="17" t="s">
        <v>34</v>
      </c>
      <c r="T23" s="17" t="s">
        <v>35</v>
      </c>
      <c r="U23" s="18">
        <v>0.84745762711864414</v>
      </c>
      <c r="V23" s="23">
        <v>1</v>
      </c>
      <c r="AA23" s="54"/>
      <c r="AF23" s="56"/>
      <c r="AG23" s="22">
        <v>0</v>
      </c>
      <c r="AH23" t="s">
        <v>40</v>
      </c>
    </row>
    <row r="24" spans="1:34">
      <c r="A24" s="8" t="s">
        <v>102</v>
      </c>
      <c r="B24" s="7" t="s">
        <v>32</v>
      </c>
      <c r="C24" s="29" t="s">
        <v>85</v>
      </c>
      <c r="D24" t="s">
        <v>34</v>
      </c>
      <c r="E24" s="21" t="s">
        <v>79</v>
      </c>
      <c r="F24" s="22">
        <v>0.89285714285714279</v>
      </c>
      <c r="G24" s="54">
        <v>0.5</v>
      </c>
      <c r="H24" s="21" t="s">
        <v>33</v>
      </c>
      <c r="I24" s="21" t="s">
        <v>34</v>
      </c>
      <c r="J24" s="21" t="s">
        <v>35</v>
      </c>
      <c r="K24" s="22">
        <v>0.94339622641509424</v>
      </c>
      <c r="L24" s="54">
        <v>0.5</v>
      </c>
      <c r="Q24" s="56"/>
      <c r="R24" s="17" t="s">
        <v>39</v>
      </c>
      <c r="S24" s="17" t="s">
        <v>34</v>
      </c>
      <c r="T24" s="17" t="s">
        <v>35</v>
      </c>
      <c r="U24" s="18">
        <v>0.84745762711864414</v>
      </c>
      <c r="V24" s="23">
        <v>1</v>
      </c>
      <c r="AA24" s="54"/>
      <c r="AF24" s="56"/>
      <c r="AG24" s="22">
        <v>0</v>
      </c>
      <c r="AH24" t="s">
        <v>40</v>
      </c>
    </row>
    <row r="25" spans="1:34">
      <c r="A25" s="8" t="s">
        <v>103</v>
      </c>
      <c r="B25" s="7" t="s">
        <v>32</v>
      </c>
      <c r="C25" s="29" t="s">
        <v>85</v>
      </c>
      <c r="D25" t="s">
        <v>34</v>
      </c>
      <c r="E25" s="21" t="s">
        <v>79</v>
      </c>
      <c r="F25" s="22">
        <v>0.89285714285714279</v>
      </c>
      <c r="G25" s="54">
        <v>0.5</v>
      </c>
      <c r="H25" s="21" t="s">
        <v>33</v>
      </c>
      <c r="I25" s="21" t="s">
        <v>34</v>
      </c>
      <c r="J25" s="21" t="s">
        <v>35</v>
      </c>
      <c r="K25" s="22">
        <v>0.94339622641509424</v>
      </c>
      <c r="L25" s="54">
        <v>0.5</v>
      </c>
      <c r="Q25" s="56"/>
      <c r="R25" s="17" t="s">
        <v>39</v>
      </c>
      <c r="S25" s="17" t="s">
        <v>34</v>
      </c>
      <c r="T25" s="17" t="s">
        <v>35</v>
      </c>
      <c r="U25" s="18">
        <v>0.84745762711864414</v>
      </c>
      <c r="V25" s="23">
        <v>1</v>
      </c>
      <c r="AA25" s="54"/>
      <c r="AF25" s="56"/>
      <c r="AG25" s="22">
        <v>0</v>
      </c>
      <c r="AH25" t="s">
        <v>40</v>
      </c>
    </row>
    <row r="26" spans="1:34" s="5" customFormat="1">
      <c r="A26" s="10" t="s">
        <v>104</v>
      </c>
      <c r="B26" s="58" t="s">
        <v>42</v>
      </c>
      <c r="C26" s="28" t="s">
        <v>105</v>
      </c>
      <c r="D26" s="5" t="s">
        <v>37</v>
      </c>
      <c r="E26" s="19" t="s">
        <v>79</v>
      </c>
      <c r="F26" s="20">
        <v>0.51020408163265307</v>
      </c>
      <c r="G26" s="55">
        <v>1</v>
      </c>
      <c r="H26" s="19"/>
      <c r="I26" s="19"/>
      <c r="J26" s="19"/>
      <c r="K26" s="20"/>
      <c r="L26" s="55"/>
      <c r="M26" s="46"/>
      <c r="N26" s="19"/>
      <c r="O26" s="19"/>
      <c r="P26" s="20"/>
      <c r="Q26" s="57"/>
      <c r="R26" s="30" t="s">
        <v>106</v>
      </c>
      <c r="S26" s="30" t="s">
        <v>37</v>
      </c>
      <c r="T26" s="30" t="s">
        <v>38</v>
      </c>
      <c r="U26" s="31">
        <v>0.9009009009009008</v>
      </c>
      <c r="V26" s="32">
        <v>1</v>
      </c>
      <c r="W26" s="30"/>
      <c r="X26" s="30"/>
      <c r="Y26" s="30"/>
      <c r="Z26" s="31"/>
      <c r="AA26" s="32"/>
      <c r="AB26" s="46"/>
      <c r="AC26" s="19"/>
      <c r="AD26" s="19"/>
      <c r="AE26" s="19"/>
      <c r="AF26" s="57"/>
      <c r="AG26" s="20">
        <v>0</v>
      </c>
      <c r="AH26" s="5" t="s">
        <v>40</v>
      </c>
    </row>
    <row r="27" spans="1:34">
      <c r="A27" s="9" t="s">
        <v>107</v>
      </c>
      <c r="B27" s="59" t="s">
        <v>42</v>
      </c>
      <c r="C27" s="29" t="s">
        <v>105</v>
      </c>
      <c r="D27" t="s">
        <v>37</v>
      </c>
      <c r="E27" s="21" t="s">
        <v>79</v>
      </c>
      <c r="F27" s="22">
        <v>0.51020408163265307</v>
      </c>
      <c r="G27" s="54">
        <v>1</v>
      </c>
      <c r="L27" s="54"/>
      <c r="Q27" s="56"/>
      <c r="R27" s="17" t="s">
        <v>108</v>
      </c>
      <c r="S27" s="17" t="s">
        <v>37</v>
      </c>
      <c r="T27" s="17" t="s">
        <v>35</v>
      </c>
      <c r="U27" s="18">
        <v>0.7407407407407407</v>
      </c>
      <c r="V27" s="23">
        <v>0.5</v>
      </c>
      <c r="W27" s="17" t="s">
        <v>45</v>
      </c>
      <c r="X27" s="17" t="s">
        <v>34</v>
      </c>
      <c r="Y27" s="17" t="s">
        <v>35</v>
      </c>
      <c r="Z27" s="18">
        <v>0.83333333333333337</v>
      </c>
      <c r="AA27" s="23">
        <v>0.5</v>
      </c>
      <c r="AF27" s="56"/>
      <c r="AG27" s="22">
        <v>0</v>
      </c>
      <c r="AH27" t="s">
        <v>40</v>
      </c>
    </row>
    <row r="28" spans="1:34">
      <c r="A28" s="9" t="s">
        <v>109</v>
      </c>
      <c r="B28" s="7" t="s">
        <v>42</v>
      </c>
      <c r="C28" s="29" t="s">
        <v>105</v>
      </c>
      <c r="D28" t="s">
        <v>37</v>
      </c>
      <c r="E28" s="21" t="s">
        <v>79</v>
      </c>
      <c r="F28" s="22">
        <v>0.51020408163265307</v>
      </c>
      <c r="G28" s="54">
        <v>1</v>
      </c>
      <c r="L28" s="54"/>
      <c r="Q28" s="56"/>
      <c r="R28" s="17" t="s">
        <v>108</v>
      </c>
      <c r="S28" s="17" t="s">
        <v>37</v>
      </c>
      <c r="T28" s="17" t="s">
        <v>35</v>
      </c>
      <c r="U28" s="18">
        <v>0.7407407407407407</v>
      </c>
      <c r="V28" s="23">
        <v>0.4</v>
      </c>
      <c r="W28" s="17" t="s">
        <v>45</v>
      </c>
      <c r="X28" s="17" t="s">
        <v>34</v>
      </c>
      <c r="Y28" s="17" t="s">
        <v>35</v>
      </c>
      <c r="Z28" s="18">
        <v>0.83333333333333337</v>
      </c>
      <c r="AA28" s="23">
        <v>0.4</v>
      </c>
      <c r="AB28" s="17" t="s">
        <v>47</v>
      </c>
      <c r="AC28" s="17" t="s">
        <v>37</v>
      </c>
      <c r="AD28" s="17" t="s">
        <v>35</v>
      </c>
      <c r="AE28" s="18">
        <v>0.92592592592592582</v>
      </c>
      <c r="AF28" s="25">
        <v>0.2</v>
      </c>
      <c r="AG28" s="22">
        <v>0</v>
      </c>
      <c r="AH28" t="s">
        <v>40</v>
      </c>
    </row>
    <row r="29" spans="1:34">
      <c r="A29" s="9" t="s">
        <v>110</v>
      </c>
      <c r="B29" s="7" t="s">
        <v>42</v>
      </c>
      <c r="C29" s="29" t="s">
        <v>111</v>
      </c>
      <c r="D29" t="s">
        <v>37</v>
      </c>
      <c r="E29" s="21" t="s">
        <v>35</v>
      </c>
      <c r="F29" s="22">
        <v>0.77519379844961234</v>
      </c>
      <c r="G29" s="54">
        <v>1</v>
      </c>
      <c r="L29" s="54"/>
      <c r="Q29" s="56"/>
      <c r="R29" s="17" t="s">
        <v>112</v>
      </c>
      <c r="S29" s="17" t="s">
        <v>37</v>
      </c>
      <c r="T29" s="17" t="s">
        <v>79</v>
      </c>
      <c r="U29" s="18">
        <v>0.85470085470085477</v>
      </c>
      <c r="V29" s="23">
        <v>0.5</v>
      </c>
      <c r="W29" s="17" t="s">
        <v>47</v>
      </c>
      <c r="X29" s="17" t="s">
        <v>37</v>
      </c>
      <c r="Y29" s="17" t="s">
        <v>35</v>
      </c>
      <c r="Z29" s="18">
        <v>0.92592592592592582</v>
      </c>
      <c r="AA29" s="23">
        <v>0.25</v>
      </c>
      <c r="AB29" s="17" t="s">
        <v>39</v>
      </c>
      <c r="AC29" s="17" t="s">
        <v>34</v>
      </c>
      <c r="AD29" s="17" t="s">
        <v>35</v>
      </c>
      <c r="AE29" s="18">
        <v>0.84745762711864414</v>
      </c>
      <c r="AF29" s="25">
        <v>0.25</v>
      </c>
      <c r="AG29" s="22">
        <v>1</v>
      </c>
      <c r="AH29" t="s">
        <v>41</v>
      </c>
    </row>
    <row r="30" spans="1:34">
      <c r="A30" s="9" t="s">
        <v>113</v>
      </c>
      <c r="B30" s="7" t="s">
        <v>42</v>
      </c>
      <c r="C30" s="29" t="s">
        <v>111</v>
      </c>
      <c r="D30" t="s">
        <v>37</v>
      </c>
      <c r="E30" s="21" t="s">
        <v>35</v>
      </c>
      <c r="F30" s="22">
        <v>0.77519379844961234</v>
      </c>
      <c r="G30" s="54">
        <v>1</v>
      </c>
      <c r="L30" s="54"/>
      <c r="Q30" s="56"/>
      <c r="R30" s="17" t="s">
        <v>112</v>
      </c>
      <c r="S30" s="17" t="s">
        <v>37</v>
      </c>
      <c r="T30" s="17" t="s">
        <v>79</v>
      </c>
      <c r="U30" s="18">
        <v>0.85470085470085477</v>
      </c>
      <c r="V30" s="23">
        <v>0.5</v>
      </c>
      <c r="W30" s="17" t="s">
        <v>47</v>
      </c>
      <c r="X30" s="17" t="s">
        <v>37</v>
      </c>
      <c r="Y30" s="17" t="s">
        <v>35</v>
      </c>
      <c r="Z30" s="18">
        <v>0.92592592592592582</v>
      </c>
      <c r="AA30" s="23">
        <v>0.25</v>
      </c>
      <c r="AB30" s="17" t="s">
        <v>39</v>
      </c>
      <c r="AC30" s="17" t="s">
        <v>34</v>
      </c>
      <c r="AD30" s="17" t="s">
        <v>35</v>
      </c>
      <c r="AE30" s="18">
        <v>0.84745762711864414</v>
      </c>
      <c r="AF30" s="25">
        <v>0.25</v>
      </c>
      <c r="AG30" s="22">
        <v>1</v>
      </c>
      <c r="AH30" t="s">
        <v>41</v>
      </c>
    </row>
    <row r="31" spans="1:34">
      <c r="A31" s="9" t="s">
        <v>114</v>
      </c>
      <c r="B31" s="7" t="s">
        <v>42</v>
      </c>
      <c r="C31" s="29" t="s">
        <v>111</v>
      </c>
      <c r="D31" t="s">
        <v>37</v>
      </c>
      <c r="E31" s="21" t="s">
        <v>35</v>
      </c>
      <c r="F31" s="22">
        <v>0.77519379844961234</v>
      </c>
      <c r="G31" s="54">
        <v>1</v>
      </c>
      <c r="L31" s="54"/>
      <c r="Q31" s="56"/>
      <c r="R31" s="17" t="s">
        <v>112</v>
      </c>
      <c r="S31" s="17" t="s">
        <v>37</v>
      </c>
      <c r="T31" s="17" t="s">
        <v>79</v>
      </c>
      <c r="U31" s="18">
        <v>0.85470085470085477</v>
      </c>
      <c r="V31" s="23">
        <v>0.5</v>
      </c>
      <c r="W31" s="17" t="s">
        <v>47</v>
      </c>
      <c r="X31" s="17" t="s">
        <v>37</v>
      </c>
      <c r="Y31" s="17" t="s">
        <v>35</v>
      </c>
      <c r="Z31" s="18">
        <v>0.92592592592592582</v>
      </c>
      <c r="AA31" s="23">
        <v>0.25</v>
      </c>
      <c r="AB31" s="17" t="s">
        <v>39</v>
      </c>
      <c r="AC31" s="17" t="s">
        <v>34</v>
      </c>
      <c r="AD31" s="17" t="s">
        <v>35</v>
      </c>
      <c r="AE31" s="18">
        <v>0.84745762711864414</v>
      </c>
      <c r="AF31" s="25">
        <v>0.25</v>
      </c>
      <c r="AG31" s="22">
        <v>1</v>
      </c>
      <c r="AH31" t="s">
        <v>41</v>
      </c>
    </row>
    <row r="32" spans="1:34">
      <c r="A32" s="9" t="s">
        <v>115</v>
      </c>
      <c r="B32" s="7" t="s">
        <v>42</v>
      </c>
      <c r="C32" s="29" t="s">
        <v>116</v>
      </c>
      <c r="D32" t="s">
        <v>37</v>
      </c>
      <c r="E32" s="21" t="s">
        <v>35</v>
      </c>
      <c r="F32" s="22">
        <v>0.71942446043165476</v>
      </c>
      <c r="G32" s="54">
        <v>1</v>
      </c>
      <c r="L32" s="54"/>
      <c r="Q32" s="56"/>
      <c r="R32" s="17" t="s">
        <v>45</v>
      </c>
      <c r="S32" s="17" t="s">
        <v>34</v>
      </c>
      <c r="T32" s="17" t="s">
        <v>35</v>
      </c>
      <c r="U32" s="18">
        <v>0.83333333333333337</v>
      </c>
      <c r="V32" s="23">
        <v>0.5</v>
      </c>
      <c r="W32" s="17" t="s">
        <v>108</v>
      </c>
      <c r="X32" s="17" t="s">
        <v>37</v>
      </c>
      <c r="Y32" s="17" t="s">
        <v>35</v>
      </c>
      <c r="Z32" s="18">
        <v>0.7407407407407407</v>
      </c>
      <c r="AA32" s="23">
        <v>0.5</v>
      </c>
      <c r="AB32" s="17"/>
      <c r="AC32" s="17"/>
      <c r="AD32" s="17"/>
      <c r="AE32" s="18"/>
      <c r="AF32" s="25"/>
      <c r="AG32" s="22">
        <v>0</v>
      </c>
      <c r="AH32" t="s">
        <v>40</v>
      </c>
    </row>
    <row r="33" spans="1:34">
      <c r="A33" s="9" t="s">
        <v>117</v>
      </c>
      <c r="B33" s="7" t="s">
        <v>42</v>
      </c>
      <c r="C33" s="29" t="s">
        <v>116</v>
      </c>
      <c r="D33" t="s">
        <v>37</v>
      </c>
      <c r="E33" s="21" t="s">
        <v>35</v>
      </c>
      <c r="F33" s="22">
        <v>0.71942446043165476</v>
      </c>
      <c r="G33" s="54">
        <v>1</v>
      </c>
      <c r="L33" s="54"/>
      <c r="Q33" s="56"/>
      <c r="R33" s="17" t="s">
        <v>45</v>
      </c>
      <c r="S33" s="17" t="s">
        <v>34</v>
      </c>
      <c r="T33" s="17" t="s">
        <v>35</v>
      </c>
      <c r="U33" s="18">
        <v>0.83333333333333337</v>
      </c>
      <c r="V33" s="23">
        <v>0.5</v>
      </c>
      <c r="W33" s="17" t="s">
        <v>108</v>
      </c>
      <c r="X33" s="17" t="s">
        <v>37</v>
      </c>
      <c r="Y33" s="17" t="s">
        <v>35</v>
      </c>
      <c r="Z33" s="18">
        <v>0.7407407407407407</v>
      </c>
      <c r="AA33" s="23">
        <v>0.5</v>
      </c>
      <c r="AB33" s="17"/>
      <c r="AC33" s="17"/>
      <c r="AD33" s="17"/>
      <c r="AE33" s="18"/>
      <c r="AF33" s="25"/>
      <c r="AG33" s="22">
        <v>0</v>
      </c>
      <c r="AH33" t="s">
        <v>40</v>
      </c>
    </row>
    <row r="34" spans="1:34">
      <c r="A34" s="9" t="s">
        <v>118</v>
      </c>
      <c r="B34" s="7" t="s">
        <v>42</v>
      </c>
      <c r="C34" s="29" t="s">
        <v>111</v>
      </c>
      <c r="D34" t="s">
        <v>37</v>
      </c>
      <c r="E34" s="21" t="s">
        <v>35</v>
      </c>
      <c r="F34" s="22">
        <v>0.77519379844961234</v>
      </c>
      <c r="G34" s="54">
        <v>0.5</v>
      </c>
      <c r="H34" s="29" t="s">
        <v>45</v>
      </c>
      <c r="I34" t="s">
        <v>34</v>
      </c>
      <c r="J34" s="21" t="s">
        <v>35</v>
      </c>
      <c r="K34" s="22">
        <v>0.81300813008130079</v>
      </c>
      <c r="L34" s="54">
        <v>0.5</v>
      </c>
      <c r="Q34" s="56"/>
      <c r="R34" s="17" t="s">
        <v>45</v>
      </c>
      <c r="S34" s="17" t="s">
        <v>34</v>
      </c>
      <c r="T34" s="17" t="s">
        <v>35</v>
      </c>
      <c r="U34" s="18">
        <v>0.83333333333333337</v>
      </c>
      <c r="V34" s="23">
        <v>0.5</v>
      </c>
      <c r="W34" s="17" t="s">
        <v>39</v>
      </c>
      <c r="X34" s="17" t="s">
        <v>34</v>
      </c>
      <c r="Y34" s="17" t="s">
        <v>35</v>
      </c>
      <c r="Z34" s="18">
        <v>0.84745762711864414</v>
      </c>
      <c r="AA34" s="23">
        <v>0.25</v>
      </c>
      <c r="AB34" s="17" t="s">
        <v>112</v>
      </c>
      <c r="AC34" s="17" t="s">
        <v>37</v>
      </c>
      <c r="AD34" s="17" t="s">
        <v>79</v>
      </c>
      <c r="AE34" s="18">
        <v>0.85470085470085477</v>
      </c>
      <c r="AF34" s="25">
        <v>0.25</v>
      </c>
      <c r="AG34" s="22">
        <v>0</v>
      </c>
      <c r="AH34" t="s">
        <v>40</v>
      </c>
    </row>
    <row r="35" spans="1:34">
      <c r="A35" s="9" t="s">
        <v>119</v>
      </c>
      <c r="B35" s="7" t="s">
        <v>42</v>
      </c>
      <c r="C35" s="29" t="s">
        <v>111</v>
      </c>
      <c r="D35" t="s">
        <v>37</v>
      </c>
      <c r="E35" s="21" t="s">
        <v>35</v>
      </c>
      <c r="F35" s="22">
        <v>0.77519379844961234</v>
      </c>
      <c r="G35" s="54">
        <v>0.5</v>
      </c>
      <c r="H35" s="29" t="s">
        <v>45</v>
      </c>
      <c r="I35" t="s">
        <v>34</v>
      </c>
      <c r="J35" s="21" t="s">
        <v>35</v>
      </c>
      <c r="K35" s="22">
        <v>0.81300813008130079</v>
      </c>
      <c r="L35" s="54">
        <v>0.5</v>
      </c>
      <c r="Q35" s="56"/>
      <c r="R35" s="17" t="s">
        <v>112</v>
      </c>
      <c r="S35" s="17" t="s">
        <v>37</v>
      </c>
      <c r="T35" s="17" t="s">
        <v>79</v>
      </c>
      <c r="U35" s="18">
        <v>0.85470085470085477</v>
      </c>
      <c r="V35" s="23">
        <v>0.5</v>
      </c>
      <c r="W35" s="17" t="s">
        <v>47</v>
      </c>
      <c r="X35" s="17" t="s">
        <v>37</v>
      </c>
      <c r="Y35" s="17" t="s">
        <v>35</v>
      </c>
      <c r="Z35" s="18">
        <v>0.92592592592592582</v>
      </c>
      <c r="AA35" s="23">
        <v>0.5</v>
      </c>
      <c r="AB35" s="17"/>
      <c r="AC35" s="17"/>
      <c r="AD35" s="17"/>
      <c r="AE35" s="18"/>
      <c r="AF35" s="25"/>
      <c r="AG35" s="22">
        <v>1</v>
      </c>
      <c r="AH35" t="s">
        <v>41</v>
      </c>
    </row>
    <row r="36" spans="1:34">
      <c r="A36" s="9" t="s">
        <v>120</v>
      </c>
      <c r="B36" s="7" t="s">
        <v>42</v>
      </c>
      <c r="C36" s="29" t="s">
        <v>111</v>
      </c>
      <c r="D36" t="s">
        <v>37</v>
      </c>
      <c r="E36" s="21" t="s">
        <v>35</v>
      </c>
      <c r="F36" s="22">
        <v>0.77519379844961234</v>
      </c>
      <c r="G36" s="54">
        <v>0.5</v>
      </c>
      <c r="H36" s="29" t="s">
        <v>45</v>
      </c>
      <c r="I36" t="s">
        <v>34</v>
      </c>
      <c r="J36" s="21" t="s">
        <v>35</v>
      </c>
      <c r="K36" s="22">
        <v>0.81300813008130079</v>
      </c>
      <c r="L36" s="54">
        <v>0.5</v>
      </c>
      <c r="Q36" s="56"/>
      <c r="R36" s="17" t="s">
        <v>112</v>
      </c>
      <c r="S36" s="17" t="s">
        <v>37</v>
      </c>
      <c r="T36" s="17" t="s">
        <v>79</v>
      </c>
      <c r="U36" s="18">
        <v>0.85470085470085477</v>
      </c>
      <c r="V36" s="23">
        <v>0.5</v>
      </c>
      <c r="W36" s="17" t="s">
        <v>47</v>
      </c>
      <c r="X36" s="17" t="s">
        <v>37</v>
      </c>
      <c r="Y36" s="17" t="s">
        <v>35</v>
      </c>
      <c r="Z36" s="18">
        <v>0.92592592592592582</v>
      </c>
      <c r="AA36" s="23">
        <v>0.5</v>
      </c>
      <c r="AB36" s="17"/>
      <c r="AC36" s="17"/>
      <c r="AD36" s="17"/>
      <c r="AE36" s="18"/>
      <c r="AF36" s="25"/>
      <c r="AG36" s="22">
        <v>1</v>
      </c>
      <c r="AH36" t="s">
        <v>41</v>
      </c>
    </row>
    <row r="37" spans="1:34">
      <c r="A37" s="9" t="s">
        <v>121</v>
      </c>
      <c r="B37" s="7" t="s">
        <v>42</v>
      </c>
      <c r="C37" s="29" t="s">
        <v>111</v>
      </c>
      <c r="D37" t="s">
        <v>37</v>
      </c>
      <c r="E37" s="21" t="s">
        <v>35</v>
      </c>
      <c r="F37" s="22">
        <v>0.77519379844961234</v>
      </c>
      <c r="G37" s="54">
        <v>0.5</v>
      </c>
      <c r="H37" s="29" t="s">
        <v>45</v>
      </c>
      <c r="I37" t="s">
        <v>34</v>
      </c>
      <c r="J37" s="21" t="s">
        <v>35</v>
      </c>
      <c r="K37" s="22">
        <v>0.81300813008130079</v>
      </c>
      <c r="L37" s="54">
        <v>0.5</v>
      </c>
      <c r="Q37" s="56"/>
      <c r="R37" s="17" t="s">
        <v>112</v>
      </c>
      <c r="S37" s="17" t="s">
        <v>37</v>
      </c>
      <c r="T37" s="17" t="s">
        <v>79</v>
      </c>
      <c r="U37" s="18">
        <v>0.85470085470085477</v>
      </c>
      <c r="V37" s="23">
        <v>0.5</v>
      </c>
      <c r="W37" s="17" t="s">
        <v>47</v>
      </c>
      <c r="X37" s="17" t="s">
        <v>37</v>
      </c>
      <c r="Y37" s="17" t="s">
        <v>35</v>
      </c>
      <c r="Z37" s="18">
        <v>0.92592592592592582</v>
      </c>
      <c r="AA37" s="23">
        <v>0.5</v>
      </c>
      <c r="AB37" s="17"/>
      <c r="AC37" s="17"/>
      <c r="AD37" s="17"/>
      <c r="AE37" s="18"/>
      <c r="AF37" s="25"/>
      <c r="AG37" s="22">
        <v>1</v>
      </c>
      <c r="AH37" t="s">
        <v>41</v>
      </c>
    </row>
    <row r="38" spans="1:34">
      <c r="A38" s="9" t="s">
        <v>122</v>
      </c>
      <c r="B38" s="7" t="s">
        <v>42</v>
      </c>
      <c r="C38" s="29" t="s">
        <v>116</v>
      </c>
      <c r="D38" t="s">
        <v>37</v>
      </c>
      <c r="E38" s="21" t="s">
        <v>35</v>
      </c>
      <c r="F38" s="22">
        <v>0.71942446043165476</v>
      </c>
      <c r="G38" s="54">
        <v>1</v>
      </c>
      <c r="H38" s="29"/>
      <c r="I38"/>
      <c r="L38" s="54"/>
      <c r="Q38" s="56"/>
      <c r="R38" s="17" t="s">
        <v>45</v>
      </c>
      <c r="S38" s="17" t="s">
        <v>34</v>
      </c>
      <c r="T38" s="17" t="s">
        <v>35</v>
      </c>
      <c r="U38" s="18">
        <v>0.83333333333333337</v>
      </c>
      <c r="V38" s="23">
        <v>0.5</v>
      </c>
      <c r="W38" s="17" t="s">
        <v>108</v>
      </c>
      <c r="X38" s="17" t="s">
        <v>37</v>
      </c>
      <c r="Y38" s="17" t="s">
        <v>35</v>
      </c>
      <c r="Z38" s="18">
        <v>0.7407407407407407</v>
      </c>
      <c r="AA38" s="23">
        <v>0.5</v>
      </c>
      <c r="AB38" s="17"/>
      <c r="AC38" s="17"/>
      <c r="AD38" s="17"/>
      <c r="AE38" s="18"/>
      <c r="AF38" s="25"/>
      <c r="AG38" s="22">
        <v>0</v>
      </c>
      <c r="AH38" t="s">
        <v>40</v>
      </c>
    </row>
    <row r="39" spans="1:34">
      <c r="A39" s="9" t="s">
        <v>123</v>
      </c>
      <c r="B39" s="7" t="s">
        <v>42</v>
      </c>
      <c r="C39" s="29" t="s">
        <v>116</v>
      </c>
      <c r="D39" t="s">
        <v>37</v>
      </c>
      <c r="E39" s="21" t="s">
        <v>35</v>
      </c>
      <c r="F39" s="22">
        <v>0.71942446043165476</v>
      </c>
      <c r="G39" s="54">
        <v>0.5</v>
      </c>
      <c r="H39" s="29" t="s">
        <v>111</v>
      </c>
      <c r="I39" t="s">
        <v>37</v>
      </c>
      <c r="J39" s="21" t="s">
        <v>35</v>
      </c>
      <c r="K39" s="22">
        <v>0.77519379844961234</v>
      </c>
      <c r="L39" s="54">
        <v>0.25</v>
      </c>
      <c r="M39" s="29" t="s">
        <v>45</v>
      </c>
      <c r="N39" t="s">
        <v>34</v>
      </c>
      <c r="O39" s="21" t="s">
        <v>35</v>
      </c>
      <c r="P39" s="22">
        <v>0.81300813008130079</v>
      </c>
      <c r="Q39" s="54">
        <v>0.25</v>
      </c>
      <c r="R39" s="17" t="s">
        <v>45</v>
      </c>
      <c r="S39" s="17" t="s">
        <v>34</v>
      </c>
      <c r="T39" s="17" t="s">
        <v>35</v>
      </c>
      <c r="U39" s="18">
        <v>0.83333333333333337</v>
      </c>
      <c r="V39" s="23">
        <v>0.5</v>
      </c>
      <c r="W39" s="17" t="s">
        <v>39</v>
      </c>
      <c r="X39" s="17" t="s">
        <v>34</v>
      </c>
      <c r="Y39" s="17" t="s">
        <v>35</v>
      </c>
      <c r="Z39" s="18">
        <v>0.84745762711864414</v>
      </c>
      <c r="AA39" s="23">
        <v>0.25</v>
      </c>
      <c r="AB39" s="17" t="s">
        <v>112</v>
      </c>
      <c r="AC39" s="17" t="s">
        <v>37</v>
      </c>
      <c r="AD39" s="17" t="s">
        <v>79</v>
      </c>
      <c r="AE39" s="18">
        <v>0.85470085470085477</v>
      </c>
      <c r="AF39" s="25">
        <v>0.25</v>
      </c>
      <c r="AG39" s="22">
        <v>0</v>
      </c>
      <c r="AH39" t="s">
        <v>40</v>
      </c>
    </row>
    <row r="40" spans="1:34">
      <c r="A40" s="9" t="s">
        <v>124</v>
      </c>
      <c r="B40" s="7" t="s">
        <v>42</v>
      </c>
      <c r="C40" s="29" t="s">
        <v>47</v>
      </c>
      <c r="D40" t="s">
        <v>37</v>
      </c>
      <c r="E40" s="21" t="s">
        <v>35</v>
      </c>
      <c r="F40" s="22">
        <v>0.92592592592592582</v>
      </c>
      <c r="G40" s="54">
        <v>0.5</v>
      </c>
      <c r="H40" s="29" t="s">
        <v>33</v>
      </c>
      <c r="I40" t="s">
        <v>34</v>
      </c>
      <c r="J40" s="21" t="s">
        <v>35</v>
      </c>
      <c r="K40" s="22">
        <v>0.94339622641509424</v>
      </c>
      <c r="L40" s="54">
        <v>0.5</v>
      </c>
      <c r="Q40" s="56"/>
      <c r="R40" s="17" t="s">
        <v>112</v>
      </c>
      <c r="S40" s="17" t="s">
        <v>37</v>
      </c>
      <c r="T40" s="17" t="s">
        <v>79</v>
      </c>
      <c r="U40" s="18">
        <v>0.85470085470085477</v>
      </c>
      <c r="V40" s="23">
        <v>0.5</v>
      </c>
      <c r="W40" s="17" t="s">
        <v>47</v>
      </c>
      <c r="X40" s="17" t="s">
        <v>37</v>
      </c>
      <c r="Y40" s="17" t="s">
        <v>35</v>
      </c>
      <c r="Z40" s="18">
        <v>0.92592592592592582</v>
      </c>
      <c r="AA40" s="23">
        <v>0.5</v>
      </c>
      <c r="AB40" s="17"/>
      <c r="AC40" s="17"/>
      <c r="AD40" s="17"/>
      <c r="AE40" s="18"/>
      <c r="AF40" s="25"/>
      <c r="AG40" s="22">
        <v>1</v>
      </c>
      <c r="AH40" t="s">
        <v>41</v>
      </c>
    </row>
    <row r="41" spans="1:34">
      <c r="A41" s="9" t="s">
        <v>125</v>
      </c>
      <c r="B41" s="7" t="s">
        <v>42</v>
      </c>
      <c r="C41" s="29" t="s">
        <v>47</v>
      </c>
      <c r="D41" t="s">
        <v>37</v>
      </c>
      <c r="E41" s="21" t="s">
        <v>35</v>
      </c>
      <c r="F41" s="22">
        <v>0.92592592592592582</v>
      </c>
      <c r="G41" s="54">
        <v>0.5</v>
      </c>
      <c r="H41" s="29" t="s">
        <v>33</v>
      </c>
      <c r="I41" t="s">
        <v>34</v>
      </c>
      <c r="J41" s="21" t="s">
        <v>35</v>
      </c>
      <c r="K41" s="22">
        <v>0.94339622641509424</v>
      </c>
      <c r="L41" s="54">
        <v>0.5</v>
      </c>
      <c r="Q41" s="56"/>
      <c r="R41" s="17" t="s">
        <v>112</v>
      </c>
      <c r="S41" s="17" t="s">
        <v>37</v>
      </c>
      <c r="T41" s="17" t="s">
        <v>79</v>
      </c>
      <c r="U41" s="18">
        <v>0.85470085470085477</v>
      </c>
      <c r="V41" s="23">
        <v>0.5</v>
      </c>
      <c r="W41" s="17" t="s">
        <v>47</v>
      </c>
      <c r="X41" s="17" t="s">
        <v>37</v>
      </c>
      <c r="Y41" s="17" t="s">
        <v>35</v>
      </c>
      <c r="Z41" s="18">
        <v>0.92592592592592582</v>
      </c>
      <c r="AA41" s="23">
        <v>0.5</v>
      </c>
      <c r="AB41" s="17"/>
      <c r="AC41" s="17"/>
      <c r="AD41" s="17"/>
      <c r="AE41" s="18"/>
      <c r="AF41" s="25"/>
      <c r="AG41" s="22">
        <v>1</v>
      </c>
      <c r="AH41" t="s">
        <v>41</v>
      </c>
    </row>
    <row r="42" spans="1:34">
      <c r="A42" s="9" t="s">
        <v>126</v>
      </c>
      <c r="B42" s="7" t="s">
        <v>42</v>
      </c>
      <c r="C42" s="29" t="s">
        <v>47</v>
      </c>
      <c r="D42" t="s">
        <v>37</v>
      </c>
      <c r="E42" s="21" t="s">
        <v>35</v>
      </c>
      <c r="F42" s="22">
        <v>0.92592592592592582</v>
      </c>
      <c r="G42" s="54">
        <v>0.5</v>
      </c>
      <c r="H42" s="21" t="s">
        <v>33</v>
      </c>
      <c r="I42" s="21" t="s">
        <v>34</v>
      </c>
      <c r="J42" s="21" t="s">
        <v>35</v>
      </c>
      <c r="K42" s="22">
        <v>0.94339622641509424</v>
      </c>
      <c r="L42" s="54">
        <v>0.5</v>
      </c>
      <c r="Q42" s="56"/>
      <c r="R42" s="17" t="s">
        <v>112</v>
      </c>
      <c r="S42" s="17" t="s">
        <v>37</v>
      </c>
      <c r="T42" s="17" t="s">
        <v>79</v>
      </c>
      <c r="U42" s="18">
        <v>0.85470085470085477</v>
      </c>
      <c r="V42" s="23">
        <v>0.5</v>
      </c>
      <c r="W42" s="17" t="s">
        <v>47</v>
      </c>
      <c r="X42" s="17" t="s">
        <v>37</v>
      </c>
      <c r="Y42" s="17" t="s">
        <v>35</v>
      </c>
      <c r="Z42" s="18">
        <v>0.92592592592592582</v>
      </c>
      <c r="AA42" s="23">
        <v>0.5</v>
      </c>
      <c r="AB42" s="17"/>
      <c r="AC42" s="17"/>
      <c r="AD42" s="17"/>
      <c r="AE42" s="18"/>
      <c r="AF42" s="25"/>
      <c r="AG42" s="22">
        <v>1</v>
      </c>
      <c r="AH42" t="s">
        <v>41</v>
      </c>
    </row>
    <row r="43" spans="1:34" s="5" customFormat="1">
      <c r="A43" s="10" t="s">
        <v>127</v>
      </c>
      <c r="B43" s="11" t="s">
        <v>43</v>
      </c>
      <c r="C43" s="28" t="s">
        <v>128</v>
      </c>
      <c r="D43" s="5" t="s">
        <v>54</v>
      </c>
      <c r="E43" s="19" t="s">
        <v>35</v>
      </c>
      <c r="F43" s="20">
        <v>0.95238095238095233</v>
      </c>
      <c r="G43" s="55">
        <v>1</v>
      </c>
      <c r="H43" s="19"/>
      <c r="I43" s="19"/>
      <c r="J43" s="19"/>
      <c r="K43" s="20"/>
      <c r="L43" s="55"/>
      <c r="M43" s="46"/>
      <c r="N43" s="19"/>
      <c r="O43" s="19"/>
      <c r="P43" s="20"/>
      <c r="Q43" s="20"/>
      <c r="R43" s="35" t="s">
        <v>129</v>
      </c>
      <c r="S43" s="19" t="s">
        <v>37</v>
      </c>
      <c r="T43" s="19" t="s">
        <v>38</v>
      </c>
      <c r="U43" s="20">
        <v>1</v>
      </c>
      <c r="V43" s="55">
        <v>1</v>
      </c>
      <c r="W43" s="19"/>
      <c r="X43" s="19"/>
      <c r="Y43" s="19"/>
      <c r="Z43" s="20"/>
      <c r="AA43" s="55"/>
      <c r="AB43" s="46"/>
      <c r="AC43" s="19"/>
      <c r="AD43" s="19"/>
      <c r="AE43" s="19"/>
      <c r="AF43" s="57"/>
      <c r="AG43" s="20">
        <v>0</v>
      </c>
      <c r="AH43" s="5" t="s">
        <v>40</v>
      </c>
    </row>
    <row r="44" spans="1:34">
      <c r="A44" s="9" t="s">
        <v>130</v>
      </c>
      <c r="B44" s="7" t="s">
        <v>43</v>
      </c>
      <c r="C44" s="29" t="s">
        <v>128</v>
      </c>
      <c r="D44" t="s">
        <v>54</v>
      </c>
      <c r="E44" s="21" t="s">
        <v>35</v>
      </c>
      <c r="F44" s="22">
        <v>0.95238095238095233</v>
      </c>
      <c r="G44" s="54">
        <v>1</v>
      </c>
      <c r="L44" s="54"/>
      <c r="Q44" s="56"/>
      <c r="R44" s="21" t="s">
        <v>129</v>
      </c>
      <c r="S44" s="21" t="s">
        <v>37</v>
      </c>
      <c r="T44" s="21" t="s">
        <v>38</v>
      </c>
      <c r="U44" s="22">
        <v>1</v>
      </c>
      <c r="V44" s="54">
        <v>1</v>
      </c>
      <c r="AA44" s="54"/>
      <c r="AF44" s="56"/>
      <c r="AG44" s="22">
        <v>0</v>
      </c>
      <c r="AH44" t="s">
        <v>40</v>
      </c>
    </row>
    <row r="45" spans="1:34">
      <c r="A45" s="9" t="s">
        <v>131</v>
      </c>
      <c r="B45" s="7" t="s">
        <v>43</v>
      </c>
      <c r="C45" s="29" t="s">
        <v>128</v>
      </c>
      <c r="D45" t="s">
        <v>54</v>
      </c>
      <c r="E45" s="21" t="s">
        <v>35</v>
      </c>
      <c r="F45" s="22">
        <v>0.95238095238095233</v>
      </c>
      <c r="G45" s="54">
        <v>1</v>
      </c>
      <c r="L45" s="54"/>
      <c r="Q45" s="56"/>
      <c r="R45" s="21" t="s">
        <v>129</v>
      </c>
      <c r="S45" s="21" t="s">
        <v>37</v>
      </c>
      <c r="T45" s="21" t="s">
        <v>38</v>
      </c>
      <c r="U45" s="22">
        <v>1</v>
      </c>
      <c r="V45" s="54">
        <v>1</v>
      </c>
      <c r="AA45" s="54"/>
      <c r="AF45" s="56"/>
      <c r="AG45" s="22">
        <v>0</v>
      </c>
      <c r="AH45" t="s">
        <v>40</v>
      </c>
    </row>
    <row r="46" spans="1:34">
      <c r="A46" s="9" t="s">
        <v>132</v>
      </c>
      <c r="B46" s="7" t="s">
        <v>43</v>
      </c>
      <c r="C46" s="29" t="s">
        <v>128</v>
      </c>
      <c r="D46" t="s">
        <v>54</v>
      </c>
      <c r="E46" s="21" t="s">
        <v>35</v>
      </c>
      <c r="F46" s="22">
        <v>0.95238095238095233</v>
      </c>
      <c r="G46" s="54">
        <v>1</v>
      </c>
      <c r="L46" s="54"/>
      <c r="Q46" s="56"/>
      <c r="R46" s="21" t="s">
        <v>129</v>
      </c>
      <c r="S46" s="21" t="s">
        <v>37</v>
      </c>
      <c r="T46" s="21" t="s">
        <v>38</v>
      </c>
      <c r="U46" s="22">
        <v>1</v>
      </c>
      <c r="V46" s="54">
        <v>1</v>
      </c>
      <c r="AA46" s="54"/>
      <c r="AF46" s="56"/>
      <c r="AG46" s="22">
        <v>0</v>
      </c>
      <c r="AH46" t="s">
        <v>40</v>
      </c>
    </row>
    <row r="47" spans="1:34">
      <c r="A47" s="9" t="s">
        <v>133</v>
      </c>
      <c r="B47" s="7" t="s">
        <v>43</v>
      </c>
      <c r="C47" s="29" t="s">
        <v>128</v>
      </c>
      <c r="D47" t="s">
        <v>54</v>
      </c>
      <c r="E47" s="21" t="s">
        <v>35</v>
      </c>
      <c r="F47" s="22">
        <v>0.95238095238095233</v>
      </c>
      <c r="G47" s="54">
        <v>1</v>
      </c>
      <c r="L47" s="54"/>
      <c r="Q47" s="56"/>
      <c r="R47" s="21" t="s">
        <v>129</v>
      </c>
      <c r="S47" s="21" t="s">
        <v>37</v>
      </c>
      <c r="T47" s="21" t="s">
        <v>38</v>
      </c>
      <c r="U47" s="22">
        <v>1</v>
      </c>
      <c r="V47" s="54">
        <v>1</v>
      </c>
      <c r="AA47" s="54"/>
      <c r="AF47" s="56"/>
      <c r="AG47" s="22">
        <v>0</v>
      </c>
      <c r="AH47" t="s">
        <v>40</v>
      </c>
    </row>
    <row r="48" spans="1:34">
      <c r="A48" s="9" t="s">
        <v>134</v>
      </c>
      <c r="B48" s="7" t="s">
        <v>43</v>
      </c>
      <c r="C48" s="29" t="s">
        <v>128</v>
      </c>
      <c r="D48" t="s">
        <v>54</v>
      </c>
      <c r="E48" s="21" t="s">
        <v>35</v>
      </c>
      <c r="F48" s="22">
        <v>0.95238095238095233</v>
      </c>
      <c r="G48" s="54">
        <v>1</v>
      </c>
      <c r="L48" s="54"/>
      <c r="Q48" s="56"/>
      <c r="R48" s="21" t="s">
        <v>129</v>
      </c>
      <c r="S48" s="21" t="s">
        <v>37</v>
      </c>
      <c r="T48" s="21" t="s">
        <v>38</v>
      </c>
      <c r="U48" s="22">
        <v>1</v>
      </c>
      <c r="V48" s="54">
        <v>1</v>
      </c>
      <c r="AA48" s="54"/>
      <c r="AF48" s="56"/>
      <c r="AG48" s="22">
        <v>0</v>
      </c>
      <c r="AH48" t="s">
        <v>40</v>
      </c>
    </row>
    <row r="49" spans="1:34">
      <c r="A49" s="9" t="s">
        <v>135</v>
      </c>
      <c r="B49" s="7" t="s">
        <v>43</v>
      </c>
      <c r="C49" s="29" t="s">
        <v>128</v>
      </c>
      <c r="D49" t="s">
        <v>54</v>
      </c>
      <c r="E49" s="21" t="s">
        <v>35</v>
      </c>
      <c r="F49" s="22">
        <v>0.95238095238095233</v>
      </c>
      <c r="G49" s="54">
        <v>1</v>
      </c>
      <c r="L49" s="54"/>
      <c r="Q49" s="56"/>
      <c r="R49" s="21" t="s">
        <v>129</v>
      </c>
      <c r="S49" s="21" t="s">
        <v>37</v>
      </c>
      <c r="T49" s="21" t="s">
        <v>38</v>
      </c>
      <c r="U49" s="22">
        <v>1</v>
      </c>
      <c r="V49" s="54">
        <v>1</v>
      </c>
      <c r="AA49" s="54"/>
      <c r="AF49" s="56"/>
      <c r="AG49" s="22">
        <v>0</v>
      </c>
      <c r="AH49" t="s">
        <v>40</v>
      </c>
    </row>
    <row r="50" spans="1:34">
      <c r="A50" s="9" t="s">
        <v>136</v>
      </c>
      <c r="B50" s="7" t="s">
        <v>43</v>
      </c>
      <c r="C50" s="29" t="s">
        <v>128</v>
      </c>
      <c r="D50" t="s">
        <v>54</v>
      </c>
      <c r="E50" s="21" t="s">
        <v>35</v>
      </c>
      <c r="F50" s="22">
        <v>0.95238095238095233</v>
      </c>
      <c r="G50" s="54">
        <v>1</v>
      </c>
      <c r="L50" s="54"/>
      <c r="Q50" s="56"/>
      <c r="R50" s="21" t="s">
        <v>129</v>
      </c>
      <c r="S50" s="21" t="s">
        <v>37</v>
      </c>
      <c r="T50" s="21" t="s">
        <v>38</v>
      </c>
      <c r="U50" s="22">
        <v>1</v>
      </c>
      <c r="V50" s="54">
        <v>1</v>
      </c>
      <c r="AA50" s="54"/>
      <c r="AF50" s="56"/>
      <c r="AG50" s="22">
        <v>0</v>
      </c>
      <c r="AH50" t="s">
        <v>40</v>
      </c>
    </row>
    <row r="51" spans="1:34">
      <c r="A51" s="9" t="s">
        <v>137</v>
      </c>
      <c r="B51" s="7" t="s">
        <v>43</v>
      </c>
      <c r="C51" s="29" t="s">
        <v>128</v>
      </c>
      <c r="D51" t="s">
        <v>54</v>
      </c>
      <c r="E51" s="21" t="s">
        <v>35</v>
      </c>
      <c r="F51" s="22">
        <v>0.95238095238095233</v>
      </c>
      <c r="G51" s="54">
        <v>1</v>
      </c>
      <c r="L51" s="54"/>
      <c r="Q51" s="56"/>
      <c r="R51" s="21" t="s">
        <v>129</v>
      </c>
      <c r="S51" s="21" t="s">
        <v>37</v>
      </c>
      <c r="T51" s="21" t="s">
        <v>38</v>
      </c>
      <c r="U51" s="22">
        <v>1</v>
      </c>
      <c r="V51" s="54">
        <v>1</v>
      </c>
      <c r="AA51" s="54"/>
      <c r="AF51" s="56"/>
      <c r="AG51" s="22">
        <v>0</v>
      </c>
      <c r="AH51" t="s">
        <v>40</v>
      </c>
    </row>
    <row r="52" spans="1:34">
      <c r="A52" s="9" t="s">
        <v>138</v>
      </c>
      <c r="B52" s="7" t="s">
        <v>43</v>
      </c>
      <c r="C52" s="29" t="s">
        <v>128</v>
      </c>
      <c r="D52" t="s">
        <v>54</v>
      </c>
      <c r="E52" s="21" t="s">
        <v>35</v>
      </c>
      <c r="F52" s="22">
        <v>0.95238095238095233</v>
      </c>
      <c r="G52" s="54">
        <v>1</v>
      </c>
      <c r="L52" s="54"/>
      <c r="Q52" s="56"/>
      <c r="R52" s="21" t="s">
        <v>129</v>
      </c>
      <c r="S52" s="21" t="s">
        <v>37</v>
      </c>
      <c r="T52" s="21" t="s">
        <v>38</v>
      </c>
      <c r="U52" s="22">
        <v>1</v>
      </c>
      <c r="V52" s="54">
        <v>1</v>
      </c>
      <c r="AA52" s="54"/>
      <c r="AF52" s="56"/>
      <c r="AG52" s="22">
        <v>0</v>
      </c>
      <c r="AH52" t="s">
        <v>40</v>
      </c>
    </row>
    <row r="53" spans="1:34">
      <c r="A53" s="9" t="s">
        <v>139</v>
      </c>
      <c r="B53" s="7" t="s">
        <v>43</v>
      </c>
      <c r="C53" s="29" t="s">
        <v>128</v>
      </c>
      <c r="D53" t="s">
        <v>54</v>
      </c>
      <c r="E53" s="21" t="s">
        <v>35</v>
      </c>
      <c r="F53" s="22">
        <v>0.95238095238095233</v>
      </c>
      <c r="G53" s="54">
        <v>1</v>
      </c>
      <c r="L53" s="54"/>
      <c r="Q53" s="56"/>
      <c r="R53" s="21" t="s">
        <v>129</v>
      </c>
      <c r="S53" s="21" t="s">
        <v>37</v>
      </c>
      <c r="T53" s="21" t="s">
        <v>38</v>
      </c>
      <c r="U53" s="22">
        <v>1</v>
      </c>
      <c r="V53" s="54">
        <v>1</v>
      </c>
      <c r="AA53" s="54"/>
      <c r="AF53" s="56"/>
      <c r="AG53" s="22">
        <v>0</v>
      </c>
      <c r="AH53" t="s">
        <v>40</v>
      </c>
    </row>
    <row r="54" spans="1:34">
      <c r="A54" s="9" t="s">
        <v>140</v>
      </c>
      <c r="B54" s="7" t="s">
        <v>43</v>
      </c>
      <c r="C54" s="29" t="s">
        <v>128</v>
      </c>
      <c r="D54" t="s">
        <v>54</v>
      </c>
      <c r="E54" s="21" t="s">
        <v>35</v>
      </c>
      <c r="F54" s="22">
        <v>0.95238095238095233</v>
      </c>
      <c r="G54" s="54">
        <v>1</v>
      </c>
      <c r="L54" s="54"/>
      <c r="Q54" s="56"/>
      <c r="R54" s="21" t="s">
        <v>129</v>
      </c>
      <c r="S54" s="21" t="s">
        <v>37</v>
      </c>
      <c r="T54" s="21" t="s">
        <v>38</v>
      </c>
      <c r="U54" s="22">
        <v>1</v>
      </c>
      <c r="V54" s="54">
        <v>1</v>
      </c>
      <c r="AA54" s="54"/>
      <c r="AF54" s="56"/>
      <c r="AG54" s="22">
        <v>0</v>
      </c>
      <c r="AH54" t="s">
        <v>40</v>
      </c>
    </row>
    <row r="55" spans="1:34">
      <c r="A55" s="9" t="s">
        <v>141</v>
      </c>
      <c r="B55" s="7" t="s">
        <v>43</v>
      </c>
      <c r="C55" s="29" t="s">
        <v>128</v>
      </c>
      <c r="D55" t="s">
        <v>54</v>
      </c>
      <c r="E55" s="21" t="s">
        <v>35</v>
      </c>
      <c r="F55" s="22">
        <v>0.95238095238095233</v>
      </c>
      <c r="G55" s="54">
        <v>1</v>
      </c>
      <c r="L55" s="54"/>
      <c r="Q55" s="56"/>
      <c r="R55" s="21" t="s">
        <v>129</v>
      </c>
      <c r="S55" s="21" t="s">
        <v>37</v>
      </c>
      <c r="T55" s="21" t="s">
        <v>38</v>
      </c>
      <c r="U55" s="22">
        <v>1</v>
      </c>
      <c r="V55" s="54">
        <v>1</v>
      </c>
      <c r="AA55" s="54"/>
      <c r="AF55" s="56"/>
      <c r="AG55" s="22">
        <v>0</v>
      </c>
      <c r="AH55" t="s">
        <v>40</v>
      </c>
    </row>
    <row r="56" spans="1:34">
      <c r="A56" s="9" t="s">
        <v>142</v>
      </c>
      <c r="B56" s="7" t="s">
        <v>43</v>
      </c>
      <c r="C56" s="29" t="s">
        <v>128</v>
      </c>
      <c r="D56" t="s">
        <v>54</v>
      </c>
      <c r="E56" s="21" t="s">
        <v>35</v>
      </c>
      <c r="F56" s="22">
        <v>0.95238095238095233</v>
      </c>
      <c r="G56" s="54">
        <v>1</v>
      </c>
      <c r="L56" s="54"/>
      <c r="Q56" s="56"/>
      <c r="R56" s="21" t="s">
        <v>129</v>
      </c>
      <c r="S56" s="21" t="s">
        <v>37</v>
      </c>
      <c r="T56" s="21" t="s">
        <v>38</v>
      </c>
      <c r="U56" s="22">
        <v>1</v>
      </c>
      <c r="V56" s="54">
        <v>1</v>
      </c>
      <c r="AA56" s="54"/>
      <c r="AF56" s="56"/>
      <c r="AG56" s="22">
        <v>0</v>
      </c>
      <c r="AH56" t="s">
        <v>40</v>
      </c>
    </row>
    <row r="57" spans="1:34">
      <c r="A57" s="9" t="s">
        <v>143</v>
      </c>
      <c r="B57" s="7" t="s">
        <v>43</v>
      </c>
      <c r="C57" s="29" t="s">
        <v>128</v>
      </c>
      <c r="D57" t="s">
        <v>54</v>
      </c>
      <c r="E57" s="21" t="s">
        <v>35</v>
      </c>
      <c r="F57" s="22">
        <v>0.95238095238095233</v>
      </c>
      <c r="G57" s="54">
        <v>1</v>
      </c>
      <c r="L57" s="54"/>
      <c r="Q57" s="56"/>
      <c r="R57" s="21" t="s">
        <v>129</v>
      </c>
      <c r="S57" s="21" t="s">
        <v>37</v>
      </c>
      <c r="T57" s="21" t="s">
        <v>38</v>
      </c>
      <c r="U57" s="22">
        <v>1</v>
      </c>
      <c r="V57" s="54">
        <v>1</v>
      </c>
      <c r="AA57" s="54"/>
      <c r="AF57" s="56"/>
      <c r="AG57" s="22">
        <v>0</v>
      </c>
      <c r="AH57" t="s">
        <v>40</v>
      </c>
    </row>
    <row r="58" spans="1:34">
      <c r="A58" s="9" t="s">
        <v>144</v>
      </c>
      <c r="B58" s="7" t="s">
        <v>43</v>
      </c>
      <c r="C58" s="29" t="s">
        <v>128</v>
      </c>
      <c r="D58" t="s">
        <v>54</v>
      </c>
      <c r="E58" s="21" t="s">
        <v>35</v>
      </c>
      <c r="F58" s="22">
        <v>0.95238095238095233</v>
      </c>
      <c r="G58" s="54">
        <v>1</v>
      </c>
      <c r="L58" s="54"/>
      <c r="Q58" s="56"/>
      <c r="R58" s="21" t="s">
        <v>129</v>
      </c>
      <c r="S58" s="21" t="s">
        <v>37</v>
      </c>
      <c r="T58" s="21" t="s">
        <v>38</v>
      </c>
      <c r="U58" s="22">
        <v>1</v>
      </c>
      <c r="V58" s="54">
        <v>1</v>
      </c>
      <c r="AA58" s="54"/>
      <c r="AF58" s="56"/>
      <c r="AG58" s="68">
        <v>0</v>
      </c>
      <c r="AH58" t="s">
        <v>40</v>
      </c>
    </row>
    <row r="59" spans="1:34" s="5" customFormat="1">
      <c r="A59" s="10" t="s">
        <v>145</v>
      </c>
      <c r="B59" s="11" t="s">
        <v>46</v>
      </c>
      <c r="C59" s="28" t="s">
        <v>105</v>
      </c>
      <c r="D59" s="5" t="s">
        <v>37</v>
      </c>
      <c r="E59" s="19" t="s">
        <v>79</v>
      </c>
      <c r="F59" s="20">
        <v>0.4854368932038835</v>
      </c>
      <c r="G59" s="55">
        <v>1</v>
      </c>
      <c r="H59" s="19"/>
      <c r="I59" s="19"/>
      <c r="J59" s="19"/>
      <c r="K59" s="20"/>
      <c r="L59" s="55"/>
      <c r="M59" s="46"/>
      <c r="N59" s="19"/>
      <c r="O59" s="19"/>
      <c r="P59" s="20"/>
      <c r="Q59" s="57"/>
      <c r="R59" s="35" t="s">
        <v>129</v>
      </c>
      <c r="S59" s="30" t="s">
        <v>37</v>
      </c>
      <c r="T59" s="30" t="s">
        <v>38</v>
      </c>
      <c r="U59" s="31">
        <v>0.970873786407767</v>
      </c>
      <c r="V59" s="32">
        <v>1</v>
      </c>
      <c r="W59" s="19"/>
      <c r="X59" s="19"/>
      <c r="Y59" s="19"/>
      <c r="Z59" s="20"/>
      <c r="AA59" s="55"/>
      <c r="AB59" s="46"/>
      <c r="AC59" s="19"/>
      <c r="AD59" s="19"/>
      <c r="AE59" s="19"/>
      <c r="AF59" s="57"/>
      <c r="AG59" s="22">
        <v>0</v>
      </c>
      <c r="AH59" s="5" t="s">
        <v>40</v>
      </c>
    </row>
    <row r="60" spans="1:34">
      <c r="A60" s="9" t="s">
        <v>146</v>
      </c>
      <c r="B60" s="7" t="s">
        <v>46</v>
      </c>
      <c r="C60" s="29" t="s">
        <v>105</v>
      </c>
      <c r="D60" t="s">
        <v>37</v>
      </c>
      <c r="E60" s="21" t="s">
        <v>79</v>
      </c>
      <c r="F60" s="22">
        <v>0.4854368932038835</v>
      </c>
      <c r="G60" s="54">
        <v>1</v>
      </c>
      <c r="L60" s="54"/>
      <c r="Q60" s="56"/>
      <c r="R60" s="36" t="s">
        <v>129</v>
      </c>
      <c r="S60" s="17" t="s">
        <v>37</v>
      </c>
      <c r="T60" s="17" t="s">
        <v>38</v>
      </c>
      <c r="U60" s="18">
        <v>0.970873786407767</v>
      </c>
      <c r="V60" s="23">
        <v>1</v>
      </c>
      <c r="AA60" s="54"/>
      <c r="AF60" s="56"/>
      <c r="AG60" s="22">
        <v>0</v>
      </c>
      <c r="AH60" t="s">
        <v>40</v>
      </c>
    </row>
    <row r="61" spans="1:34">
      <c r="A61" s="9" t="s">
        <v>147</v>
      </c>
      <c r="B61" s="7" t="s">
        <v>46</v>
      </c>
      <c r="C61" s="29" t="s">
        <v>105</v>
      </c>
      <c r="D61" t="s">
        <v>37</v>
      </c>
      <c r="E61" s="21" t="s">
        <v>79</v>
      </c>
      <c r="F61" s="22">
        <v>0.4854368932038835</v>
      </c>
      <c r="G61" s="54">
        <v>1</v>
      </c>
      <c r="L61" s="54"/>
      <c r="Q61" s="56"/>
      <c r="R61" s="36" t="s">
        <v>129</v>
      </c>
      <c r="S61" s="17" t="s">
        <v>37</v>
      </c>
      <c r="T61" s="17" t="s">
        <v>38</v>
      </c>
      <c r="U61" s="18">
        <v>0.970873786407767</v>
      </c>
      <c r="V61" s="18">
        <v>0.5</v>
      </c>
      <c r="W61" s="43" t="s">
        <v>148</v>
      </c>
      <c r="X61" s="17" t="s">
        <v>37</v>
      </c>
      <c r="Y61" s="17" t="s">
        <v>35</v>
      </c>
      <c r="Z61" s="18">
        <v>0.69930069930069938</v>
      </c>
      <c r="AA61" s="18">
        <v>0.25</v>
      </c>
      <c r="AB61" s="43" t="s">
        <v>149</v>
      </c>
      <c r="AC61" s="17" t="s">
        <v>37</v>
      </c>
      <c r="AD61" s="17" t="s">
        <v>150</v>
      </c>
      <c r="AE61" s="18">
        <v>0.68</v>
      </c>
      <c r="AF61" s="25">
        <v>0.25</v>
      </c>
      <c r="AG61" s="22">
        <v>0</v>
      </c>
      <c r="AH61" t="s">
        <v>40</v>
      </c>
    </row>
    <row r="62" spans="1:34">
      <c r="A62" s="9" t="s">
        <v>151</v>
      </c>
      <c r="B62" s="7" t="s">
        <v>46</v>
      </c>
      <c r="C62" s="29" t="s">
        <v>152</v>
      </c>
      <c r="D62" t="s">
        <v>34</v>
      </c>
      <c r="E62" s="21" t="s">
        <v>35</v>
      </c>
      <c r="F62" s="22">
        <v>0.84033613445378152</v>
      </c>
      <c r="G62" s="54">
        <v>1</v>
      </c>
      <c r="L62" s="54"/>
      <c r="Q62" s="56"/>
      <c r="R62" s="36" t="s">
        <v>148</v>
      </c>
      <c r="S62" s="17" t="s">
        <v>37</v>
      </c>
      <c r="T62" s="17" t="s">
        <v>35</v>
      </c>
      <c r="U62" s="18">
        <v>0.69930069930069938</v>
      </c>
      <c r="V62" s="23">
        <v>0.5</v>
      </c>
      <c r="W62" s="43" t="s">
        <v>149</v>
      </c>
      <c r="X62" s="17" t="s">
        <v>37</v>
      </c>
      <c r="Y62" s="17" t="s">
        <v>150</v>
      </c>
      <c r="Z62" s="18">
        <v>0.68</v>
      </c>
      <c r="AA62" s="23">
        <v>0.5</v>
      </c>
      <c r="AF62" s="56"/>
      <c r="AG62" s="22">
        <v>0</v>
      </c>
      <c r="AH62" t="s">
        <v>40</v>
      </c>
    </row>
    <row r="63" spans="1:34">
      <c r="A63" s="9" t="s">
        <v>153</v>
      </c>
      <c r="B63" s="7" t="s">
        <v>46</v>
      </c>
      <c r="C63" s="29" t="s">
        <v>152</v>
      </c>
      <c r="D63" t="s">
        <v>34</v>
      </c>
      <c r="E63" s="21" t="s">
        <v>35</v>
      </c>
      <c r="F63" s="22">
        <v>0.84033613445378152</v>
      </c>
      <c r="G63" s="54">
        <v>1</v>
      </c>
      <c r="L63" s="54"/>
      <c r="Q63" s="56"/>
      <c r="R63" s="36" t="s">
        <v>129</v>
      </c>
      <c r="S63" s="17" t="s">
        <v>37</v>
      </c>
      <c r="T63" s="17" t="s">
        <v>38</v>
      </c>
      <c r="U63" s="18">
        <v>0.970873786407767</v>
      </c>
      <c r="V63" s="23">
        <v>1</v>
      </c>
      <c r="AA63" s="54"/>
      <c r="AF63" s="56"/>
      <c r="AG63" s="22">
        <v>0</v>
      </c>
      <c r="AH63" t="s">
        <v>40</v>
      </c>
    </row>
    <row r="64" spans="1:34">
      <c r="A64" s="9" t="s">
        <v>154</v>
      </c>
      <c r="B64" s="7" t="s">
        <v>46</v>
      </c>
      <c r="C64" s="29" t="s">
        <v>152</v>
      </c>
      <c r="D64" t="s">
        <v>34</v>
      </c>
      <c r="E64" s="21" t="s">
        <v>35</v>
      </c>
      <c r="F64" s="22">
        <v>0.84033613445378152</v>
      </c>
      <c r="G64" s="54">
        <v>1</v>
      </c>
      <c r="L64" s="54"/>
      <c r="Q64" s="56"/>
      <c r="R64" s="36" t="s">
        <v>129</v>
      </c>
      <c r="S64" s="17" t="s">
        <v>37</v>
      </c>
      <c r="T64" s="17" t="s">
        <v>38</v>
      </c>
      <c r="U64" s="18">
        <v>0.970873786407767</v>
      </c>
      <c r="V64" s="23">
        <v>1</v>
      </c>
      <c r="AA64" s="54"/>
      <c r="AF64" s="56"/>
      <c r="AG64" s="22">
        <v>0</v>
      </c>
      <c r="AH64" t="s">
        <v>40</v>
      </c>
    </row>
    <row r="65" spans="1:34">
      <c r="A65" s="9" t="s">
        <v>155</v>
      </c>
      <c r="B65" s="7" t="s">
        <v>46</v>
      </c>
      <c r="C65" s="29" t="s">
        <v>152</v>
      </c>
      <c r="D65" t="s">
        <v>34</v>
      </c>
      <c r="E65" s="21" t="s">
        <v>35</v>
      </c>
      <c r="F65" s="22">
        <v>0.84033613445378152</v>
      </c>
      <c r="G65" s="54">
        <v>1</v>
      </c>
      <c r="L65" s="54"/>
      <c r="Q65" s="56"/>
      <c r="R65" s="36" t="s">
        <v>129</v>
      </c>
      <c r="S65" s="17" t="s">
        <v>37</v>
      </c>
      <c r="T65" s="17" t="s">
        <v>38</v>
      </c>
      <c r="U65" s="18">
        <v>0.970873786407767</v>
      </c>
      <c r="V65" s="18">
        <v>0.5</v>
      </c>
      <c r="W65" s="43" t="s">
        <v>148</v>
      </c>
      <c r="X65" s="17" t="s">
        <v>37</v>
      </c>
      <c r="Y65" s="17" t="s">
        <v>35</v>
      </c>
      <c r="Z65" s="18">
        <v>0.69930069930069938</v>
      </c>
      <c r="AA65" s="18">
        <v>0.25</v>
      </c>
      <c r="AB65" s="43" t="s">
        <v>149</v>
      </c>
      <c r="AC65" s="17" t="s">
        <v>37</v>
      </c>
      <c r="AD65" s="17" t="s">
        <v>150</v>
      </c>
      <c r="AE65" s="18">
        <v>0.68</v>
      </c>
      <c r="AF65" s="25">
        <v>0.25</v>
      </c>
      <c r="AG65" s="22">
        <v>0</v>
      </c>
      <c r="AH65" t="s">
        <v>40</v>
      </c>
    </row>
    <row r="66" spans="1:34">
      <c r="A66" s="9" t="s">
        <v>156</v>
      </c>
      <c r="B66" s="7" t="s">
        <v>46</v>
      </c>
      <c r="C66" s="29" t="s">
        <v>152</v>
      </c>
      <c r="D66" t="s">
        <v>34</v>
      </c>
      <c r="E66" s="21" t="s">
        <v>35</v>
      </c>
      <c r="F66" s="22">
        <v>0.84033613445378152</v>
      </c>
      <c r="G66" s="54">
        <v>1</v>
      </c>
      <c r="L66" s="54"/>
      <c r="Q66" s="56"/>
      <c r="R66" s="61" t="s">
        <v>148</v>
      </c>
      <c r="S66" s="38" t="s">
        <v>37</v>
      </c>
      <c r="T66" s="38" t="s">
        <v>35</v>
      </c>
      <c r="U66" s="39">
        <v>0.69930069930069938</v>
      </c>
      <c r="V66" s="40">
        <v>0.5</v>
      </c>
      <c r="W66" s="44" t="s">
        <v>149</v>
      </c>
      <c r="X66" s="38" t="s">
        <v>37</v>
      </c>
      <c r="Y66" s="38" t="s">
        <v>150</v>
      </c>
      <c r="Z66" s="39">
        <v>0.68</v>
      </c>
      <c r="AA66" s="40">
        <v>0.5</v>
      </c>
      <c r="AB66" s="47"/>
      <c r="AC66" s="41"/>
      <c r="AD66" s="41"/>
      <c r="AE66" s="41"/>
      <c r="AF66" s="62"/>
      <c r="AG66" s="22">
        <v>0</v>
      </c>
      <c r="AH66" t="s">
        <v>40</v>
      </c>
    </row>
    <row r="67" spans="1:34" s="5" customFormat="1">
      <c r="A67" s="10" t="s">
        <v>157</v>
      </c>
      <c r="B67" s="11" t="s">
        <v>50</v>
      </c>
      <c r="C67" s="28" t="s">
        <v>158</v>
      </c>
      <c r="D67" s="5" t="s">
        <v>37</v>
      </c>
      <c r="E67" s="19" t="s">
        <v>38</v>
      </c>
      <c r="F67" s="20">
        <v>1</v>
      </c>
      <c r="G67" s="55">
        <v>1</v>
      </c>
      <c r="H67" s="19"/>
      <c r="I67" s="19"/>
      <c r="J67" s="19"/>
      <c r="K67" s="20"/>
      <c r="L67" s="55"/>
      <c r="M67" s="46"/>
      <c r="N67" s="19"/>
      <c r="O67" s="19"/>
      <c r="P67" s="20"/>
      <c r="Q67" s="57"/>
      <c r="R67" s="35" t="s">
        <v>129</v>
      </c>
      <c r="S67" s="19" t="s">
        <v>37</v>
      </c>
      <c r="T67" s="19" t="s">
        <v>38</v>
      </c>
      <c r="U67" s="20">
        <v>1</v>
      </c>
      <c r="V67" s="55">
        <v>1</v>
      </c>
      <c r="W67" s="19"/>
      <c r="X67" s="19"/>
      <c r="Y67" s="19"/>
      <c r="Z67" s="20"/>
      <c r="AA67" s="55"/>
      <c r="AB67" s="46"/>
      <c r="AC67" s="19"/>
      <c r="AD67" s="19"/>
      <c r="AE67" s="19"/>
      <c r="AF67" s="57"/>
      <c r="AG67" s="69">
        <v>0</v>
      </c>
      <c r="AH67" s="5" t="s">
        <v>40</v>
      </c>
    </row>
    <row r="68" spans="1:34">
      <c r="A68" s="9" t="s">
        <v>159</v>
      </c>
      <c r="B68" s="7" t="s">
        <v>50</v>
      </c>
      <c r="C68" s="29" t="s">
        <v>158</v>
      </c>
      <c r="D68" t="s">
        <v>37</v>
      </c>
      <c r="E68" s="21" t="s">
        <v>38</v>
      </c>
      <c r="F68" s="22">
        <v>1</v>
      </c>
      <c r="G68" s="54">
        <v>1</v>
      </c>
      <c r="L68" s="54"/>
      <c r="Q68" s="56"/>
      <c r="R68" s="21" t="s">
        <v>129</v>
      </c>
      <c r="S68" s="21" t="s">
        <v>37</v>
      </c>
      <c r="T68" s="21" t="s">
        <v>38</v>
      </c>
      <c r="U68" s="22">
        <v>1</v>
      </c>
      <c r="V68" s="54">
        <v>1</v>
      </c>
      <c r="AA68" s="54"/>
      <c r="AF68" s="56"/>
      <c r="AG68" s="22">
        <v>0</v>
      </c>
      <c r="AH68" t="s">
        <v>40</v>
      </c>
    </row>
    <row r="69" spans="1:34">
      <c r="A69" s="9" t="s">
        <v>160</v>
      </c>
      <c r="B69" s="7" t="s">
        <v>50</v>
      </c>
      <c r="C69" s="29" t="s">
        <v>158</v>
      </c>
      <c r="D69" t="s">
        <v>37</v>
      </c>
      <c r="E69" s="21" t="s">
        <v>38</v>
      </c>
      <c r="F69" s="22">
        <v>1</v>
      </c>
      <c r="G69" s="54">
        <v>1</v>
      </c>
      <c r="L69" s="54"/>
      <c r="Q69" s="56"/>
      <c r="R69" s="21" t="s">
        <v>129</v>
      </c>
      <c r="S69" s="21" t="s">
        <v>37</v>
      </c>
      <c r="T69" s="21" t="s">
        <v>38</v>
      </c>
      <c r="U69" s="22">
        <v>1</v>
      </c>
      <c r="V69" s="54">
        <v>1</v>
      </c>
      <c r="AA69" s="54"/>
      <c r="AF69" s="56"/>
      <c r="AG69" s="22">
        <v>0</v>
      </c>
      <c r="AH69" t="s">
        <v>40</v>
      </c>
    </row>
    <row r="70" spans="1:34">
      <c r="A70" s="9" t="s">
        <v>161</v>
      </c>
      <c r="B70" s="7" t="s">
        <v>50</v>
      </c>
      <c r="C70" s="29" t="s">
        <v>158</v>
      </c>
      <c r="D70" t="s">
        <v>37</v>
      </c>
      <c r="E70" s="21" t="s">
        <v>38</v>
      </c>
      <c r="F70" s="22">
        <v>1</v>
      </c>
      <c r="G70" s="54">
        <v>1</v>
      </c>
      <c r="L70" s="54"/>
      <c r="Q70" s="56"/>
      <c r="R70" s="21" t="s">
        <v>129</v>
      </c>
      <c r="S70" s="21" t="s">
        <v>37</v>
      </c>
      <c r="T70" s="21" t="s">
        <v>38</v>
      </c>
      <c r="U70" s="22">
        <v>1</v>
      </c>
      <c r="V70" s="54">
        <v>1</v>
      </c>
      <c r="AA70" s="54"/>
      <c r="AF70" s="56"/>
      <c r="AG70" s="22">
        <v>0</v>
      </c>
      <c r="AH70" t="s">
        <v>40</v>
      </c>
    </row>
    <row r="71" spans="1:34">
      <c r="A71" s="9" t="s">
        <v>162</v>
      </c>
      <c r="B71" s="7" t="s">
        <v>50</v>
      </c>
      <c r="C71" s="29" t="s">
        <v>158</v>
      </c>
      <c r="D71" t="s">
        <v>37</v>
      </c>
      <c r="E71" s="21" t="s">
        <v>38</v>
      </c>
      <c r="F71" s="22">
        <v>1</v>
      </c>
      <c r="G71" s="54">
        <v>1</v>
      </c>
      <c r="L71" s="54"/>
      <c r="Q71" s="56"/>
      <c r="R71" s="21" t="s">
        <v>129</v>
      </c>
      <c r="S71" s="21" t="s">
        <v>37</v>
      </c>
      <c r="T71" s="21" t="s">
        <v>38</v>
      </c>
      <c r="U71" s="22">
        <v>1</v>
      </c>
      <c r="V71" s="54">
        <v>0.66666666666666663</v>
      </c>
      <c r="W71" s="21" t="s">
        <v>45</v>
      </c>
      <c r="X71" s="21" t="s">
        <v>34</v>
      </c>
      <c r="Y71" s="21" t="s">
        <v>35</v>
      </c>
      <c r="Z71" s="22">
        <v>0.83333333333333337</v>
      </c>
      <c r="AA71" s="54">
        <v>0.33333333333333331</v>
      </c>
      <c r="AF71" s="56"/>
      <c r="AG71" s="22">
        <v>0</v>
      </c>
      <c r="AH71" t="s">
        <v>40</v>
      </c>
    </row>
    <row r="72" spans="1:34">
      <c r="A72" s="9" t="s">
        <v>163</v>
      </c>
      <c r="B72" s="7" t="s">
        <v>50</v>
      </c>
      <c r="C72" s="29" t="s">
        <v>33</v>
      </c>
      <c r="D72" t="s">
        <v>34</v>
      </c>
      <c r="E72" s="21" t="s">
        <v>35</v>
      </c>
      <c r="F72" s="22">
        <v>0.970873786407767</v>
      </c>
      <c r="G72" s="54">
        <v>1</v>
      </c>
      <c r="L72" s="54"/>
      <c r="Q72" s="56"/>
      <c r="R72" s="21" t="s">
        <v>45</v>
      </c>
      <c r="S72" s="21" t="s">
        <v>34</v>
      </c>
      <c r="T72" s="21" t="s">
        <v>35</v>
      </c>
      <c r="U72" s="22">
        <v>0.83333333333333337</v>
      </c>
      <c r="V72" s="54">
        <v>0.75</v>
      </c>
      <c r="W72" s="21" t="s">
        <v>164</v>
      </c>
      <c r="X72" s="21" t="s">
        <v>34</v>
      </c>
      <c r="Y72" s="21" t="s">
        <v>35</v>
      </c>
      <c r="Z72" s="22">
        <v>0.98039215686274506</v>
      </c>
      <c r="AA72" s="54">
        <v>0.25</v>
      </c>
      <c r="AF72" s="56"/>
      <c r="AG72" s="22">
        <v>0</v>
      </c>
      <c r="AH72" t="s">
        <v>40</v>
      </c>
    </row>
    <row r="73" spans="1:34">
      <c r="A73" s="9" t="s">
        <v>165</v>
      </c>
      <c r="B73" s="7" t="s">
        <v>50</v>
      </c>
      <c r="C73" s="29" t="s">
        <v>33</v>
      </c>
      <c r="D73" t="s">
        <v>34</v>
      </c>
      <c r="E73" s="21" t="s">
        <v>35</v>
      </c>
      <c r="F73" s="22">
        <v>0.970873786407767</v>
      </c>
      <c r="G73" s="54">
        <v>1</v>
      </c>
      <c r="L73" s="54"/>
      <c r="Q73" s="56"/>
      <c r="R73" s="21" t="s">
        <v>45</v>
      </c>
      <c r="S73" s="21" t="s">
        <v>34</v>
      </c>
      <c r="T73" s="21" t="s">
        <v>35</v>
      </c>
      <c r="U73" s="22">
        <v>0.83333333333333337</v>
      </c>
      <c r="V73" s="54">
        <v>0.5</v>
      </c>
      <c r="W73" s="21" t="s">
        <v>164</v>
      </c>
      <c r="X73" s="21" t="s">
        <v>34</v>
      </c>
      <c r="Y73" s="21" t="s">
        <v>35</v>
      </c>
      <c r="Z73" s="22">
        <v>0.98039215686274506</v>
      </c>
      <c r="AA73" s="54">
        <v>0.5</v>
      </c>
      <c r="AF73" s="56"/>
      <c r="AG73" s="22">
        <v>0</v>
      </c>
      <c r="AH73" t="s">
        <v>40</v>
      </c>
    </row>
    <row r="74" spans="1:34">
      <c r="A74" s="9" t="s">
        <v>166</v>
      </c>
      <c r="B74" s="7" t="s">
        <v>50</v>
      </c>
      <c r="C74" s="29" t="s">
        <v>158</v>
      </c>
      <c r="D74" t="s">
        <v>37</v>
      </c>
      <c r="E74" s="21" t="s">
        <v>38</v>
      </c>
      <c r="F74" s="22">
        <v>1</v>
      </c>
      <c r="G74" s="54">
        <v>1</v>
      </c>
      <c r="L74" s="54"/>
      <c r="Q74" s="56"/>
      <c r="R74" s="21" t="s">
        <v>167</v>
      </c>
      <c r="S74" s="21" t="s">
        <v>54</v>
      </c>
      <c r="T74" s="21" t="s">
        <v>35</v>
      </c>
      <c r="U74" s="22">
        <v>0.95238095238095233</v>
      </c>
      <c r="V74" s="54">
        <v>1</v>
      </c>
      <c r="AA74" s="54"/>
      <c r="AF74" s="56"/>
      <c r="AG74" s="22">
        <v>0</v>
      </c>
      <c r="AH74" t="s">
        <v>40</v>
      </c>
    </row>
    <row r="75" spans="1:34">
      <c r="A75" s="9" t="s">
        <v>168</v>
      </c>
      <c r="B75" s="7" t="s">
        <v>50</v>
      </c>
      <c r="C75" s="29" t="s">
        <v>158</v>
      </c>
      <c r="D75" t="s">
        <v>37</v>
      </c>
      <c r="E75" s="21" t="s">
        <v>38</v>
      </c>
      <c r="F75" s="22">
        <v>1</v>
      </c>
      <c r="G75" s="54">
        <v>1</v>
      </c>
      <c r="L75" s="54"/>
      <c r="Q75" s="56"/>
      <c r="R75" s="21" t="s">
        <v>167</v>
      </c>
      <c r="S75" s="21" t="s">
        <v>54</v>
      </c>
      <c r="T75" s="21" t="s">
        <v>35</v>
      </c>
      <c r="U75" s="22">
        <v>0.95238095238095233</v>
      </c>
      <c r="V75" s="54">
        <v>1</v>
      </c>
      <c r="AA75" s="54"/>
      <c r="AF75" s="56"/>
      <c r="AG75" s="70">
        <v>0</v>
      </c>
      <c r="AH75" t="s">
        <v>40</v>
      </c>
    </row>
    <row r="76" spans="1:34">
      <c r="A76" s="9" t="s">
        <v>169</v>
      </c>
      <c r="B76" s="7" t="s">
        <v>50</v>
      </c>
      <c r="C76" s="29" t="s">
        <v>158</v>
      </c>
      <c r="D76" t="s">
        <v>37</v>
      </c>
      <c r="E76" s="21" t="s">
        <v>38</v>
      </c>
      <c r="F76" s="22">
        <v>1</v>
      </c>
      <c r="G76" s="54">
        <v>1</v>
      </c>
      <c r="L76" s="54"/>
      <c r="Q76" s="56"/>
      <c r="R76" s="21" t="s">
        <v>167</v>
      </c>
      <c r="S76" s="21" t="s">
        <v>54</v>
      </c>
      <c r="T76" s="21" t="s">
        <v>35</v>
      </c>
      <c r="U76" s="22">
        <v>0.95238095238095233</v>
      </c>
      <c r="V76" s="54">
        <v>1</v>
      </c>
      <c r="AA76" s="54"/>
      <c r="AF76" s="56"/>
      <c r="AG76" s="22">
        <v>0</v>
      </c>
      <c r="AH76" t="s">
        <v>40</v>
      </c>
    </row>
    <row r="77" spans="1:34">
      <c r="A77" s="9" t="s">
        <v>170</v>
      </c>
      <c r="B77" s="7" t="s">
        <v>50</v>
      </c>
      <c r="C77" s="29" t="s">
        <v>158</v>
      </c>
      <c r="D77" t="s">
        <v>37</v>
      </c>
      <c r="E77" s="21" t="s">
        <v>38</v>
      </c>
      <c r="F77" s="22">
        <v>1</v>
      </c>
      <c r="G77" s="54">
        <v>1</v>
      </c>
      <c r="L77" s="54"/>
      <c r="Q77" s="56"/>
      <c r="R77" s="21" t="s">
        <v>167</v>
      </c>
      <c r="S77" s="21" t="s">
        <v>54</v>
      </c>
      <c r="T77" s="21" t="s">
        <v>35</v>
      </c>
      <c r="U77" s="22">
        <v>0.95238095238095233</v>
      </c>
      <c r="V77" s="54">
        <v>1</v>
      </c>
      <c r="AA77" s="54"/>
      <c r="AF77" s="56"/>
      <c r="AG77" s="22">
        <v>0</v>
      </c>
      <c r="AH77" t="s">
        <v>40</v>
      </c>
    </row>
    <row r="78" spans="1:34">
      <c r="A78" s="9" t="s">
        <v>171</v>
      </c>
      <c r="B78" s="7" t="s">
        <v>50</v>
      </c>
      <c r="C78" s="29" t="s">
        <v>158</v>
      </c>
      <c r="D78" t="s">
        <v>37</v>
      </c>
      <c r="E78" s="21" t="s">
        <v>38</v>
      </c>
      <c r="F78" s="22">
        <v>1</v>
      </c>
      <c r="G78" s="54">
        <v>1</v>
      </c>
      <c r="L78" s="54"/>
      <c r="Q78" s="56"/>
      <c r="R78" s="21" t="s">
        <v>167</v>
      </c>
      <c r="S78" s="21" t="s">
        <v>54</v>
      </c>
      <c r="T78" s="21" t="s">
        <v>35</v>
      </c>
      <c r="U78" s="22">
        <v>0.95238095238095233</v>
      </c>
      <c r="V78" s="54">
        <v>0.66</v>
      </c>
      <c r="W78" s="21" t="s">
        <v>45</v>
      </c>
      <c r="X78" s="21" t="s">
        <v>34</v>
      </c>
      <c r="Y78" s="21" t="s">
        <v>35</v>
      </c>
      <c r="Z78" s="22">
        <v>0.83333333333333337</v>
      </c>
      <c r="AA78" s="54">
        <v>0.33333333333333331</v>
      </c>
      <c r="AF78" s="56"/>
      <c r="AG78" s="22">
        <v>0</v>
      </c>
      <c r="AH78" t="s">
        <v>40</v>
      </c>
    </row>
    <row r="79" spans="1:34">
      <c r="A79" s="9" t="s">
        <v>172</v>
      </c>
      <c r="B79" s="7" t="s">
        <v>50</v>
      </c>
      <c r="C79" s="29" t="s">
        <v>33</v>
      </c>
      <c r="D79" t="s">
        <v>34</v>
      </c>
      <c r="E79" s="21" t="s">
        <v>35</v>
      </c>
      <c r="F79" s="22">
        <v>0.970873786407767</v>
      </c>
      <c r="G79" s="54">
        <v>1</v>
      </c>
      <c r="L79" s="54"/>
      <c r="Q79" s="56"/>
      <c r="R79" s="21" t="s">
        <v>45</v>
      </c>
      <c r="S79" s="21" t="s">
        <v>34</v>
      </c>
      <c r="T79" s="21" t="s">
        <v>35</v>
      </c>
      <c r="U79" s="22">
        <v>0.83333333333333337</v>
      </c>
      <c r="V79" s="54">
        <v>0.75</v>
      </c>
      <c r="W79" s="21" t="s">
        <v>164</v>
      </c>
      <c r="X79" s="21" t="s">
        <v>34</v>
      </c>
      <c r="Y79" s="21" t="s">
        <v>35</v>
      </c>
      <c r="Z79" s="22">
        <v>0.98039215686274506</v>
      </c>
      <c r="AA79" s="54">
        <v>0.25</v>
      </c>
      <c r="AF79" s="56"/>
      <c r="AG79" s="22">
        <v>0</v>
      </c>
      <c r="AH79" t="s">
        <v>40</v>
      </c>
    </row>
    <row r="80" spans="1:34">
      <c r="A80" s="9" t="s">
        <v>173</v>
      </c>
      <c r="B80" s="7" t="s">
        <v>50</v>
      </c>
      <c r="C80" s="29" t="s">
        <v>33</v>
      </c>
      <c r="D80" t="s">
        <v>34</v>
      </c>
      <c r="E80" s="21" t="s">
        <v>35</v>
      </c>
      <c r="F80" s="22">
        <v>0.970873786407767</v>
      </c>
      <c r="G80" s="54">
        <v>1</v>
      </c>
      <c r="L80" s="54"/>
      <c r="Q80" s="56"/>
      <c r="R80" s="21" t="s">
        <v>45</v>
      </c>
      <c r="S80" s="21" t="s">
        <v>34</v>
      </c>
      <c r="T80" s="21" t="s">
        <v>35</v>
      </c>
      <c r="U80" s="22">
        <v>0.83333333333333337</v>
      </c>
      <c r="V80" s="54">
        <v>0.5</v>
      </c>
      <c r="W80" s="21" t="s">
        <v>164</v>
      </c>
      <c r="X80" s="21" t="s">
        <v>34</v>
      </c>
      <c r="Y80" s="21" t="s">
        <v>35</v>
      </c>
      <c r="Z80" s="22">
        <v>0.98039215686274506</v>
      </c>
      <c r="AA80" s="54">
        <v>0.5</v>
      </c>
      <c r="AF80" s="56"/>
      <c r="AG80" s="22">
        <v>0</v>
      </c>
      <c r="AH80" t="s">
        <v>40</v>
      </c>
    </row>
    <row r="81" spans="1:34">
      <c r="A81" s="9" t="s">
        <v>174</v>
      </c>
      <c r="B81" s="7" t="s">
        <v>50</v>
      </c>
      <c r="C81" s="29" t="s">
        <v>158</v>
      </c>
      <c r="D81" t="s">
        <v>37</v>
      </c>
      <c r="E81" s="21" t="s">
        <v>38</v>
      </c>
      <c r="F81" s="22">
        <v>1</v>
      </c>
      <c r="G81" s="54">
        <v>1</v>
      </c>
      <c r="L81" s="54"/>
      <c r="Q81" s="56"/>
      <c r="R81" s="21" t="s">
        <v>167</v>
      </c>
      <c r="S81" s="21" t="s">
        <v>54</v>
      </c>
      <c r="T81" s="21" t="s">
        <v>35</v>
      </c>
      <c r="U81" s="22">
        <v>0.95238095238095233</v>
      </c>
      <c r="V81" s="54">
        <v>1</v>
      </c>
      <c r="AA81" s="54"/>
      <c r="AF81" s="56"/>
      <c r="AG81" s="22">
        <v>0</v>
      </c>
      <c r="AH81" t="s">
        <v>40</v>
      </c>
    </row>
    <row r="82" spans="1:34">
      <c r="A82" s="9" t="s">
        <v>175</v>
      </c>
      <c r="B82" s="7" t="s">
        <v>50</v>
      </c>
      <c r="C82" s="29" t="s">
        <v>158</v>
      </c>
      <c r="D82" t="s">
        <v>37</v>
      </c>
      <c r="E82" s="21" t="s">
        <v>38</v>
      </c>
      <c r="F82" s="22">
        <v>1</v>
      </c>
      <c r="G82" s="54">
        <v>1</v>
      </c>
      <c r="L82" s="54"/>
      <c r="Q82" s="56"/>
      <c r="R82" s="21" t="s">
        <v>167</v>
      </c>
      <c r="S82" s="21" t="s">
        <v>54</v>
      </c>
      <c r="T82" s="21" t="s">
        <v>35</v>
      </c>
      <c r="U82" s="22">
        <v>0.95238095238095233</v>
      </c>
      <c r="V82" s="54">
        <v>1</v>
      </c>
      <c r="AA82" s="54"/>
      <c r="AF82" s="56"/>
      <c r="AG82" s="22">
        <v>0</v>
      </c>
      <c r="AH82" t="s">
        <v>40</v>
      </c>
    </row>
    <row r="83" spans="1:34">
      <c r="A83" s="9" t="s">
        <v>176</v>
      </c>
      <c r="B83" s="7" t="s">
        <v>50</v>
      </c>
      <c r="C83" s="29" t="s">
        <v>158</v>
      </c>
      <c r="D83" t="s">
        <v>37</v>
      </c>
      <c r="E83" s="21" t="s">
        <v>38</v>
      </c>
      <c r="F83" s="22">
        <v>1</v>
      </c>
      <c r="G83" s="54">
        <v>1</v>
      </c>
      <c r="L83" s="54"/>
      <c r="Q83" s="56"/>
      <c r="R83" s="21" t="s">
        <v>167</v>
      </c>
      <c r="S83" s="21" t="s">
        <v>54</v>
      </c>
      <c r="T83" s="21" t="s">
        <v>35</v>
      </c>
      <c r="U83" s="22">
        <v>0.95238095238095233</v>
      </c>
      <c r="V83" s="54">
        <v>1</v>
      </c>
      <c r="AA83" s="54"/>
      <c r="AF83" s="56"/>
      <c r="AG83" s="22">
        <v>0</v>
      </c>
      <c r="AH83" t="s">
        <v>40</v>
      </c>
    </row>
    <row r="84" spans="1:34">
      <c r="A84" s="9" t="s">
        <v>177</v>
      </c>
      <c r="B84" s="7" t="s">
        <v>50</v>
      </c>
      <c r="C84" s="29" t="s">
        <v>158</v>
      </c>
      <c r="D84" t="s">
        <v>37</v>
      </c>
      <c r="E84" s="21" t="s">
        <v>38</v>
      </c>
      <c r="F84" s="22">
        <v>1</v>
      </c>
      <c r="G84" s="54">
        <v>1</v>
      </c>
      <c r="L84" s="54"/>
      <c r="Q84" s="56"/>
      <c r="R84" s="21" t="s">
        <v>167</v>
      </c>
      <c r="S84" s="21" t="s">
        <v>54</v>
      </c>
      <c r="T84" s="21" t="s">
        <v>35</v>
      </c>
      <c r="U84" s="22">
        <v>0.95238095238095233</v>
      </c>
      <c r="V84" s="54">
        <v>1</v>
      </c>
      <c r="AA84" s="54"/>
      <c r="AF84" s="56"/>
      <c r="AG84" s="22">
        <v>0</v>
      </c>
      <c r="AH84" t="s">
        <v>40</v>
      </c>
    </row>
    <row r="85" spans="1:34">
      <c r="A85" s="9" t="s">
        <v>178</v>
      </c>
      <c r="B85" s="7" t="s">
        <v>50</v>
      </c>
      <c r="C85" s="29" t="s">
        <v>158</v>
      </c>
      <c r="D85" t="s">
        <v>37</v>
      </c>
      <c r="E85" s="21" t="s">
        <v>38</v>
      </c>
      <c r="F85" s="22">
        <v>1</v>
      </c>
      <c r="G85" s="54">
        <v>1</v>
      </c>
      <c r="L85" s="54"/>
      <c r="Q85" s="56"/>
      <c r="R85" s="21" t="s">
        <v>167</v>
      </c>
      <c r="S85" s="21" t="s">
        <v>54</v>
      </c>
      <c r="T85" s="21" t="s">
        <v>35</v>
      </c>
      <c r="U85" s="22">
        <v>0.95238095238095233</v>
      </c>
      <c r="V85" s="54">
        <v>0.8</v>
      </c>
      <c r="W85" s="21" t="s">
        <v>45</v>
      </c>
      <c r="X85" s="21" t="s">
        <v>34</v>
      </c>
      <c r="Y85" s="21" t="s">
        <v>35</v>
      </c>
      <c r="Z85" s="22">
        <v>0.83333333333333337</v>
      </c>
      <c r="AA85" s="54">
        <v>0.2</v>
      </c>
      <c r="AF85" s="56"/>
      <c r="AG85" s="22">
        <v>0</v>
      </c>
      <c r="AH85" t="s">
        <v>40</v>
      </c>
    </row>
    <row r="86" spans="1:34">
      <c r="A86" s="9" t="s">
        <v>179</v>
      </c>
      <c r="B86" s="7" t="s">
        <v>50</v>
      </c>
      <c r="C86" s="29" t="s">
        <v>33</v>
      </c>
      <c r="D86" t="s">
        <v>34</v>
      </c>
      <c r="E86" s="21" t="s">
        <v>35</v>
      </c>
      <c r="F86" s="22">
        <v>0.970873786407767</v>
      </c>
      <c r="G86" s="54">
        <v>1</v>
      </c>
      <c r="L86" s="54"/>
      <c r="Q86" s="56"/>
      <c r="R86" s="21" t="s">
        <v>45</v>
      </c>
      <c r="S86" s="21" t="s">
        <v>34</v>
      </c>
      <c r="T86" s="21" t="s">
        <v>35</v>
      </c>
      <c r="U86" s="22">
        <v>0.83333333333333337</v>
      </c>
      <c r="V86" s="54">
        <v>0.66666666666666663</v>
      </c>
      <c r="W86" s="21" t="s">
        <v>164</v>
      </c>
      <c r="X86" s="21" t="s">
        <v>34</v>
      </c>
      <c r="Y86" s="21" t="s">
        <v>35</v>
      </c>
      <c r="Z86" s="22">
        <v>0.98039215686274506</v>
      </c>
      <c r="AA86" s="54">
        <v>0.33333333333333331</v>
      </c>
      <c r="AF86" s="56"/>
      <c r="AG86" s="22">
        <v>0</v>
      </c>
      <c r="AH86" t="s">
        <v>40</v>
      </c>
    </row>
    <row r="87" spans="1:34" s="5" customFormat="1">
      <c r="A87" s="10" t="s">
        <v>180</v>
      </c>
      <c r="B87" s="11" t="s">
        <v>51</v>
      </c>
      <c r="C87" s="28" t="s">
        <v>45</v>
      </c>
      <c r="D87" s="5" t="s">
        <v>34</v>
      </c>
      <c r="E87" s="19" t="s">
        <v>35</v>
      </c>
      <c r="F87" s="20">
        <v>0.81300813008130079</v>
      </c>
      <c r="G87" s="55">
        <v>1</v>
      </c>
      <c r="H87" s="19"/>
      <c r="I87" s="19"/>
      <c r="J87" s="19"/>
      <c r="K87" s="20"/>
      <c r="L87" s="55"/>
      <c r="M87" s="46"/>
      <c r="N87" s="19"/>
      <c r="O87" s="19"/>
      <c r="P87" s="20"/>
      <c r="Q87" s="57"/>
      <c r="R87" s="63" t="s">
        <v>78</v>
      </c>
      <c r="S87" s="19" t="s">
        <v>34</v>
      </c>
      <c r="T87" s="19" t="s">
        <v>79</v>
      </c>
      <c r="U87" s="20">
        <v>0.61728395061728392</v>
      </c>
      <c r="V87" s="55">
        <v>1</v>
      </c>
      <c r="W87" s="19"/>
      <c r="X87" s="19"/>
      <c r="Y87" s="19"/>
      <c r="Z87" s="20"/>
      <c r="AA87" s="55"/>
      <c r="AB87" s="46"/>
      <c r="AC87" s="19"/>
      <c r="AD87" s="19"/>
      <c r="AE87" s="19"/>
      <c r="AF87" s="57"/>
      <c r="AG87" s="69">
        <v>0</v>
      </c>
      <c r="AH87" s="5" t="s">
        <v>40</v>
      </c>
    </row>
    <row r="88" spans="1:34">
      <c r="A88" s="9" t="s">
        <v>181</v>
      </c>
      <c r="B88" s="7" t="s">
        <v>51</v>
      </c>
      <c r="C88" s="29" t="s">
        <v>45</v>
      </c>
      <c r="D88" t="s">
        <v>34</v>
      </c>
      <c r="E88" s="21" t="s">
        <v>35</v>
      </c>
      <c r="F88" s="22">
        <v>0.81300813008130079</v>
      </c>
      <c r="G88" s="54">
        <v>1</v>
      </c>
      <c r="L88" s="54"/>
      <c r="Q88" s="56"/>
      <c r="R88" s="64" t="s">
        <v>78</v>
      </c>
      <c r="S88" s="21" t="s">
        <v>34</v>
      </c>
      <c r="T88" s="21" t="s">
        <v>79</v>
      </c>
      <c r="U88" s="22">
        <v>0.61728395061728392</v>
      </c>
      <c r="V88" s="54">
        <v>1</v>
      </c>
      <c r="AA88" s="54"/>
      <c r="AF88" s="56"/>
      <c r="AG88" s="22">
        <v>0</v>
      </c>
      <c r="AH88" t="s">
        <v>40</v>
      </c>
    </row>
    <row r="89" spans="1:34">
      <c r="A89" s="9" t="s">
        <v>182</v>
      </c>
      <c r="B89" s="7" t="s">
        <v>51</v>
      </c>
      <c r="C89" s="29" t="s">
        <v>45</v>
      </c>
      <c r="D89" t="s">
        <v>34</v>
      </c>
      <c r="E89" s="21" t="s">
        <v>35</v>
      </c>
      <c r="F89" s="22">
        <v>0.81300813008130079</v>
      </c>
      <c r="G89" s="54">
        <v>1</v>
      </c>
      <c r="L89" s="54"/>
      <c r="Q89" s="56"/>
      <c r="R89" s="64" t="s">
        <v>78</v>
      </c>
      <c r="S89" s="21" t="s">
        <v>34</v>
      </c>
      <c r="T89" s="21" t="s">
        <v>79</v>
      </c>
      <c r="U89" s="22">
        <v>0.61728395061728392</v>
      </c>
      <c r="V89" s="54">
        <v>1</v>
      </c>
      <c r="AA89" s="54"/>
      <c r="AF89" s="56"/>
      <c r="AG89" s="22">
        <v>0</v>
      </c>
      <c r="AH89" t="s">
        <v>40</v>
      </c>
    </row>
    <row r="90" spans="1:34">
      <c r="A90" s="9" t="s">
        <v>183</v>
      </c>
      <c r="B90" s="7" t="s">
        <v>51</v>
      </c>
      <c r="C90" s="29" t="s">
        <v>45</v>
      </c>
      <c r="D90" t="s">
        <v>34</v>
      </c>
      <c r="E90" s="21" t="s">
        <v>35</v>
      </c>
      <c r="F90" s="22">
        <v>0.81300813008130079</v>
      </c>
      <c r="G90" s="54">
        <v>1</v>
      </c>
      <c r="L90" s="54"/>
      <c r="Q90" s="56"/>
      <c r="R90" s="64" t="s">
        <v>78</v>
      </c>
      <c r="S90" s="21" t="s">
        <v>34</v>
      </c>
      <c r="T90" s="21" t="s">
        <v>79</v>
      </c>
      <c r="U90" s="22">
        <v>0.61728395061728392</v>
      </c>
      <c r="V90" s="54">
        <v>1</v>
      </c>
      <c r="AA90" s="54"/>
      <c r="AF90" s="56"/>
      <c r="AG90" s="22">
        <v>0</v>
      </c>
      <c r="AH90" t="s">
        <v>40</v>
      </c>
    </row>
    <row r="91" spans="1:34">
      <c r="A91" s="9" t="s">
        <v>184</v>
      </c>
      <c r="B91" s="7" t="s">
        <v>51</v>
      </c>
      <c r="C91" s="29" t="s">
        <v>45</v>
      </c>
      <c r="D91" t="s">
        <v>34</v>
      </c>
      <c r="E91" s="21" t="s">
        <v>35</v>
      </c>
      <c r="F91" s="22">
        <v>0.81300813008130079</v>
      </c>
      <c r="G91" s="54">
        <v>1</v>
      </c>
      <c r="L91" s="54"/>
      <c r="Q91" s="56"/>
      <c r="R91" s="64" t="s">
        <v>78</v>
      </c>
      <c r="S91" s="21" t="s">
        <v>34</v>
      </c>
      <c r="T91" s="21" t="s">
        <v>79</v>
      </c>
      <c r="U91" s="22">
        <v>0.61728395061728392</v>
      </c>
      <c r="V91" s="54">
        <v>1</v>
      </c>
      <c r="AA91" s="54"/>
      <c r="AF91" s="56"/>
      <c r="AG91" s="22">
        <v>0</v>
      </c>
      <c r="AH91" t="s">
        <v>40</v>
      </c>
    </row>
    <row r="92" spans="1:34">
      <c r="A92" s="9" t="s">
        <v>185</v>
      </c>
      <c r="B92" s="7" t="s">
        <v>51</v>
      </c>
      <c r="C92" s="29" t="s">
        <v>45</v>
      </c>
      <c r="D92" t="s">
        <v>34</v>
      </c>
      <c r="E92" s="21" t="s">
        <v>35</v>
      </c>
      <c r="F92" s="22">
        <v>0.81300813008130079</v>
      </c>
      <c r="G92" s="54">
        <v>1</v>
      </c>
      <c r="L92" s="54"/>
      <c r="Q92" s="56"/>
      <c r="R92" s="64" t="s">
        <v>78</v>
      </c>
      <c r="S92" s="21" t="s">
        <v>34</v>
      </c>
      <c r="T92" s="21" t="s">
        <v>79</v>
      </c>
      <c r="U92" s="22">
        <v>0.61728395061728392</v>
      </c>
      <c r="V92" s="54">
        <v>1</v>
      </c>
      <c r="AA92" s="54"/>
      <c r="AF92" s="56"/>
      <c r="AG92" s="70">
        <v>0</v>
      </c>
      <c r="AH92" t="s">
        <v>40</v>
      </c>
    </row>
    <row r="93" spans="1:34">
      <c r="A93" s="9" t="s">
        <v>186</v>
      </c>
      <c r="B93" s="7" t="s">
        <v>51</v>
      </c>
      <c r="C93" s="29" t="s">
        <v>45</v>
      </c>
      <c r="D93" t="s">
        <v>34</v>
      </c>
      <c r="E93" s="21" t="s">
        <v>35</v>
      </c>
      <c r="F93" s="22">
        <v>0.81300813008130079</v>
      </c>
      <c r="G93" s="54">
        <v>1</v>
      </c>
      <c r="L93" s="54"/>
      <c r="Q93" s="56"/>
      <c r="R93" s="64" t="s">
        <v>78</v>
      </c>
      <c r="S93" s="21" t="s">
        <v>34</v>
      </c>
      <c r="T93" s="21" t="s">
        <v>79</v>
      </c>
      <c r="U93" s="22">
        <v>0.61728395061728392</v>
      </c>
      <c r="V93" s="54">
        <v>1</v>
      </c>
      <c r="AA93" s="54"/>
      <c r="AF93" s="56"/>
      <c r="AG93" s="22">
        <v>0</v>
      </c>
      <c r="AH93" t="s">
        <v>40</v>
      </c>
    </row>
    <row r="94" spans="1:34">
      <c r="A94" s="9" t="s">
        <v>187</v>
      </c>
      <c r="B94" s="7" t="s">
        <v>51</v>
      </c>
      <c r="C94" s="29" t="s">
        <v>45</v>
      </c>
      <c r="D94" t="s">
        <v>34</v>
      </c>
      <c r="E94" s="21" t="s">
        <v>35</v>
      </c>
      <c r="F94" s="22">
        <v>0.81300813008130079</v>
      </c>
      <c r="G94" s="54">
        <v>0.5</v>
      </c>
      <c r="H94" s="29" t="s">
        <v>33</v>
      </c>
      <c r="I94" t="s">
        <v>34</v>
      </c>
      <c r="J94" s="21" t="s">
        <v>35</v>
      </c>
      <c r="K94" s="22">
        <v>0.94339622641509424</v>
      </c>
      <c r="L94" s="54">
        <v>0.5</v>
      </c>
      <c r="Q94" s="56"/>
      <c r="R94" s="64" t="s">
        <v>78</v>
      </c>
      <c r="S94" s="21" t="s">
        <v>34</v>
      </c>
      <c r="T94" s="21" t="s">
        <v>79</v>
      </c>
      <c r="U94" s="22">
        <v>0.61728395061728392</v>
      </c>
      <c r="V94" s="54">
        <v>1</v>
      </c>
      <c r="AA94" s="54"/>
      <c r="AF94" s="56"/>
      <c r="AG94" s="22">
        <v>0</v>
      </c>
      <c r="AH94" t="s">
        <v>40</v>
      </c>
    </row>
    <row r="95" spans="1:34">
      <c r="A95" s="9" t="s">
        <v>188</v>
      </c>
      <c r="B95" s="7" t="s">
        <v>51</v>
      </c>
      <c r="C95" s="29" t="s">
        <v>33</v>
      </c>
      <c r="D95" t="s">
        <v>34</v>
      </c>
      <c r="E95" s="21" t="s">
        <v>35</v>
      </c>
      <c r="F95" s="22">
        <v>0.94339622641509424</v>
      </c>
      <c r="G95" s="54">
        <v>1</v>
      </c>
      <c r="L95" s="54"/>
      <c r="Q95" s="56"/>
      <c r="R95" s="21" t="s">
        <v>78</v>
      </c>
      <c r="S95" s="21" t="s">
        <v>34</v>
      </c>
      <c r="T95" s="21" t="s">
        <v>79</v>
      </c>
      <c r="U95" s="22">
        <v>0.61728395061728392</v>
      </c>
      <c r="V95" s="54">
        <v>0.75</v>
      </c>
      <c r="W95" s="21" t="s">
        <v>85</v>
      </c>
      <c r="X95" s="21" t="s">
        <v>34</v>
      </c>
      <c r="Y95" s="21" t="s">
        <v>79</v>
      </c>
      <c r="Z95" s="22">
        <v>0.9009009009009008</v>
      </c>
      <c r="AA95" s="54">
        <v>0.25</v>
      </c>
      <c r="AF95" s="56"/>
      <c r="AG95" s="22">
        <v>0</v>
      </c>
      <c r="AH95" t="s">
        <v>40</v>
      </c>
    </row>
    <row r="96" spans="1:34">
      <c r="A96" s="9" t="s">
        <v>189</v>
      </c>
      <c r="B96" s="7" t="s">
        <v>51</v>
      </c>
      <c r="C96" s="29" t="s">
        <v>33</v>
      </c>
      <c r="D96" t="s">
        <v>34</v>
      </c>
      <c r="E96" s="21" t="s">
        <v>35</v>
      </c>
      <c r="F96" s="22">
        <v>0.94339622641509424</v>
      </c>
      <c r="G96" s="54">
        <v>1</v>
      </c>
      <c r="L96" s="54"/>
      <c r="Q96" s="56"/>
      <c r="R96" s="21" t="s">
        <v>78</v>
      </c>
      <c r="S96" s="21" t="s">
        <v>34</v>
      </c>
      <c r="T96" s="21" t="s">
        <v>79</v>
      </c>
      <c r="U96" s="22">
        <v>0.61728395061728392</v>
      </c>
      <c r="V96" s="54">
        <v>0.5</v>
      </c>
      <c r="W96" s="21" t="s">
        <v>85</v>
      </c>
      <c r="X96" s="21" t="s">
        <v>34</v>
      </c>
      <c r="Y96" s="21" t="s">
        <v>79</v>
      </c>
      <c r="Z96" s="22">
        <v>0.9009009009009008</v>
      </c>
      <c r="AA96" s="54">
        <v>0.5</v>
      </c>
      <c r="AF96" s="56"/>
      <c r="AG96" s="22">
        <v>1</v>
      </c>
      <c r="AH96" t="s">
        <v>41</v>
      </c>
    </row>
    <row r="97" spans="1:34">
      <c r="A97" s="9" t="s">
        <v>190</v>
      </c>
      <c r="B97" s="7" t="s">
        <v>51</v>
      </c>
      <c r="C97" s="29" t="s">
        <v>33</v>
      </c>
      <c r="D97" t="s">
        <v>34</v>
      </c>
      <c r="E97" s="21" t="s">
        <v>35</v>
      </c>
      <c r="F97" s="22">
        <v>0.94339622641509424</v>
      </c>
      <c r="G97" s="54">
        <v>1</v>
      </c>
      <c r="L97" s="54"/>
      <c r="Q97" s="56"/>
      <c r="R97" s="21" t="s">
        <v>85</v>
      </c>
      <c r="S97" s="21" t="s">
        <v>34</v>
      </c>
      <c r="T97" s="21" t="s">
        <v>79</v>
      </c>
      <c r="U97" s="22">
        <v>0.9009009009009008</v>
      </c>
      <c r="V97" s="54">
        <v>0.75</v>
      </c>
      <c r="W97" s="21" t="s">
        <v>149</v>
      </c>
      <c r="X97" s="21" t="s">
        <v>37</v>
      </c>
      <c r="Y97" s="21" t="s">
        <v>150</v>
      </c>
      <c r="Z97" s="22">
        <v>0.68</v>
      </c>
      <c r="AA97" s="54">
        <v>0.25</v>
      </c>
      <c r="AF97" s="56"/>
      <c r="AG97" s="22">
        <v>1</v>
      </c>
      <c r="AH97" t="s">
        <v>41</v>
      </c>
    </row>
    <row r="98" spans="1:34">
      <c r="A98" s="9" t="s">
        <v>191</v>
      </c>
      <c r="B98" s="7" t="s">
        <v>51</v>
      </c>
      <c r="C98" s="29" t="s">
        <v>33</v>
      </c>
      <c r="D98" t="s">
        <v>34</v>
      </c>
      <c r="E98" s="21" t="s">
        <v>35</v>
      </c>
      <c r="F98" s="22">
        <v>0.94339622641509424</v>
      </c>
      <c r="G98" s="54">
        <v>1</v>
      </c>
      <c r="L98" s="54"/>
      <c r="Q98" s="56"/>
      <c r="R98" s="21" t="s">
        <v>85</v>
      </c>
      <c r="S98" s="21" t="s">
        <v>34</v>
      </c>
      <c r="T98" s="21" t="s">
        <v>79</v>
      </c>
      <c r="U98" s="22">
        <v>0.9009009009009008</v>
      </c>
      <c r="V98" s="54">
        <v>0.75</v>
      </c>
      <c r="W98" s="21" t="s">
        <v>149</v>
      </c>
      <c r="X98" s="21" t="s">
        <v>37</v>
      </c>
      <c r="Y98" s="21" t="s">
        <v>150</v>
      </c>
      <c r="Z98" s="22">
        <v>0.68</v>
      </c>
      <c r="AA98" s="54">
        <v>0.25</v>
      </c>
      <c r="AF98" s="56"/>
      <c r="AG98" s="22">
        <v>0</v>
      </c>
      <c r="AH98" t="s">
        <v>40</v>
      </c>
    </row>
    <row r="99" spans="1:34">
      <c r="A99" s="9" t="s">
        <v>192</v>
      </c>
      <c r="B99" s="7" t="s">
        <v>51</v>
      </c>
      <c r="C99" s="29" t="s">
        <v>45</v>
      </c>
      <c r="D99" t="s">
        <v>34</v>
      </c>
      <c r="E99" s="21" t="s">
        <v>35</v>
      </c>
      <c r="F99" s="22">
        <v>0.81300813008130079</v>
      </c>
      <c r="G99" s="54">
        <v>1</v>
      </c>
      <c r="L99" s="54"/>
      <c r="Q99" s="56"/>
      <c r="R99" s="21" t="s">
        <v>78</v>
      </c>
      <c r="S99" s="21" t="s">
        <v>34</v>
      </c>
      <c r="T99" s="21" t="s">
        <v>79</v>
      </c>
      <c r="U99" s="22">
        <v>0.61728395061728392</v>
      </c>
      <c r="V99" s="54">
        <v>1</v>
      </c>
      <c r="AA99" s="54"/>
      <c r="AF99" s="56"/>
      <c r="AG99" s="22">
        <v>0</v>
      </c>
      <c r="AH99" t="s">
        <v>40</v>
      </c>
    </row>
    <row r="100" spans="1:34">
      <c r="A100" s="9" t="s">
        <v>193</v>
      </c>
      <c r="B100" s="7" t="s">
        <v>51</v>
      </c>
      <c r="C100" s="29" t="s">
        <v>45</v>
      </c>
      <c r="D100" t="s">
        <v>34</v>
      </c>
      <c r="E100" s="21" t="s">
        <v>35</v>
      </c>
      <c r="F100" s="22">
        <v>0.81300813008130079</v>
      </c>
      <c r="G100" s="54">
        <v>1</v>
      </c>
      <c r="L100" s="54"/>
      <c r="Q100" s="56"/>
      <c r="R100" s="21" t="s">
        <v>78</v>
      </c>
      <c r="S100" s="21" t="s">
        <v>34</v>
      </c>
      <c r="T100" s="21" t="s">
        <v>79</v>
      </c>
      <c r="U100" s="22">
        <v>0.61728395061728392</v>
      </c>
      <c r="V100" s="54">
        <v>1</v>
      </c>
      <c r="AA100" s="54"/>
      <c r="AF100" s="56"/>
      <c r="AG100" s="22">
        <v>0</v>
      </c>
      <c r="AH100" t="s">
        <v>40</v>
      </c>
    </row>
    <row r="101" spans="1:34">
      <c r="A101" s="9" t="s">
        <v>194</v>
      </c>
      <c r="B101" s="7" t="s">
        <v>51</v>
      </c>
      <c r="C101" s="29" t="s">
        <v>45</v>
      </c>
      <c r="D101" t="s">
        <v>34</v>
      </c>
      <c r="E101" s="21" t="s">
        <v>35</v>
      </c>
      <c r="F101" s="22">
        <v>0.81300813008130079</v>
      </c>
      <c r="G101" s="54">
        <v>1</v>
      </c>
      <c r="L101" s="54"/>
      <c r="Q101" s="56"/>
      <c r="R101" s="21" t="s">
        <v>78</v>
      </c>
      <c r="S101" s="21" t="s">
        <v>34</v>
      </c>
      <c r="T101" s="21" t="s">
        <v>79</v>
      </c>
      <c r="U101" s="22">
        <v>0.61728395061728392</v>
      </c>
      <c r="V101" s="54">
        <v>1</v>
      </c>
      <c r="AA101" s="54"/>
      <c r="AF101" s="56"/>
      <c r="AG101" s="22">
        <v>0</v>
      </c>
      <c r="AH101" t="s">
        <v>40</v>
      </c>
    </row>
    <row r="102" spans="1:34">
      <c r="A102" s="9" t="s">
        <v>195</v>
      </c>
      <c r="B102" s="7" t="s">
        <v>51</v>
      </c>
      <c r="C102" s="29" t="s">
        <v>45</v>
      </c>
      <c r="D102" t="s">
        <v>34</v>
      </c>
      <c r="E102" s="21" t="s">
        <v>35</v>
      </c>
      <c r="F102" s="22">
        <v>0.81300813008130079</v>
      </c>
      <c r="G102" s="54">
        <v>1</v>
      </c>
      <c r="L102" s="54"/>
      <c r="Q102" s="56"/>
      <c r="R102" s="21" t="s">
        <v>78</v>
      </c>
      <c r="S102" s="21" t="s">
        <v>34</v>
      </c>
      <c r="T102" s="21" t="s">
        <v>79</v>
      </c>
      <c r="U102" s="22">
        <v>0.61728395061728392</v>
      </c>
      <c r="V102" s="54">
        <v>1</v>
      </c>
      <c r="AA102" s="54"/>
      <c r="AF102" s="56"/>
      <c r="AG102" s="22">
        <v>0</v>
      </c>
      <c r="AH102" t="s">
        <v>40</v>
      </c>
    </row>
    <row r="103" spans="1:34">
      <c r="A103" s="9" t="s">
        <v>196</v>
      </c>
      <c r="B103" s="7" t="s">
        <v>51</v>
      </c>
      <c r="C103" s="29" t="s">
        <v>45</v>
      </c>
      <c r="D103" t="s">
        <v>34</v>
      </c>
      <c r="E103" s="21" t="s">
        <v>35</v>
      </c>
      <c r="F103" s="22">
        <v>0.81300813008130079</v>
      </c>
      <c r="G103" s="54">
        <v>1</v>
      </c>
      <c r="L103" s="54"/>
      <c r="Q103" s="56"/>
      <c r="R103" s="21" t="s">
        <v>78</v>
      </c>
      <c r="S103" s="21" t="s">
        <v>34</v>
      </c>
      <c r="T103" s="21" t="s">
        <v>79</v>
      </c>
      <c r="U103" s="22">
        <v>0.61728395061728392</v>
      </c>
      <c r="V103" s="54">
        <v>1</v>
      </c>
      <c r="AA103" s="54"/>
      <c r="AF103" s="56"/>
      <c r="AG103" s="22">
        <v>0</v>
      </c>
      <c r="AH103" t="s">
        <v>40</v>
      </c>
    </row>
    <row r="104" spans="1:34">
      <c r="A104" s="9" t="s">
        <v>197</v>
      </c>
      <c r="B104" s="7" t="s">
        <v>51</v>
      </c>
      <c r="C104" s="29" t="s">
        <v>45</v>
      </c>
      <c r="D104" t="s">
        <v>34</v>
      </c>
      <c r="E104" s="21" t="s">
        <v>35</v>
      </c>
      <c r="F104" s="22">
        <v>0.81300813008130079</v>
      </c>
      <c r="G104" s="54">
        <v>1</v>
      </c>
      <c r="L104" s="54"/>
      <c r="Q104" s="56"/>
      <c r="R104" s="21" t="s">
        <v>78</v>
      </c>
      <c r="S104" s="21" t="s">
        <v>34</v>
      </c>
      <c r="T104" s="21" t="s">
        <v>79</v>
      </c>
      <c r="U104" s="22">
        <v>0.61728395061728392</v>
      </c>
      <c r="V104" s="54">
        <v>1</v>
      </c>
      <c r="AA104" s="54"/>
      <c r="AF104" s="56"/>
      <c r="AG104" s="22">
        <v>0</v>
      </c>
      <c r="AH104" t="s">
        <v>40</v>
      </c>
    </row>
    <row r="105" spans="1:34">
      <c r="A105" s="9" t="s">
        <v>198</v>
      </c>
      <c r="B105" s="7" t="s">
        <v>51</v>
      </c>
      <c r="C105" s="29" t="s">
        <v>45</v>
      </c>
      <c r="D105" t="s">
        <v>34</v>
      </c>
      <c r="E105" s="21" t="s">
        <v>35</v>
      </c>
      <c r="F105" s="22">
        <v>0.81300813008130079</v>
      </c>
      <c r="G105" s="54">
        <v>1</v>
      </c>
      <c r="L105" s="54"/>
      <c r="Q105" s="56"/>
      <c r="R105" s="21" t="s">
        <v>78</v>
      </c>
      <c r="S105" s="21" t="s">
        <v>34</v>
      </c>
      <c r="T105" s="21" t="s">
        <v>79</v>
      </c>
      <c r="U105" s="22">
        <v>0.61728395061728392</v>
      </c>
      <c r="V105" s="54">
        <v>1</v>
      </c>
      <c r="AA105" s="54"/>
      <c r="AF105" s="56"/>
      <c r="AG105" s="22">
        <v>0</v>
      </c>
      <c r="AH105" t="s">
        <v>40</v>
      </c>
    </row>
    <row r="106" spans="1:34">
      <c r="A106" s="9" t="s">
        <v>199</v>
      </c>
      <c r="B106" s="7" t="s">
        <v>51</v>
      </c>
      <c r="C106" s="29" t="s">
        <v>45</v>
      </c>
      <c r="D106" t="s">
        <v>34</v>
      </c>
      <c r="E106" s="21" t="s">
        <v>35</v>
      </c>
      <c r="F106" s="22">
        <v>0.81300813008130079</v>
      </c>
      <c r="G106" s="54">
        <v>0.5</v>
      </c>
      <c r="H106" s="29" t="s">
        <v>33</v>
      </c>
      <c r="I106" t="s">
        <v>34</v>
      </c>
      <c r="J106" s="21" t="s">
        <v>35</v>
      </c>
      <c r="K106" s="22">
        <v>0.94339622641509424</v>
      </c>
      <c r="L106" s="54">
        <v>0.5</v>
      </c>
      <c r="Q106" s="56"/>
      <c r="R106" s="21" t="s">
        <v>78</v>
      </c>
      <c r="S106" s="21" t="s">
        <v>34</v>
      </c>
      <c r="T106" s="21" t="s">
        <v>79</v>
      </c>
      <c r="U106" s="22">
        <v>0.61728395061728392</v>
      </c>
      <c r="V106" s="54">
        <v>1</v>
      </c>
      <c r="AA106" s="54"/>
      <c r="AF106" s="56"/>
      <c r="AG106" s="22">
        <v>0</v>
      </c>
      <c r="AH106" t="s">
        <v>40</v>
      </c>
    </row>
    <row r="107" spans="1:34">
      <c r="A107" s="9" t="s">
        <v>200</v>
      </c>
      <c r="B107" s="7" t="s">
        <v>51</v>
      </c>
      <c r="C107" s="29" t="s">
        <v>33</v>
      </c>
      <c r="D107" t="s">
        <v>34</v>
      </c>
      <c r="E107" s="21" t="s">
        <v>35</v>
      </c>
      <c r="F107" s="22">
        <v>0.94339622641509424</v>
      </c>
      <c r="G107" s="54">
        <v>1</v>
      </c>
      <c r="L107" s="54"/>
      <c r="Q107" s="56"/>
      <c r="R107" s="21" t="s">
        <v>78</v>
      </c>
      <c r="S107" s="21" t="s">
        <v>34</v>
      </c>
      <c r="T107" s="21" t="s">
        <v>79</v>
      </c>
      <c r="U107" s="22">
        <v>0.61728395061728392</v>
      </c>
      <c r="V107" s="54">
        <v>0.75</v>
      </c>
      <c r="W107" s="21" t="s">
        <v>85</v>
      </c>
      <c r="X107" s="21" t="s">
        <v>34</v>
      </c>
      <c r="Y107" s="21" t="s">
        <v>79</v>
      </c>
      <c r="Z107" s="22">
        <v>0.9009009009009008</v>
      </c>
      <c r="AA107" s="54">
        <v>0.25</v>
      </c>
      <c r="AF107" s="56"/>
      <c r="AG107" s="22">
        <v>0</v>
      </c>
      <c r="AH107" t="s">
        <v>40</v>
      </c>
    </row>
    <row r="108" spans="1:34">
      <c r="A108" s="9" t="s">
        <v>201</v>
      </c>
      <c r="B108" s="7" t="s">
        <v>51</v>
      </c>
      <c r="C108" s="29" t="s">
        <v>33</v>
      </c>
      <c r="D108" t="s">
        <v>34</v>
      </c>
      <c r="E108" s="21" t="s">
        <v>35</v>
      </c>
      <c r="F108" s="22">
        <v>0.94339622641509424</v>
      </c>
      <c r="G108" s="54">
        <v>1</v>
      </c>
      <c r="L108" s="54"/>
      <c r="Q108" s="56"/>
      <c r="R108" s="21" t="s">
        <v>78</v>
      </c>
      <c r="S108" s="21" t="s">
        <v>34</v>
      </c>
      <c r="T108" s="21" t="s">
        <v>79</v>
      </c>
      <c r="U108" s="22">
        <v>0.61728395061728392</v>
      </c>
      <c r="V108" s="54">
        <v>0.5</v>
      </c>
      <c r="W108" s="21" t="s">
        <v>85</v>
      </c>
      <c r="X108" s="21" t="s">
        <v>34</v>
      </c>
      <c r="Y108" s="21" t="s">
        <v>79</v>
      </c>
      <c r="Z108" s="22">
        <v>0.9009009009009008</v>
      </c>
      <c r="AA108" s="54">
        <v>0.5</v>
      </c>
      <c r="AF108" s="56"/>
      <c r="AG108" s="22">
        <v>0</v>
      </c>
      <c r="AH108" t="s">
        <v>40</v>
      </c>
    </row>
    <row r="109" spans="1:34">
      <c r="A109" s="9" t="s">
        <v>202</v>
      </c>
      <c r="B109" s="7" t="s">
        <v>51</v>
      </c>
      <c r="C109" s="29" t="s">
        <v>33</v>
      </c>
      <c r="D109" t="s">
        <v>34</v>
      </c>
      <c r="E109" s="21" t="s">
        <v>35</v>
      </c>
      <c r="F109" s="22">
        <v>0.94339622641509424</v>
      </c>
      <c r="G109" s="54">
        <v>1</v>
      </c>
      <c r="L109" s="54"/>
      <c r="Q109" s="56"/>
      <c r="R109" s="21" t="s">
        <v>85</v>
      </c>
      <c r="S109" s="21" t="s">
        <v>34</v>
      </c>
      <c r="T109" s="21" t="s">
        <v>79</v>
      </c>
      <c r="U109" s="22">
        <v>0.9009009009009008</v>
      </c>
      <c r="V109" s="54">
        <v>0.75</v>
      </c>
      <c r="W109" s="21" t="s">
        <v>149</v>
      </c>
      <c r="X109" s="21" t="s">
        <v>37</v>
      </c>
      <c r="Y109" s="21" t="s">
        <v>150</v>
      </c>
      <c r="Z109" s="22">
        <v>0.68</v>
      </c>
      <c r="AA109" s="54">
        <v>0.25</v>
      </c>
      <c r="AF109" s="56"/>
      <c r="AG109" s="22">
        <v>1</v>
      </c>
      <c r="AH109" t="s">
        <v>41</v>
      </c>
    </row>
    <row r="110" spans="1:34">
      <c r="A110" s="9" t="s">
        <v>203</v>
      </c>
      <c r="B110" s="7" t="s">
        <v>51</v>
      </c>
      <c r="C110" s="29" t="s">
        <v>33</v>
      </c>
      <c r="D110" t="s">
        <v>34</v>
      </c>
      <c r="E110" s="21" t="s">
        <v>35</v>
      </c>
      <c r="F110" s="22">
        <v>0.94339622641509424</v>
      </c>
      <c r="G110" s="54">
        <v>1</v>
      </c>
      <c r="L110" s="54"/>
      <c r="Q110" s="56"/>
      <c r="R110" s="21" t="s">
        <v>85</v>
      </c>
      <c r="S110" s="21" t="s">
        <v>34</v>
      </c>
      <c r="T110" s="21" t="s">
        <v>79</v>
      </c>
      <c r="U110" s="22">
        <v>0.9009009009009008</v>
      </c>
      <c r="V110" s="54">
        <v>0.75</v>
      </c>
      <c r="W110" s="21" t="s">
        <v>149</v>
      </c>
      <c r="X110" s="21" t="s">
        <v>37</v>
      </c>
      <c r="Y110" s="21" t="s">
        <v>150</v>
      </c>
      <c r="Z110" s="22">
        <v>0.68</v>
      </c>
      <c r="AA110" s="54">
        <v>0.25</v>
      </c>
      <c r="AF110" s="56"/>
      <c r="AG110" s="22">
        <v>1</v>
      </c>
      <c r="AH110" t="s">
        <v>41</v>
      </c>
    </row>
    <row r="111" spans="1:34">
      <c r="A111" s="9" t="s">
        <v>204</v>
      </c>
      <c r="B111" s="7" t="s">
        <v>51</v>
      </c>
      <c r="C111" s="29" t="s">
        <v>45</v>
      </c>
      <c r="D111" t="s">
        <v>34</v>
      </c>
      <c r="E111" s="21" t="s">
        <v>35</v>
      </c>
      <c r="F111" s="22">
        <v>0.81300813008130079</v>
      </c>
      <c r="G111" s="54">
        <v>1</v>
      </c>
      <c r="L111" s="54"/>
      <c r="Q111" s="56"/>
      <c r="R111" s="21" t="s">
        <v>78</v>
      </c>
      <c r="S111" s="21" t="s">
        <v>34</v>
      </c>
      <c r="T111" s="21" t="s">
        <v>79</v>
      </c>
      <c r="U111" s="22">
        <v>0.61728395061728392</v>
      </c>
      <c r="V111" s="54">
        <v>0.5</v>
      </c>
      <c r="W111" s="21" t="s">
        <v>45</v>
      </c>
      <c r="X111" s="21" t="s">
        <v>34</v>
      </c>
      <c r="Y111" s="21" t="s">
        <v>35</v>
      </c>
      <c r="Z111" s="22">
        <v>0.83333333333333337</v>
      </c>
      <c r="AA111" s="54">
        <v>0.5</v>
      </c>
      <c r="AF111" s="56"/>
      <c r="AG111" s="22">
        <v>0</v>
      </c>
      <c r="AH111" t="s">
        <v>40</v>
      </c>
    </row>
    <row r="112" spans="1:34">
      <c r="A112" s="9" t="s">
        <v>205</v>
      </c>
      <c r="B112" s="7" t="s">
        <v>51</v>
      </c>
      <c r="C112" s="29" t="s">
        <v>45</v>
      </c>
      <c r="D112" t="s">
        <v>34</v>
      </c>
      <c r="E112" s="21" t="s">
        <v>35</v>
      </c>
      <c r="F112" s="22">
        <v>0.81300813008130079</v>
      </c>
      <c r="G112" s="54">
        <v>1</v>
      </c>
      <c r="L112" s="54"/>
      <c r="Q112" s="56"/>
      <c r="R112" s="21" t="s">
        <v>78</v>
      </c>
      <c r="S112" s="21" t="s">
        <v>34</v>
      </c>
      <c r="T112" s="21" t="s">
        <v>79</v>
      </c>
      <c r="U112" s="22">
        <v>0.61728395061728392</v>
      </c>
      <c r="V112" s="54">
        <v>0.5</v>
      </c>
      <c r="W112" s="21" t="s">
        <v>45</v>
      </c>
      <c r="X112" s="21" t="s">
        <v>34</v>
      </c>
      <c r="Y112" s="21" t="s">
        <v>35</v>
      </c>
      <c r="Z112" s="22">
        <v>0.83333333333333337</v>
      </c>
      <c r="AA112" s="54">
        <v>0.5</v>
      </c>
      <c r="AF112" s="56"/>
      <c r="AG112" s="22">
        <v>0</v>
      </c>
      <c r="AH112" t="s">
        <v>40</v>
      </c>
    </row>
    <row r="113" spans="1:34">
      <c r="A113" s="9" t="s">
        <v>206</v>
      </c>
      <c r="B113" s="7" t="s">
        <v>51</v>
      </c>
      <c r="C113" s="29" t="s">
        <v>45</v>
      </c>
      <c r="D113" t="s">
        <v>34</v>
      </c>
      <c r="E113" s="21" t="s">
        <v>35</v>
      </c>
      <c r="F113" s="22">
        <v>0.81300813008130079</v>
      </c>
      <c r="G113" s="54">
        <v>1</v>
      </c>
      <c r="L113" s="54"/>
      <c r="Q113" s="56"/>
      <c r="R113" s="21" t="s">
        <v>78</v>
      </c>
      <c r="S113" s="21" t="s">
        <v>34</v>
      </c>
      <c r="T113" s="21" t="s">
        <v>79</v>
      </c>
      <c r="U113" s="22">
        <v>0.61728395061728392</v>
      </c>
      <c r="V113" s="54">
        <v>0.5</v>
      </c>
      <c r="W113" s="21" t="s">
        <v>45</v>
      </c>
      <c r="X113" s="21" t="s">
        <v>34</v>
      </c>
      <c r="Y113" s="21" t="s">
        <v>35</v>
      </c>
      <c r="Z113" s="22">
        <v>0.83333333333333337</v>
      </c>
      <c r="AA113" s="54">
        <v>0.5</v>
      </c>
      <c r="AF113" s="56"/>
      <c r="AG113" s="22">
        <v>0</v>
      </c>
      <c r="AH113" t="s">
        <v>40</v>
      </c>
    </row>
    <row r="114" spans="1:34">
      <c r="A114" s="9" t="s">
        <v>207</v>
      </c>
      <c r="B114" s="7" t="s">
        <v>51</v>
      </c>
      <c r="C114" s="29" t="s">
        <v>45</v>
      </c>
      <c r="D114" t="s">
        <v>34</v>
      </c>
      <c r="E114" s="21" t="s">
        <v>35</v>
      </c>
      <c r="F114" s="22">
        <v>0.81300813008130079</v>
      </c>
      <c r="G114" s="54">
        <v>1</v>
      </c>
      <c r="L114" s="54"/>
      <c r="Q114" s="56"/>
      <c r="R114" s="21" t="s">
        <v>78</v>
      </c>
      <c r="S114" s="21" t="s">
        <v>34</v>
      </c>
      <c r="T114" s="21" t="s">
        <v>79</v>
      </c>
      <c r="U114" s="22">
        <v>0.61728395061728392</v>
      </c>
      <c r="V114" s="54">
        <v>0.5</v>
      </c>
      <c r="W114" s="21" t="s">
        <v>45</v>
      </c>
      <c r="X114" s="21" t="s">
        <v>34</v>
      </c>
      <c r="Y114" s="21" t="s">
        <v>35</v>
      </c>
      <c r="Z114" s="22">
        <v>0.83333333333333337</v>
      </c>
      <c r="AA114" s="54">
        <v>0.5</v>
      </c>
      <c r="AF114" s="56"/>
      <c r="AG114" s="22">
        <v>0</v>
      </c>
      <c r="AH114" t="s">
        <v>40</v>
      </c>
    </row>
    <row r="115" spans="1:34">
      <c r="A115" s="9" t="s">
        <v>208</v>
      </c>
      <c r="B115" s="7" t="s">
        <v>51</v>
      </c>
      <c r="C115" s="29" t="s">
        <v>45</v>
      </c>
      <c r="D115" t="s">
        <v>34</v>
      </c>
      <c r="E115" s="21" t="s">
        <v>35</v>
      </c>
      <c r="F115" s="22">
        <v>0.81300813008130079</v>
      </c>
      <c r="G115" s="54">
        <v>0.5</v>
      </c>
      <c r="H115" s="29" t="s">
        <v>33</v>
      </c>
      <c r="I115" t="s">
        <v>34</v>
      </c>
      <c r="J115" s="21" t="s">
        <v>35</v>
      </c>
      <c r="K115" s="22">
        <v>0.94339622641509424</v>
      </c>
      <c r="L115" s="54">
        <v>0.5</v>
      </c>
      <c r="Q115" s="56"/>
      <c r="R115" s="21" t="s">
        <v>78</v>
      </c>
      <c r="S115" s="21" t="s">
        <v>34</v>
      </c>
      <c r="T115" s="21" t="s">
        <v>79</v>
      </c>
      <c r="U115" s="22">
        <v>0.61728395061728392</v>
      </c>
      <c r="V115" s="54">
        <v>0.33333333333333331</v>
      </c>
      <c r="W115" s="21" t="s">
        <v>45</v>
      </c>
      <c r="X115" s="21" t="s">
        <v>34</v>
      </c>
      <c r="Y115" s="21" t="s">
        <v>35</v>
      </c>
      <c r="Z115" s="22">
        <v>0.83333333333333337</v>
      </c>
      <c r="AA115" s="54">
        <v>0.33333333333333331</v>
      </c>
      <c r="AB115" s="21" t="s">
        <v>39</v>
      </c>
      <c r="AC115" s="21" t="s">
        <v>34</v>
      </c>
      <c r="AD115" s="21" t="s">
        <v>35</v>
      </c>
      <c r="AE115" s="22">
        <v>0.84745762711864414</v>
      </c>
      <c r="AF115" s="62">
        <v>0.33333333333333331</v>
      </c>
      <c r="AG115" s="22">
        <v>0.2</v>
      </c>
      <c r="AH115" t="s">
        <v>209</v>
      </c>
    </row>
    <row r="116" spans="1:34" s="5" customFormat="1">
      <c r="A116" s="10" t="s">
        <v>210</v>
      </c>
      <c r="B116" s="11" t="s">
        <v>52</v>
      </c>
      <c r="C116" s="28" t="s">
        <v>44</v>
      </c>
      <c r="D116" s="5" t="s">
        <v>34</v>
      </c>
      <c r="E116" s="19" t="s">
        <v>35</v>
      </c>
      <c r="F116" s="20">
        <v>0.87719298245614041</v>
      </c>
      <c r="G116" s="55">
        <v>0.5</v>
      </c>
      <c r="H116" s="28" t="s">
        <v>55</v>
      </c>
      <c r="I116" s="19" t="s">
        <v>34</v>
      </c>
      <c r="J116" s="19" t="s">
        <v>38</v>
      </c>
      <c r="K116" s="20">
        <v>3.2258064516129035</v>
      </c>
      <c r="L116" s="55">
        <v>0.5</v>
      </c>
      <c r="M116" s="46"/>
      <c r="N116" s="19"/>
      <c r="O116" s="19"/>
      <c r="P116" s="20"/>
      <c r="Q116" s="57"/>
      <c r="R116" s="30" t="s">
        <v>56</v>
      </c>
      <c r="S116" s="30" t="s">
        <v>34</v>
      </c>
      <c r="T116" s="30" t="s">
        <v>38</v>
      </c>
      <c r="U116" s="31">
        <v>2.5</v>
      </c>
      <c r="V116" s="32">
        <v>0.5</v>
      </c>
      <c r="W116" s="30" t="s">
        <v>44</v>
      </c>
      <c r="X116" s="30" t="s">
        <v>34</v>
      </c>
      <c r="Y116" s="30" t="s">
        <v>35</v>
      </c>
      <c r="Z116" s="31">
        <v>0.90909090909090906</v>
      </c>
      <c r="AA116" s="32">
        <v>0.25</v>
      </c>
      <c r="AB116" s="30" t="s">
        <v>53</v>
      </c>
      <c r="AC116" s="30" t="s">
        <v>54</v>
      </c>
      <c r="AD116" s="30" t="s">
        <v>35</v>
      </c>
      <c r="AE116" s="31">
        <v>0.94339622641509424</v>
      </c>
      <c r="AF116" s="33">
        <v>0.25</v>
      </c>
      <c r="AG116" s="69">
        <v>0</v>
      </c>
      <c r="AH116" s="5" t="s">
        <v>40</v>
      </c>
    </row>
    <row r="117" spans="1:34">
      <c r="A117" s="9" t="s">
        <v>211</v>
      </c>
      <c r="B117" s="7" t="s">
        <v>52</v>
      </c>
      <c r="C117" s="29" t="s">
        <v>44</v>
      </c>
      <c r="D117" t="s">
        <v>34</v>
      </c>
      <c r="E117" s="21" t="s">
        <v>35</v>
      </c>
      <c r="F117" s="22">
        <v>0.87719298245614041</v>
      </c>
      <c r="G117" s="54">
        <v>0.5</v>
      </c>
      <c r="H117" s="29" t="s">
        <v>55</v>
      </c>
      <c r="I117" s="21" t="s">
        <v>34</v>
      </c>
      <c r="J117" s="21" t="s">
        <v>38</v>
      </c>
      <c r="K117" s="22">
        <v>3.2258064516129035</v>
      </c>
      <c r="L117" s="54">
        <v>0.5</v>
      </c>
      <c r="Q117" s="56"/>
      <c r="R117" s="17" t="s">
        <v>56</v>
      </c>
      <c r="S117" s="17" t="s">
        <v>34</v>
      </c>
      <c r="T117" s="17" t="s">
        <v>38</v>
      </c>
      <c r="U117" s="18">
        <v>2.5</v>
      </c>
      <c r="V117" s="23">
        <v>0.5</v>
      </c>
      <c r="W117" s="17" t="s">
        <v>44</v>
      </c>
      <c r="X117" s="17" t="s">
        <v>34</v>
      </c>
      <c r="Y117" s="17" t="s">
        <v>35</v>
      </c>
      <c r="Z117" s="18">
        <v>0.90909090909090906</v>
      </c>
      <c r="AA117" s="23">
        <v>0.25</v>
      </c>
      <c r="AB117" s="17" t="s">
        <v>53</v>
      </c>
      <c r="AC117" s="17" t="s">
        <v>54</v>
      </c>
      <c r="AD117" s="17" t="s">
        <v>35</v>
      </c>
      <c r="AE117" s="18">
        <v>0.94339622641509424</v>
      </c>
      <c r="AF117" s="25">
        <v>0.25</v>
      </c>
      <c r="AG117" s="22">
        <v>0</v>
      </c>
      <c r="AH117" t="s">
        <v>40</v>
      </c>
    </row>
    <row r="118" spans="1:34">
      <c r="A118" s="9" t="s">
        <v>212</v>
      </c>
      <c r="B118" s="7" t="s">
        <v>52</v>
      </c>
      <c r="C118" s="29" t="s">
        <v>44</v>
      </c>
      <c r="D118" t="s">
        <v>34</v>
      </c>
      <c r="E118" s="21" t="s">
        <v>35</v>
      </c>
      <c r="F118" s="22">
        <v>0.87719298245614041</v>
      </c>
      <c r="G118" s="54">
        <v>0.5</v>
      </c>
      <c r="H118" s="29" t="s">
        <v>55</v>
      </c>
      <c r="I118" s="21" t="s">
        <v>34</v>
      </c>
      <c r="J118" s="21" t="s">
        <v>38</v>
      </c>
      <c r="K118" s="22">
        <v>3.2258064516129035</v>
      </c>
      <c r="L118" s="54">
        <v>0.5</v>
      </c>
      <c r="Q118" s="56"/>
      <c r="R118" s="21" t="s">
        <v>56</v>
      </c>
      <c r="S118" s="21" t="s">
        <v>34</v>
      </c>
      <c r="T118" s="21" t="s">
        <v>38</v>
      </c>
      <c r="U118" s="22">
        <v>2.5</v>
      </c>
      <c r="V118" s="54">
        <v>0.5</v>
      </c>
      <c r="W118" s="21" t="s">
        <v>44</v>
      </c>
      <c r="X118" s="21" t="s">
        <v>34</v>
      </c>
      <c r="Y118" s="21" t="s">
        <v>35</v>
      </c>
      <c r="Z118" s="22">
        <v>0.90909090909090906</v>
      </c>
      <c r="AA118" s="54">
        <v>0.25</v>
      </c>
      <c r="AB118" s="21" t="s">
        <v>53</v>
      </c>
      <c r="AC118" s="21" t="s">
        <v>54</v>
      </c>
      <c r="AD118" s="21" t="s">
        <v>35</v>
      </c>
      <c r="AE118" s="22">
        <v>0.94339622641509424</v>
      </c>
      <c r="AF118" s="56">
        <v>0.25</v>
      </c>
      <c r="AG118" s="22">
        <v>0</v>
      </c>
      <c r="AH118" t="s">
        <v>40</v>
      </c>
    </row>
    <row r="119" spans="1:34">
      <c r="A119" s="9" t="s">
        <v>213</v>
      </c>
      <c r="B119" s="7" t="s">
        <v>52</v>
      </c>
      <c r="C119" s="29" t="s">
        <v>44</v>
      </c>
      <c r="D119" t="s">
        <v>34</v>
      </c>
      <c r="E119" s="21" t="s">
        <v>35</v>
      </c>
      <c r="F119" s="22">
        <v>0.87719298245614041</v>
      </c>
      <c r="G119" s="54">
        <v>0.5</v>
      </c>
      <c r="H119" s="29" t="s">
        <v>55</v>
      </c>
      <c r="I119" s="21" t="s">
        <v>34</v>
      </c>
      <c r="J119" s="21" t="s">
        <v>38</v>
      </c>
      <c r="K119" s="22">
        <v>3.2258064516129035</v>
      </c>
      <c r="L119" s="54">
        <v>0.5</v>
      </c>
      <c r="Q119" s="56"/>
      <c r="R119" s="21" t="s">
        <v>56</v>
      </c>
      <c r="S119" s="21" t="s">
        <v>34</v>
      </c>
      <c r="T119" s="21" t="s">
        <v>38</v>
      </c>
      <c r="U119" s="22">
        <v>2.5</v>
      </c>
      <c r="V119" s="54">
        <v>0.5</v>
      </c>
      <c r="W119" s="21" t="s">
        <v>44</v>
      </c>
      <c r="X119" s="21" t="s">
        <v>34</v>
      </c>
      <c r="Y119" s="21" t="s">
        <v>35</v>
      </c>
      <c r="Z119" s="22">
        <v>0.90909090909090906</v>
      </c>
      <c r="AA119" s="54">
        <v>0.25</v>
      </c>
      <c r="AB119" s="21" t="s">
        <v>53</v>
      </c>
      <c r="AC119" s="21" t="s">
        <v>54</v>
      </c>
      <c r="AD119" s="21" t="s">
        <v>35</v>
      </c>
      <c r="AE119" s="22">
        <v>0.94339622641509424</v>
      </c>
      <c r="AF119" s="56">
        <v>0.25</v>
      </c>
      <c r="AG119" s="22">
        <v>0</v>
      </c>
      <c r="AH119" t="s">
        <v>40</v>
      </c>
    </row>
    <row r="120" spans="1:34">
      <c r="A120" s="9" t="s">
        <v>214</v>
      </c>
      <c r="B120" s="7" t="s">
        <v>52</v>
      </c>
      <c r="C120" s="29" t="s">
        <v>44</v>
      </c>
      <c r="D120" t="s">
        <v>34</v>
      </c>
      <c r="E120" s="21" t="s">
        <v>35</v>
      </c>
      <c r="F120" s="22">
        <v>0.87719298245614041</v>
      </c>
      <c r="G120" s="54">
        <v>0.5</v>
      </c>
      <c r="H120" s="29" t="s">
        <v>55</v>
      </c>
      <c r="I120" s="21" t="s">
        <v>34</v>
      </c>
      <c r="J120" s="21" t="s">
        <v>38</v>
      </c>
      <c r="K120" s="22">
        <v>3.2258064516129035</v>
      </c>
      <c r="L120" s="54">
        <v>0.5</v>
      </c>
      <c r="Q120" s="56"/>
      <c r="R120" s="21" t="s">
        <v>56</v>
      </c>
      <c r="S120" s="21" t="s">
        <v>34</v>
      </c>
      <c r="T120" s="21" t="s">
        <v>38</v>
      </c>
      <c r="U120" s="22">
        <v>2.5</v>
      </c>
      <c r="V120" s="54">
        <v>0.5</v>
      </c>
      <c r="W120" s="21" t="s">
        <v>44</v>
      </c>
      <c r="X120" s="21" t="s">
        <v>34</v>
      </c>
      <c r="Y120" s="21" t="s">
        <v>35</v>
      </c>
      <c r="Z120" s="22">
        <v>0.90909090909090906</v>
      </c>
      <c r="AA120" s="54">
        <v>0.25</v>
      </c>
      <c r="AB120" s="21" t="s">
        <v>53</v>
      </c>
      <c r="AC120" s="21" t="s">
        <v>54</v>
      </c>
      <c r="AD120" s="21" t="s">
        <v>35</v>
      </c>
      <c r="AE120" s="22">
        <v>0.94339622641509424</v>
      </c>
      <c r="AF120" s="56">
        <v>0.25</v>
      </c>
      <c r="AG120" s="22">
        <v>0</v>
      </c>
      <c r="AH120" t="s">
        <v>40</v>
      </c>
    </row>
    <row r="121" spans="1:34">
      <c r="A121" s="9" t="s">
        <v>215</v>
      </c>
      <c r="B121" s="7" t="s">
        <v>52</v>
      </c>
      <c r="C121" s="29" t="s">
        <v>44</v>
      </c>
      <c r="D121" t="s">
        <v>34</v>
      </c>
      <c r="E121" s="21" t="s">
        <v>35</v>
      </c>
      <c r="F121" s="22">
        <v>0.87719298245614041</v>
      </c>
      <c r="G121" s="54">
        <v>0.5</v>
      </c>
      <c r="H121" s="29" t="s">
        <v>55</v>
      </c>
      <c r="I121" s="21" t="s">
        <v>34</v>
      </c>
      <c r="J121" s="21" t="s">
        <v>38</v>
      </c>
      <c r="K121" s="22">
        <v>3.2258064516129035</v>
      </c>
      <c r="L121" s="54">
        <v>0.5</v>
      </c>
      <c r="Q121" s="56"/>
      <c r="R121" s="21" t="s">
        <v>56</v>
      </c>
      <c r="S121" s="21" t="s">
        <v>34</v>
      </c>
      <c r="T121" s="21" t="s">
        <v>38</v>
      </c>
      <c r="U121" s="22">
        <v>2.5</v>
      </c>
      <c r="V121" s="54">
        <v>0.5</v>
      </c>
      <c r="W121" s="21" t="s">
        <v>44</v>
      </c>
      <c r="X121" s="21" t="s">
        <v>34</v>
      </c>
      <c r="Y121" s="21" t="s">
        <v>35</v>
      </c>
      <c r="Z121" s="22">
        <v>0.90909090909090906</v>
      </c>
      <c r="AA121" s="54">
        <v>0.25</v>
      </c>
      <c r="AB121" s="21" t="s">
        <v>53</v>
      </c>
      <c r="AC121" s="21" t="s">
        <v>54</v>
      </c>
      <c r="AD121" s="21" t="s">
        <v>35</v>
      </c>
      <c r="AE121" s="22">
        <v>0.94339622641509424</v>
      </c>
      <c r="AF121" s="56">
        <v>0.25</v>
      </c>
      <c r="AG121" s="22">
        <v>0</v>
      </c>
      <c r="AH121" t="s">
        <v>40</v>
      </c>
    </row>
    <row r="122" spans="1:34">
      <c r="A122" s="9" t="s">
        <v>216</v>
      </c>
      <c r="B122" s="7" t="s">
        <v>52</v>
      </c>
      <c r="C122" s="29" t="s">
        <v>44</v>
      </c>
      <c r="D122" t="s">
        <v>34</v>
      </c>
      <c r="E122" s="21" t="s">
        <v>35</v>
      </c>
      <c r="F122" s="22">
        <v>0.87719298245614041</v>
      </c>
      <c r="G122" s="54">
        <v>0.5</v>
      </c>
      <c r="H122" s="29" t="s">
        <v>55</v>
      </c>
      <c r="I122" s="21" t="s">
        <v>34</v>
      </c>
      <c r="J122" s="21" t="s">
        <v>38</v>
      </c>
      <c r="K122" s="22">
        <v>3.2258064516129035</v>
      </c>
      <c r="L122" s="54">
        <v>0.5</v>
      </c>
      <c r="Q122" s="56"/>
      <c r="R122" s="21" t="s">
        <v>56</v>
      </c>
      <c r="S122" s="21" t="s">
        <v>34</v>
      </c>
      <c r="T122" s="21" t="s">
        <v>38</v>
      </c>
      <c r="U122" s="22">
        <v>2.5</v>
      </c>
      <c r="V122" s="54">
        <v>0.5</v>
      </c>
      <c r="W122" s="21" t="s">
        <v>44</v>
      </c>
      <c r="X122" s="21" t="s">
        <v>34</v>
      </c>
      <c r="Y122" s="21" t="s">
        <v>35</v>
      </c>
      <c r="Z122" s="22">
        <v>0.90909090909090906</v>
      </c>
      <c r="AA122" s="54">
        <v>0.25</v>
      </c>
      <c r="AB122" s="21" t="s">
        <v>53</v>
      </c>
      <c r="AC122" s="21" t="s">
        <v>54</v>
      </c>
      <c r="AD122" s="21" t="s">
        <v>35</v>
      </c>
      <c r="AE122" s="22">
        <v>0.94339622641509424</v>
      </c>
      <c r="AF122" s="56">
        <v>0.25</v>
      </c>
      <c r="AG122" s="22">
        <v>0</v>
      </c>
      <c r="AH122" t="s">
        <v>40</v>
      </c>
    </row>
    <row r="123" spans="1:34">
      <c r="A123" s="9" t="s">
        <v>217</v>
      </c>
      <c r="B123" s="7" t="s">
        <v>52</v>
      </c>
      <c r="C123" s="29" t="s">
        <v>44</v>
      </c>
      <c r="D123" t="s">
        <v>34</v>
      </c>
      <c r="E123" s="21" t="s">
        <v>35</v>
      </c>
      <c r="F123" s="22">
        <v>0.87719298245614041</v>
      </c>
      <c r="G123" s="54">
        <v>0.5</v>
      </c>
      <c r="H123" s="29" t="s">
        <v>55</v>
      </c>
      <c r="I123" s="21" t="s">
        <v>34</v>
      </c>
      <c r="J123" s="21" t="s">
        <v>38</v>
      </c>
      <c r="K123" s="22">
        <v>3.2258064516129035</v>
      </c>
      <c r="L123" s="54">
        <v>0.5</v>
      </c>
      <c r="Q123" s="56"/>
      <c r="R123" s="21" t="s">
        <v>56</v>
      </c>
      <c r="S123" s="21" t="s">
        <v>34</v>
      </c>
      <c r="T123" s="21" t="s">
        <v>38</v>
      </c>
      <c r="U123" s="22">
        <v>2.5</v>
      </c>
      <c r="V123" s="54">
        <v>0.5</v>
      </c>
      <c r="W123" s="21" t="s">
        <v>44</v>
      </c>
      <c r="X123" s="21" t="s">
        <v>34</v>
      </c>
      <c r="Y123" s="21" t="s">
        <v>35</v>
      </c>
      <c r="Z123" s="22">
        <v>0.90909090909090906</v>
      </c>
      <c r="AA123" s="54">
        <v>0.25</v>
      </c>
      <c r="AB123" s="21" t="s">
        <v>218</v>
      </c>
      <c r="AC123" s="21" t="s">
        <v>54</v>
      </c>
      <c r="AD123" s="21" t="s">
        <v>35</v>
      </c>
      <c r="AE123" s="22">
        <v>0.970873786407767</v>
      </c>
      <c r="AF123" s="56">
        <v>0.25</v>
      </c>
      <c r="AG123" s="22">
        <v>0</v>
      </c>
      <c r="AH123" t="s">
        <v>40</v>
      </c>
    </row>
    <row r="124" spans="1:34">
      <c r="A124" s="9" t="s">
        <v>219</v>
      </c>
      <c r="B124" s="7" t="s">
        <v>52</v>
      </c>
      <c r="C124" s="29" t="s">
        <v>44</v>
      </c>
      <c r="D124" t="s">
        <v>34</v>
      </c>
      <c r="E124" s="21" t="s">
        <v>35</v>
      </c>
      <c r="F124" s="22">
        <v>0.87719298245614041</v>
      </c>
      <c r="G124" s="54">
        <v>0.5</v>
      </c>
      <c r="H124" s="29" t="s">
        <v>55</v>
      </c>
      <c r="I124" s="21" t="s">
        <v>34</v>
      </c>
      <c r="J124" s="21" t="s">
        <v>38</v>
      </c>
      <c r="K124" s="22">
        <v>3.2258064516129035</v>
      </c>
      <c r="L124" s="54">
        <v>0.5</v>
      </c>
      <c r="Q124" s="56"/>
      <c r="R124" s="21" t="s">
        <v>56</v>
      </c>
      <c r="S124" s="21" t="s">
        <v>34</v>
      </c>
      <c r="T124" s="21" t="s">
        <v>38</v>
      </c>
      <c r="U124" s="22">
        <v>2.5</v>
      </c>
      <c r="V124" s="54">
        <v>0.5</v>
      </c>
      <c r="W124" s="21" t="s">
        <v>44</v>
      </c>
      <c r="X124" s="21" t="s">
        <v>34</v>
      </c>
      <c r="Y124" s="21" t="s">
        <v>35</v>
      </c>
      <c r="Z124" s="22">
        <v>0.90909090909090906</v>
      </c>
      <c r="AA124" s="54">
        <v>0.25</v>
      </c>
      <c r="AB124" s="21" t="s">
        <v>218</v>
      </c>
      <c r="AC124" s="21" t="s">
        <v>54</v>
      </c>
      <c r="AD124" s="21" t="s">
        <v>35</v>
      </c>
      <c r="AE124" s="22">
        <v>0.970873786407767</v>
      </c>
      <c r="AF124" s="56">
        <v>0.25</v>
      </c>
      <c r="AG124" s="70">
        <v>0</v>
      </c>
      <c r="AH124" t="s">
        <v>40</v>
      </c>
    </row>
    <row r="125" spans="1:34">
      <c r="A125" s="9" t="s">
        <v>220</v>
      </c>
      <c r="B125" s="7" t="s">
        <v>52</v>
      </c>
      <c r="C125" s="29" t="s">
        <v>44</v>
      </c>
      <c r="D125" t="s">
        <v>34</v>
      </c>
      <c r="E125" s="21" t="s">
        <v>35</v>
      </c>
      <c r="F125" s="22">
        <v>0.87719298245614041</v>
      </c>
      <c r="G125" s="54">
        <v>0.5</v>
      </c>
      <c r="H125" s="29" t="s">
        <v>55</v>
      </c>
      <c r="I125" s="21" t="s">
        <v>34</v>
      </c>
      <c r="J125" s="21" t="s">
        <v>38</v>
      </c>
      <c r="K125" s="22">
        <v>3.2258064516129035</v>
      </c>
      <c r="L125" s="54">
        <v>0.5</v>
      </c>
      <c r="Q125" s="56"/>
      <c r="R125" s="21" t="s">
        <v>56</v>
      </c>
      <c r="S125" s="21" t="s">
        <v>34</v>
      </c>
      <c r="T125" s="21" t="s">
        <v>38</v>
      </c>
      <c r="U125" s="22">
        <v>2.5</v>
      </c>
      <c r="V125" s="54">
        <v>0.5</v>
      </c>
      <c r="W125" s="21" t="s">
        <v>44</v>
      </c>
      <c r="X125" s="21" t="s">
        <v>34</v>
      </c>
      <c r="Y125" s="21" t="s">
        <v>35</v>
      </c>
      <c r="Z125" s="22">
        <v>0.90909090909090906</v>
      </c>
      <c r="AA125" s="54">
        <v>0.25</v>
      </c>
      <c r="AB125" s="21" t="s">
        <v>218</v>
      </c>
      <c r="AC125" s="21" t="s">
        <v>54</v>
      </c>
      <c r="AD125" s="21" t="s">
        <v>35</v>
      </c>
      <c r="AE125" s="22">
        <v>0.970873786407767</v>
      </c>
      <c r="AF125" s="56">
        <v>0.25</v>
      </c>
      <c r="AG125" s="22">
        <v>0</v>
      </c>
      <c r="AH125" t="s">
        <v>40</v>
      </c>
    </row>
    <row r="126" spans="1:34">
      <c r="A126" s="9" t="s">
        <v>221</v>
      </c>
      <c r="B126" s="7" t="s">
        <v>52</v>
      </c>
      <c r="C126" s="29" t="s">
        <v>218</v>
      </c>
      <c r="D126" t="s">
        <v>54</v>
      </c>
      <c r="E126" s="21" t="s">
        <v>35</v>
      </c>
      <c r="F126" s="22">
        <v>0.970873786407767</v>
      </c>
      <c r="G126" s="54">
        <v>0.5</v>
      </c>
      <c r="H126" s="29" t="s">
        <v>55</v>
      </c>
      <c r="I126" s="21" t="s">
        <v>34</v>
      </c>
      <c r="J126" s="21" t="s">
        <v>38</v>
      </c>
      <c r="K126" s="22">
        <v>3.2258064516129035</v>
      </c>
      <c r="L126" s="54">
        <v>0.5</v>
      </c>
      <c r="Q126" s="56"/>
      <c r="R126" s="21" t="s">
        <v>56</v>
      </c>
      <c r="S126" s="21" t="s">
        <v>34</v>
      </c>
      <c r="T126" s="21" t="s">
        <v>38</v>
      </c>
      <c r="U126" s="22">
        <v>2.5</v>
      </c>
      <c r="V126" s="54">
        <v>0.66666666666666663</v>
      </c>
      <c r="W126" s="17" t="s">
        <v>53</v>
      </c>
      <c r="X126" s="21" t="s">
        <v>54</v>
      </c>
      <c r="Y126" s="21" t="s">
        <v>35</v>
      </c>
      <c r="Z126" s="22">
        <v>0.94339622641509424</v>
      </c>
      <c r="AA126" s="54">
        <v>0.33333333333333331</v>
      </c>
      <c r="AB126" s="17"/>
      <c r="AE126" s="22"/>
      <c r="AF126" s="56"/>
      <c r="AG126" s="22">
        <v>0</v>
      </c>
      <c r="AH126" t="s">
        <v>40</v>
      </c>
    </row>
    <row r="127" spans="1:34">
      <c r="A127" s="9" t="s">
        <v>222</v>
      </c>
      <c r="B127" s="7" t="s">
        <v>52</v>
      </c>
      <c r="C127" s="29" t="s">
        <v>218</v>
      </c>
      <c r="D127" t="s">
        <v>54</v>
      </c>
      <c r="E127" s="21" t="s">
        <v>35</v>
      </c>
      <c r="F127" s="22">
        <v>0.970873786407767</v>
      </c>
      <c r="G127" s="54">
        <v>0.5</v>
      </c>
      <c r="H127" s="29" t="s">
        <v>55</v>
      </c>
      <c r="I127" s="21" t="s">
        <v>34</v>
      </c>
      <c r="J127" s="21" t="s">
        <v>38</v>
      </c>
      <c r="K127" s="22">
        <v>3.2258064516129035</v>
      </c>
      <c r="L127" s="54">
        <v>0.5</v>
      </c>
      <c r="Q127" s="56"/>
      <c r="R127" s="21" t="s">
        <v>56</v>
      </c>
      <c r="S127" s="21" t="s">
        <v>34</v>
      </c>
      <c r="T127" s="21" t="s">
        <v>38</v>
      </c>
      <c r="U127" s="22">
        <v>2.5</v>
      </c>
      <c r="V127" s="54">
        <v>0.66666666666666663</v>
      </c>
      <c r="W127" s="21" t="s">
        <v>53</v>
      </c>
      <c r="X127" s="21" t="s">
        <v>54</v>
      </c>
      <c r="Y127" s="21" t="s">
        <v>35</v>
      </c>
      <c r="Z127" s="22">
        <v>0.94339622641509424</v>
      </c>
      <c r="AA127" s="54">
        <v>0.33333333333333331</v>
      </c>
      <c r="AB127" s="21"/>
      <c r="AE127" s="22"/>
      <c r="AF127" s="56"/>
      <c r="AG127" s="22">
        <v>0</v>
      </c>
      <c r="AH127" t="s">
        <v>40</v>
      </c>
    </row>
    <row r="128" spans="1:34">
      <c r="A128" s="9" t="s">
        <v>223</v>
      </c>
      <c r="B128" s="7" t="s">
        <v>52</v>
      </c>
      <c r="C128" s="29" t="s">
        <v>218</v>
      </c>
      <c r="D128" t="s">
        <v>54</v>
      </c>
      <c r="E128" s="21" t="s">
        <v>35</v>
      </c>
      <c r="F128" s="22">
        <v>0.970873786407767</v>
      </c>
      <c r="G128" s="54">
        <v>0.5</v>
      </c>
      <c r="H128" s="29" t="s">
        <v>55</v>
      </c>
      <c r="I128" s="21" t="s">
        <v>34</v>
      </c>
      <c r="J128" s="21" t="s">
        <v>38</v>
      </c>
      <c r="K128" s="22">
        <v>3.2258064516129035</v>
      </c>
      <c r="L128" s="54">
        <v>0.5</v>
      </c>
      <c r="Q128" s="56"/>
      <c r="R128" s="21" t="s">
        <v>56</v>
      </c>
      <c r="S128" s="21" t="s">
        <v>34</v>
      </c>
      <c r="T128" s="21" t="s">
        <v>38</v>
      </c>
      <c r="U128" s="22">
        <v>2.5</v>
      </c>
      <c r="V128" s="54">
        <v>0.66666666666666663</v>
      </c>
      <c r="W128" s="21" t="s">
        <v>53</v>
      </c>
      <c r="X128" s="21" t="s">
        <v>54</v>
      </c>
      <c r="Y128" s="21" t="s">
        <v>35</v>
      </c>
      <c r="Z128" s="22">
        <v>0.94339622641509424</v>
      </c>
      <c r="AA128" s="54">
        <v>0.33333333333333331</v>
      </c>
      <c r="AB128" s="21"/>
      <c r="AE128" s="22"/>
      <c r="AF128" s="56"/>
      <c r="AG128" s="22">
        <v>0</v>
      </c>
      <c r="AH128" t="s">
        <v>40</v>
      </c>
    </row>
    <row r="129" spans="1:34">
      <c r="A129" s="9" t="s">
        <v>224</v>
      </c>
      <c r="B129" s="7" t="s">
        <v>52</v>
      </c>
      <c r="C129" s="29" t="s">
        <v>218</v>
      </c>
      <c r="D129" t="s">
        <v>54</v>
      </c>
      <c r="E129" s="21" t="s">
        <v>35</v>
      </c>
      <c r="F129" s="22">
        <v>0.970873786407767</v>
      </c>
      <c r="G129" s="54">
        <v>0.5</v>
      </c>
      <c r="H129" s="29" t="s">
        <v>55</v>
      </c>
      <c r="I129" s="21" t="s">
        <v>34</v>
      </c>
      <c r="J129" s="21" t="s">
        <v>38</v>
      </c>
      <c r="K129" s="22">
        <v>3.2258064516129035</v>
      </c>
      <c r="L129" s="54">
        <v>0.5</v>
      </c>
      <c r="Q129" s="56"/>
      <c r="R129" s="21" t="s">
        <v>56</v>
      </c>
      <c r="S129" s="21" t="s">
        <v>34</v>
      </c>
      <c r="T129" s="21" t="s">
        <v>38</v>
      </c>
      <c r="U129" s="22">
        <v>2.5</v>
      </c>
      <c r="V129" s="54">
        <v>0.66666666666666663</v>
      </c>
      <c r="W129" s="21" t="s">
        <v>53</v>
      </c>
      <c r="X129" s="21" t="s">
        <v>54</v>
      </c>
      <c r="Y129" s="21" t="s">
        <v>35</v>
      </c>
      <c r="Z129" s="22">
        <v>0.94339622641509424</v>
      </c>
      <c r="AA129" s="54">
        <v>0.33333333333333331</v>
      </c>
      <c r="AB129" s="21"/>
      <c r="AE129" s="22"/>
      <c r="AF129" s="56"/>
      <c r="AG129" s="22">
        <v>0</v>
      </c>
      <c r="AH129" t="s">
        <v>40</v>
      </c>
    </row>
    <row r="130" spans="1:34">
      <c r="A130" s="9" t="s">
        <v>225</v>
      </c>
      <c r="B130" s="7" t="s">
        <v>52</v>
      </c>
      <c r="C130" s="29" t="s">
        <v>218</v>
      </c>
      <c r="D130" t="s">
        <v>54</v>
      </c>
      <c r="E130" s="21" t="s">
        <v>35</v>
      </c>
      <c r="F130" s="22">
        <v>0.970873786407767</v>
      </c>
      <c r="G130" s="54">
        <v>0.5</v>
      </c>
      <c r="H130" s="29" t="s">
        <v>55</v>
      </c>
      <c r="I130" s="21" t="s">
        <v>34</v>
      </c>
      <c r="J130" s="21" t="s">
        <v>38</v>
      </c>
      <c r="K130" s="22">
        <v>3.2258064516129035</v>
      </c>
      <c r="L130" s="54">
        <v>0.5</v>
      </c>
      <c r="Q130" s="56"/>
      <c r="R130" s="21" t="s">
        <v>56</v>
      </c>
      <c r="S130" s="21" t="s">
        <v>34</v>
      </c>
      <c r="T130" s="21" t="s">
        <v>38</v>
      </c>
      <c r="U130" s="22">
        <v>2.5</v>
      </c>
      <c r="V130" s="54">
        <v>0.66666666666666663</v>
      </c>
      <c r="W130" s="21" t="s">
        <v>53</v>
      </c>
      <c r="X130" s="21" t="s">
        <v>54</v>
      </c>
      <c r="Y130" s="21" t="s">
        <v>35</v>
      </c>
      <c r="Z130" s="22">
        <v>0.94339622641509424</v>
      </c>
      <c r="AA130" s="54">
        <v>0.33333333333333331</v>
      </c>
      <c r="AB130" s="21"/>
      <c r="AE130" s="22"/>
      <c r="AF130" s="56"/>
      <c r="AG130" s="22">
        <v>0</v>
      </c>
      <c r="AH130" t="s">
        <v>40</v>
      </c>
    </row>
    <row r="131" spans="1:34">
      <c r="A131" s="9" t="s">
        <v>226</v>
      </c>
      <c r="B131" s="7" t="s">
        <v>52</v>
      </c>
      <c r="C131" s="29" t="s">
        <v>218</v>
      </c>
      <c r="D131" t="s">
        <v>54</v>
      </c>
      <c r="E131" s="21" t="s">
        <v>35</v>
      </c>
      <c r="F131" s="22">
        <v>0.970873786407767</v>
      </c>
      <c r="G131" s="54">
        <v>0.5</v>
      </c>
      <c r="H131" s="29" t="s">
        <v>55</v>
      </c>
      <c r="I131" s="21" t="s">
        <v>34</v>
      </c>
      <c r="J131" s="21" t="s">
        <v>38</v>
      </c>
      <c r="K131" s="22">
        <v>3.2258064516129035</v>
      </c>
      <c r="L131" s="54">
        <v>0.5</v>
      </c>
      <c r="Q131" s="56"/>
      <c r="R131" s="21" t="s">
        <v>56</v>
      </c>
      <c r="S131" s="21" t="s">
        <v>34</v>
      </c>
      <c r="T131" s="21" t="s">
        <v>38</v>
      </c>
      <c r="U131" s="22">
        <v>2.5</v>
      </c>
      <c r="V131" s="54">
        <v>0.66666666666666663</v>
      </c>
      <c r="W131" s="21" t="s">
        <v>53</v>
      </c>
      <c r="X131" s="21" t="s">
        <v>54</v>
      </c>
      <c r="Y131" s="21" t="s">
        <v>35</v>
      </c>
      <c r="Z131" s="22">
        <v>0.94339622641509424</v>
      </c>
      <c r="AA131" s="54">
        <v>0.33333333333333331</v>
      </c>
      <c r="AB131" s="21"/>
      <c r="AE131" s="22"/>
      <c r="AF131" s="56"/>
      <c r="AG131" s="22">
        <v>0</v>
      </c>
      <c r="AH131" t="s">
        <v>40</v>
      </c>
    </row>
    <row r="132" spans="1:34">
      <c r="A132" s="9" t="s">
        <v>227</v>
      </c>
      <c r="B132" s="7" t="s">
        <v>52</v>
      </c>
      <c r="C132" s="29" t="s">
        <v>218</v>
      </c>
      <c r="D132" t="s">
        <v>54</v>
      </c>
      <c r="E132" s="21" t="s">
        <v>35</v>
      </c>
      <c r="F132" s="22">
        <v>0.970873786407767</v>
      </c>
      <c r="G132" s="54">
        <v>0.5</v>
      </c>
      <c r="H132" s="29" t="s">
        <v>55</v>
      </c>
      <c r="I132" s="21" t="s">
        <v>34</v>
      </c>
      <c r="J132" s="21" t="s">
        <v>38</v>
      </c>
      <c r="K132" s="22">
        <v>3.2258064516129035</v>
      </c>
      <c r="L132" s="54">
        <v>0.5</v>
      </c>
      <c r="Q132" s="56"/>
      <c r="R132" s="21" t="s">
        <v>56</v>
      </c>
      <c r="S132" s="21" t="s">
        <v>34</v>
      </c>
      <c r="T132" s="21" t="s">
        <v>38</v>
      </c>
      <c r="U132" s="22">
        <v>2.5</v>
      </c>
      <c r="V132" s="54">
        <v>0.66666666666666663</v>
      </c>
      <c r="W132" s="21" t="s">
        <v>53</v>
      </c>
      <c r="X132" s="21" t="s">
        <v>54</v>
      </c>
      <c r="Y132" s="21" t="s">
        <v>35</v>
      </c>
      <c r="Z132" s="22">
        <v>0.94339622641509424</v>
      </c>
      <c r="AA132" s="54">
        <v>0.33333333333333331</v>
      </c>
      <c r="AB132" s="21"/>
      <c r="AE132" s="22"/>
      <c r="AF132" s="56"/>
      <c r="AG132" s="22">
        <v>0</v>
      </c>
      <c r="AH132" t="s">
        <v>40</v>
      </c>
    </row>
    <row r="133" spans="1:34">
      <c r="A133" s="9" t="s">
        <v>228</v>
      </c>
      <c r="B133" s="7" t="s">
        <v>52</v>
      </c>
      <c r="C133" s="29" t="s">
        <v>218</v>
      </c>
      <c r="D133" t="s">
        <v>54</v>
      </c>
      <c r="E133" s="21" t="s">
        <v>35</v>
      </c>
      <c r="F133" s="22">
        <v>0.970873786407767</v>
      </c>
      <c r="G133" s="54">
        <v>0.5</v>
      </c>
      <c r="H133" s="29" t="s">
        <v>55</v>
      </c>
      <c r="I133" s="21" t="s">
        <v>34</v>
      </c>
      <c r="J133" s="21" t="s">
        <v>38</v>
      </c>
      <c r="K133" s="22">
        <v>3.2258064516129035</v>
      </c>
      <c r="L133" s="54">
        <v>0.5</v>
      </c>
      <c r="Q133" s="56"/>
      <c r="R133" s="21" t="s">
        <v>56</v>
      </c>
      <c r="S133" s="21" t="s">
        <v>34</v>
      </c>
      <c r="T133" s="21" t="s">
        <v>38</v>
      </c>
      <c r="U133" s="22">
        <v>2.5</v>
      </c>
      <c r="V133" s="54">
        <v>0.66666666666666663</v>
      </c>
      <c r="W133" s="21" t="s">
        <v>218</v>
      </c>
      <c r="X133" s="21" t="s">
        <v>54</v>
      </c>
      <c r="Y133" s="21" t="s">
        <v>35</v>
      </c>
      <c r="Z133" s="22">
        <v>0.970873786407767</v>
      </c>
      <c r="AA133" s="54">
        <v>0.33333333333333331</v>
      </c>
      <c r="AB133" s="21"/>
      <c r="AE133" s="22"/>
      <c r="AF133" s="56"/>
      <c r="AG133" s="22">
        <v>0</v>
      </c>
      <c r="AH133" t="s">
        <v>40</v>
      </c>
    </row>
    <row r="134" spans="1:34">
      <c r="A134" s="9" t="s">
        <v>229</v>
      </c>
      <c r="B134" s="7" t="s">
        <v>52</v>
      </c>
      <c r="C134" s="29" t="s">
        <v>218</v>
      </c>
      <c r="D134" t="s">
        <v>54</v>
      </c>
      <c r="E134" s="21" t="s">
        <v>35</v>
      </c>
      <c r="F134" s="22">
        <v>0.970873786407767</v>
      </c>
      <c r="G134" s="54">
        <v>0.5</v>
      </c>
      <c r="H134" s="29" t="s">
        <v>55</v>
      </c>
      <c r="I134" s="21" t="s">
        <v>34</v>
      </c>
      <c r="J134" s="21" t="s">
        <v>38</v>
      </c>
      <c r="K134" s="22">
        <v>3.2258064516129035</v>
      </c>
      <c r="L134" s="54">
        <v>0.5</v>
      </c>
      <c r="Q134" s="56"/>
      <c r="R134" s="21" t="s">
        <v>56</v>
      </c>
      <c r="S134" s="21" t="s">
        <v>34</v>
      </c>
      <c r="T134" s="21" t="s">
        <v>38</v>
      </c>
      <c r="U134" s="22">
        <v>2.5</v>
      </c>
      <c r="V134" s="54">
        <v>0.66666666666666663</v>
      </c>
      <c r="W134" s="21" t="s">
        <v>218</v>
      </c>
      <c r="X134" s="21" t="s">
        <v>54</v>
      </c>
      <c r="Y134" s="21" t="s">
        <v>35</v>
      </c>
      <c r="Z134" s="22">
        <v>0.970873786407767</v>
      </c>
      <c r="AA134" s="54">
        <v>0.33333333333333331</v>
      </c>
      <c r="AB134" s="21"/>
      <c r="AE134" s="22"/>
      <c r="AF134" s="56"/>
      <c r="AG134" s="22">
        <v>0</v>
      </c>
      <c r="AH134" t="s">
        <v>40</v>
      </c>
    </row>
    <row r="135" spans="1:34">
      <c r="A135" s="9" t="s">
        <v>230</v>
      </c>
      <c r="B135" s="7" t="s">
        <v>52</v>
      </c>
      <c r="C135" s="29" t="s">
        <v>218</v>
      </c>
      <c r="D135" t="s">
        <v>54</v>
      </c>
      <c r="E135" s="21" t="s">
        <v>35</v>
      </c>
      <c r="F135" s="22">
        <v>0.970873786407767</v>
      </c>
      <c r="G135" s="54">
        <v>0.5</v>
      </c>
      <c r="H135" s="29" t="s">
        <v>55</v>
      </c>
      <c r="I135" s="21" t="s">
        <v>34</v>
      </c>
      <c r="J135" s="21" t="s">
        <v>38</v>
      </c>
      <c r="K135" s="22">
        <v>3.2258064516129035</v>
      </c>
      <c r="L135" s="54">
        <v>0.5</v>
      </c>
      <c r="Q135" s="56"/>
      <c r="R135" s="21" t="s">
        <v>56</v>
      </c>
      <c r="S135" s="21" t="s">
        <v>34</v>
      </c>
      <c r="T135" s="21" t="s">
        <v>38</v>
      </c>
      <c r="U135" s="22">
        <v>2.5</v>
      </c>
      <c r="V135" s="54">
        <v>0.66666666666666663</v>
      </c>
      <c r="W135" s="21" t="s">
        <v>218</v>
      </c>
      <c r="X135" s="21" t="s">
        <v>54</v>
      </c>
      <c r="Y135" s="21" t="s">
        <v>35</v>
      </c>
      <c r="Z135" s="22">
        <v>0.970873786407767</v>
      </c>
      <c r="AA135" s="54">
        <v>0.33333333333333331</v>
      </c>
      <c r="AB135" s="41"/>
      <c r="AC135" s="41"/>
      <c r="AD135" s="41"/>
      <c r="AE135" s="65"/>
      <c r="AF135" s="62"/>
      <c r="AG135" s="22">
        <v>0</v>
      </c>
      <c r="AH135" t="s">
        <v>40</v>
      </c>
    </row>
    <row r="136" spans="1:34" s="5" customFormat="1">
      <c r="A136" s="10" t="s">
        <v>231</v>
      </c>
      <c r="B136" s="11" t="s">
        <v>57</v>
      </c>
      <c r="C136" s="28" t="s">
        <v>232</v>
      </c>
      <c r="D136" s="5" t="s">
        <v>34</v>
      </c>
      <c r="E136" s="19" t="s">
        <v>79</v>
      </c>
      <c r="F136" s="20">
        <v>0.9009009009009008</v>
      </c>
      <c r="G136" s="55">
        <v>0.75</v>
      </c>
      <c r="H136" s="28" t="s">
        <v>55</v>
      </c>
      <c r="I136" s="19" t="s">
        <v>34</v>
      </c>
      <c r="J136" s="19" t="s">
        <v>38</v>
      </c>
      <c r="K136" s="20">
        <v>3.2258064516129035</v>
      </c>
      <c r="L136" s="55">
        <v>0.25</v>
      </c>
      <c r="M136" s="46"/>
      <c r="N136" s="19"/>
      <c r="O136" s="19"/>
      <c r="P136" s="20"/>
      <c r="Q136" s="57"/>
      <c r="R136" s="35" t="s">
        <v>78</v>
      </c>
      <c r="S136" s="30" t="s">
        <v>34</v>
      </c>
      <c r="T136" s="30" t="s">
        <v>79</v>
      </c>
      <c r="U136" s="31">
        <v>0.84745762711864414</v>
      </c>
      <c r="V136" s="32">
        <v>0.4</v>
      </c>
      <c r="W136" s="30" t="s">
        <v>44</v>
      </c>
      <c r="X136" s="30" t="s">
        <v>34</v>
      </c>
      <c r="Y136" s="30" t="s">
        <v>35</v>
      </c>
      <c r="Z136" s="31">
        <v>0.90909090909090906</v>
      </c>
      <c r="AA136" s="32">
        <v>0.4</v>
      </c>
      <c r="AB136" s="30" t="s">
        <v>56</v>
      </c>
      <c r="AC136" s="30" t="s">
        <v>34</v>
      </c>
      <c r="AD136" s="30" t="s">
        <v>38</v>
      </c>
      <c r="AE136" s="31">
        <v>2.5</v>
      </c>
      <c r="AF136" s="32">
        <v>0.2</v>
      </c>
      <c r="AG136" s="71">
        <v>0</v>
      </c>
      <c r="AH136" s="5" t="s">
        <v>40</v>
      </c>
    </row>
    <row r="137" spans="1:34">
      <c r="A137" s="9" t="s">
        <v>233</v>
      </c>
      <c r="B137" s="7" t="s">
        <v>57</v>
      </c>
      <c r="C137" s="29" t="s">
        <v>232</v>
      </c>
      <c r="D137" t="s">
        <v>34</v>
      </c>
      <c r="E137" s="21" t="s">
        <v>79</v>
      </c>
      <c r="F137" s="22">
        <v>0.9009009009009008</v>
      </c>
      <c r="G137" s="54">
        <v>0.75</v>
      </c>
      <c r="H137" s="21" t="s">
        <v>55</v>
      </c>
      <c r="I137" s="21" t="s">
        <v>34</v>
      </c>
      <c r="J137" s="21" t="s">
        <v>38</v>
      </c>
      <c r="K137" s="22">
        <v>3.2258064516129035</v>
      </c>
      <c r="L137" s="54">
        <v>0.25</v>
      </c>
      <c r="Q137" s="56"/>
      <c r="R137" s="36" t="s">
        <v>78</v>
      </c>
      <c r="S137" s="17" t="s">
        <v>34</v>
      </c>
      <c r="T137" s="17" t="s">
        <v>79</v>
      </c>
      <c r="U137" s="18">
        <v>0.84745762711864414</v>
      </c>
      <c r="V137" s="23">
        <v>0.4</v>
      </c>
      <c r="W137" s="17" t="s">
        <v>44</v>
      </c>
      <c r="X137" s="17" t="s">
        <v>34</v>
      </c>
      <c r="Y137" s="17" t="s">
        <v>35</v>
      </c>
      <c r="Z137" s="18">
        <v>0.90909090909090906</v>
      </c>
      <c r="AA137" s="23">
        <v>0.4</v>
      </c>
      <c r="AB137" s="45" t="s">
        <v>56</v>
      </c>
      <c r="AC137" s="21" t="s">
        <v>34</v>
      </c>
      <c r="AD137" s="21" t="s">
        <v>38</v>
      </c>
      <c r="AE137" s="18">
        <v>2.5</v>
      </c>
      <c r="AF137" s="56">
        <v>0.2</v>
      </c>
      <c r="AG137" s="22">
        <v>0</v>
      </c>
      <c r="AH137" t="s">
        <v>40</v>
      </c>
    </row>
    <row r="138" spans="1:34">
      <c r="A138" s="9" t="s">
        <v>234</v>
      </c>
      <c r="B138" s="7" t="s">
        <v>57</v>
      </c>
      <c r="C138" s="29" t="s">
        <v>232</v>
      </c>
      <c r="D138" t="s">
        <v>34</v>
      </c>
      <c r="E138" s="21" t="s">
        <v>79</v>
      </c>
      <c r="F138" s="22">
        <v>0.9009009009009008</v>
      </c>
      <c r="G138" s="54">
        <v>0.75</v>
      </c>
      <c r="H138" s="21" t="s">
        <v>55</v>
      </c>
      <c r="I138" s="21" t="s">
        <v>34</v>
      </c>
      <c r="J138" s="21" t="s">
        <v>38</v>
      </c>
      <c r="K138" s="22">
        <v>3.2258064516129035</v>
      </c>
      <c r="L138" s="54">
        <v>0.25</v>
      </c>
      <c r="Q138" s="56"/>
      <c r="R138" s="21" t="s">
        <v>78</v>
      </c>
      <c r="S138" s="21" t="s">
        <v>34</v>
      </c>
      <c r="T138" s="21" t="s">
        <v>79</v>
      </c>
      <c r="U138" s="22">
        <v>0.84745762711864414</v>
      </c>
      <c r="V138" s="54">
        <v>0.4</v>
      </c>
      <c r="W138" s="21" t="s">
        <v>44</v>
      </c>
      <c r="X138" s="21" t="s">
        <v>34</v>
      </c>
      <c r="Y138" s="21" t="s">
        <v>35</v>
      </c>
      <c r="Z138" s="22">
        <v>0.90909090909090906</v>
      </c>
      <c r="AA138" s="54">
        <v>0.4</v>
      </c>
      <c r="AB138" s="45" t="s">
        <v>56</v>
      </c>
      <c r="AC138" s="21" t="s">
        <v>34</v>
      </c>
      <c r="AD138" s="21" t="s">
        <v>38</v>
      </c>
      <c r="AE138" s="18">
        <v>2.5</v>
      </c>
      <c r="AF138" s="56">
        <v>0.2</v>
      </c>
      <c r="AG138" s="22">
        <v>0</v>
      </c>
      <c r="AH138" t="s">
        <v>40</v>
      </c>
    </row>
    <row r="139" spans="1:34">
      <c r="A139" s="9" t="s">
        <v>235</v>
      </c>
      <c r="B139" s="7" t="s">
        <v>57</v>
      </c>
      <c r="C139" s="29" t="s">
        <v>232</v>
      </c>
      <c r="D139" t="s">
        <v>34</v>
      </c>
      <c r="E139" s="21" t="s">
        <v>79</v>
      </c>
      <c r="F139" s="22">
        <v>0.9009009009009008</v>
      </c>
      <c r="G139" s="54">
        <v>0.75</v>
      </c>
      <c r="H139" s="21" t="s">
        <v>55</v>
      </c>
      <c r="I139" s="21" t="s">
        <v>34</v>
      </c>
      <c r="J139" s="21" t="s">
        <v>38</v>
      </c>
      <c r="K139" s="22">
        <v>3.2258064516129035</v>
      </c>
      <c r="L139" s="54">
        <v>0.25</v>
      </c>
      <c r="Q139" s="56"/>
      <c r="R139" s="21" t="s">
        <v>78</v>
      </c>
      <c r="S139" s="21" t="s">
        <v>34</v>
      </c>
      <c r="T139" s="21" t="s">
        <v>79</v>
      </c>
      <c r="U139" s="22">
        <v>0.84745762711864414</v>
      </c>
      <c r="V139" s="54">
        <v>0.4</v>
      </c>
      <c r="W139" s="21" t="s">
        <v>44</v>
      </c>
      <c r="X139" s="21" t="s">
        <v>34</v>
      </c>
      <c r="Y139" s="21" t="s">
        <v>35</v>
      </c>
      <c r="Z139" s="22">
        <v>0.90909090909090906</v>
      </c>
      <c r="AA139" s="54">
        <v>0.4</v>
      </c>
      <c r="AB139" s="45" t="s">
        <v>56</v>
      </c>
      <c r="AC139" s="21" t="s">
        <v>34</v>
      </c>
      <c r="AD139" s="21" t="s">
        <v>38</v>
      </c>
      <c r="AE139" s="18">
        <v>2.5</v>
      </c>
      <c r="AF139" s="56">
        <v>0.2</v>
      </c>
      <c r="AG139" s="22">
        <v>0</v>
      </c>
      <c r="AH139" t="s">
        <v>40</v>
      </c>
    </row>
    <row r="140" spans="1:34">
      <c r="A140" s="9" t="s">
        <v>236</v>
      </c>
      <c r="B140" s="7" t="s">
        <v>57</v>
      </c>
      <c r="C140" s="29" t="s">
        <v>232</v>
      </c>
      <c r="D140" t="s">
        <v>34</v>
      </c>
      <c r="E140" s="21" t="s">
        <v>79</v>
      </c>
      <c r="F140" s="22">
        <v>0.9009009009009008</v>
      </c>
      <c r="G140" s="54">
        <v>0.75</v>
      </c>
      <c r="H140" s="21" t="s">
        <v>55</v>
      </c>
      <c r="I140" s="21" t="s">
        <v>34</v>
      </c>
      <c r="J140" s="21" t="s">
        <v>38</v>
      </c>
      <c r="K140" s="22">
        <v>3.2258064516129035</v>
      </c>
      <c r="L140" s="54">
        <v>0.25</v>
      </c>
      <c r="Q140" s="56"/>
      <c r="R140" s="21" t="s">
        <v>78</v>
      </c>
      <c r="S140" s="21" t="s">
        <v>34</v>
      </c>
      <c r="T140" s="21" t="s">
        <v>79</v>
      </c>
      <c r="U140" s="22">
        <v>0.84745762711864414</v>
      </c>
      <c r="V140" s="54">
        <v>0.4</v>
      </c>
      <c r="W140" s="21" t="s">
        <v>44</v>
      </c>
      <c r="X140" s="21" t="s">
        <v>34</v>
      </c>
      <c r="Y140" s="21" t="s">
        <v>35</v>
      </c>
      <c r="Z140" s="22">
        <v>0.90909090909090906</v>
      </c>
      <c r="AA140" s="54">
        <v>0.4</v>
      </c>
      <c r="AB140" s="45" t="s">
        <v>56</v>
      </c>
      <c r="AC140" s="21" t="s">
        <v>34</v>
      </c>
      <c r="AD140" s="21" t="s">
        <v>38</v>
      </c>
      <c r="AE140" s="18">
        <v>2.5</v>
      </c>
      <c r="AF140" s="56">
        <v>0.2</v>
      </c>
      <c r="AG140" s="22">
        <v>0</v>
      </c>
      <c r="AH140" t="s">
        <v>40</v>
      </c>
    </row>
    <row r="141" spans="1:34">
      <c r="A141" s="9" t="s">
        <v>237</v>
      </c>
      <c r="B141" s="7" t="s">
        <v>57</v>
      </c>
      <c r="C141" s="29" t="s">
        <v>232</v>
      </c>
      <c r="D141" t="s">
        <v>34</v>
      </c>
      <c r="E141" s="21" t="s">
        <v>79</v>
      </c>
      <c r="F141" s="22">
        <v>0.9009009009009008</v>
      </c>
      <c r="G141" s="54">
        <v>0.75</v>
      </c>
      <c r="H141" s="21" t="s">
        <v>55</v>
      </c>
      <c r="I141" s="21" t="s">
        <v>34</v>
      </c>
      <c r="J141" s="21" t="s">
        <v>38</v>
      </c>
      <c r="K141" s="22">
        <v>3.2258064516129035</v>
      </c>
      <c r="L141" s="54">
        <v>0.25</v>
      </c>
      <c r="Q141" s="56"/>
      <c r="R141" s="21" t="s">
        <v>78</v>
      </c>
      <c r="S141" s="21" t="s">
        <v>34</v>
      </c>
      <c r="T141" s="21" t="s">
        <v>79</v>
      </c>
      <c r="U141" s="22">
        <v>0.84745762711864414</v>
      </c>
      <c r="V141" s="54">
        <v>0.4</v>
      </c>
      <c r="W141" s="21" t="s">
        <v>44</v>
      </c>
      <c r="X141" s="21" t="s">
        <v>34</v>
      </c>
      <c r="Y141" s="21" t="s">
        <v>35</v>
      </c>
      <c r="Z141" s="22">
        <v>0.90909090909090906</v>
      </c>
      <c r="AA141" s="54">
        <v>0.4</v>
      </c>
      <c r="AB141" s="45" t="s">
        <v>56</v>
      </c>
      <c r="AC141" s="21" t="s">
        <v>34</v>
      </c>
      <c r="AD141" s="21" t="s">
        <v>38</v>
      </c>
      <c r="AE141" s="18">
        <v>2.5</v>
      </c>
      <c r="AF141" s="56">
        <v>0.2</v>
      </c>
      <c r="AG141" s="70">
        <v>0</v>
      </c>
      <c r="AH141" t="s">
        <v>40</v>
      </c>
    </row>
    <row r="142" spans="1:34">
      <c r="A142" s="9" t="s">
        <v>238</v>
      </c>
      <c r="B142" s="7" t="s">
        <v>57</v>
      </c>
      <c r="C142" s="29" t="s">
        <v>232</v>
      </c>
      <c r="D142" t="s">
        <v>34</v>
      </c>
      <c r="E142" s="21" t="s">
        <v>79</v>
      </c>
      <c r="F142" s="22">
        <v>0.9009009009009008</v>
      </c>
      <c r="G142" s="54">
        <v>0.75</v>
      </c>
      <c r="H142" s="21" t="s">
        <v>55</v>
      </c>
      <c r="I142" s="21" t="s">
        <v>34</v>
      </c>
      <c r="J142" s="21" t="s">
        <v>38</v>
      </c>
      <c r="K142" s="22">
        <v>3.2258064516129035</v>
      </c>
      <c r="L142" s="54">
        <v>0.25</v>
      </c>
      <c r="Q142" s="56"/>
      <c r="R142" s="21" t="s">
        <v>78</v>
      </c>
      <c r="S142" s="21" t="s">
        <v>34</v>
      </c>
      <c r="T142" s="21" t="s">
        <v>79</v>
      </c>
      <c r="U142" s="22">
        <v>0.84745762711864414</v>
      </c>
      <c r="V142" s="54">
        <v>0.4</v>
      </c>
      <c r="W142" s="21" t="s">
        <v>44</v>
      </c>
      <c r="X142" s="21" t="s">
        <v>34</v>
      </c>
      <c r="Y142" s="21" t="s">
        <v>35</v>
      </c>
      <c r="Z142" s="22">
        <v>0.90909090909090906</v>
      </c>
      <c r="AA142" s="54">
        <v>0.4</v>
      </c>
      <c r="AB142" s="45" t="s">
        <v>56</v>
      </c>
      <c r="AC142" s="21" t="s">
        <v>34</v>
      </c>
      <c r="AD142" s="21" t="s">
        <v>38</v>
      </c>
      <c r="AE142" s="18">
        <v>2.5</v>
      </c>
      <c r="AF142" s="56">
        <v>0.2</v>
      </c>
      <c r="AG142" s="22">
        <v>0</v>
      </c>
      <c r="AH142" t="s">
        <v>40</v>
      </c>
    </row>
    <row r="143" spans="1:34">
      <c r="A143" s="9" t="s">
        <v>239</v>
      </c>
      <c r="B143" s="7" t="s">
        <v>57</v>
      </c>
      <c r="C143" s="29" t="s">
        <v>232</v>
      </c>
      <c r="D143" t="s">
        <v>34</v>
      </c>
      <c r="E143" s="21" t="s">
        <v>79</v>
      </c>
      <c r="F143" s="22">
        <v>0.9009009009009008</v>
      </c>
      <c r="G143" s="54">
        <v>0.75</v>
      </c>
      <c r="H143" s="21" t="s">
        <v>55</v>
      </c>
      <c r="I143" s="21" t="s">
        <v>34</v>
      </c>
      <c r="J143" s="21" t="s">
        <v>38</v>
      </c>
      <c r="K143" s="22">
        <v>3.2258064516129035</v>
      </c>
      <c r="L143" s="54">
        <v>0.25</v>
      </c>
      <c r="Q143" s="56"/>
      <c r="R143" s="21" t="s">
        <v>78</v>
      </c>
      <c r="S143" s="21" t="s">
        <v>34</v>
      </c>
      <c r="T143" s="21" t="s">
        <v>79</v>
      </c>
      <c r="U143" s="22">
        <v>0.84745762711864414</v>
      </c>
      <c r="V143" s="54">
        <v>0.4</v>
      </c>
      <c r="W143" s="21" t="s">
        <v>44</v>
      </c>
      <c r="X143" s="21" t="s">
        <v>34</v>
      </c>
      <c r="Y143" s="21" t="s">
        <v>35</v>
      </c>
      <c r="Z143" s="22">
        <v>0.90909090909090906</v>
      </c>
      <c r="AA143" s="54">
        <v>0.4</v>
      </c>
      <c r="AB143" s="45" t="s">
        <v>56</v>
      </c>
      <c r="AC143" s="21" t="s">
        <v>34</v>
      </c>
      <c r="AD143" s="21" t="s">
        <v>38</v>
      </c>
      <c r="AE143" s="18">
        <v>2.5</v>
      </c>
      <c r="AF143" s="56">
        <v>0.2</v>
      </c>
      <c r="AG143" s="22">
        <v>0</v>
      </c>
      <c r="AH143" t="s">
        <v>40</v>
      </c>
    </row>
    <row r="144" spans="1:34">
      <c r="A144" s="9" t="s">
        <v>240</v>
      </c>
      <c r="B144" s="7" t="s">
        <v>57</v>
      </c>
      <c r="C144" s="29" t="s">
        <v>232</v>
      </c>
      <c r="D144" t="s">
        <v>34</v>
      </c>
      <c r="E144" s="21" t="s">
        <v>79</v>
      </c>
      <c r="F144" s="22">
        <v>0.9009009009009008</v>
      </c>
      <c r="G144" s="54">
        <v>0.75</v>
      </c>
      <c r="H144" s="21" t="s">
        <v>55</v>
      </c>
      <c r="I144" s="21" t="s">
        <v>34</v>
      </c>
      <c r="J144" s="21" t="s">
        <v>38</v>
      </c>
      <c r="K144" s="22">
        <v>3.2258064516129035</v>
      </c>
      <c r="L144" s="54">
        <v>0.25</v>
      </c>
      <c r="Q144" s="56"/>
      <c r="R144" s="21" t="s">
        <v>78</v>
      </c>
      <c r="S144" s="21" t="s">
        <v>34</v>
      </c>
      <c r="T144" s="21" t="s">
        <v>79</v>
      </c>
      <c r="U144" s="22">
        <v>0.84745762711864414</v>
      </c>
      <c r="V144" s="54">
        <v>0.4</v>
      </c>
      <c r="W144" s="21" t="s">
        <v>44</v>
      </c>
      <c r="X144" s="21" t="s">
        <v>34</v>
      </c>
      <c r="Y144" s="21" t="s">
        <v>35</v>
      </c>
      <c r="Z144" s="22">
        <v>0.90909090909090906</v>
      </c>
      <c r="AA144" s="54">
        <v>0.4</v>
      </c>
      <c r="AB144" s="45" t="s">
        <v>56</v>
      </c>
      <c r="AC144" s="21" t="s">
        <v>34</v>
      </c>
      <c r="AD144" s="21" t="s">
        <v>38</v>
      </c>
      <c r="AE144" s="18">
        <v>2.5</v>
      </c>
      <c r="AF144" s="56">
        <v>0.2</v>
      </c>
      <c r="AG144" s="22">
        <v>0</v>
      </c>
      <c r="AH144" t="s">
        <v>40</v>
      </c>
    </row>
    <row r="145" spans="1:34">
      <c r="A145" s="9" t="s">
        <v>241</v>
      </c>
      <c r="B145" s="7" t="s">
        <v>57</v>
      </c>
      <c r="C145" s="29" t="s">
        <v>232</v>
      </c>
      <c r="D145" t="s">
        <v>34</v>
      </c>
      <c r="E145" s="21" t="s">
        <v>79</v>
      </c>
      <c r="F145" s="22">
        <v>0.9009009009009008</v>
      </c>
      <c r="G145" s="54">
        <v>0.75</v>
      </c>
      <c r="H145" s="21" t="s">
        <v>55</v>
      </c>
      <c r="I145" s="21" t="s">
        <v>34</v>
      </c>
      <c r="J145" s="21" t="s">
        <v>38</v>
      </c>
      <c r="K145" s="22">
        <v>3.2258064516129035</v>
      </c>
      <c r="L145" s="54">
        <v>0.25</v>
      </c>
      <c r="Q145" s="56"/>
      <c r="R145" s="21" t="s">
        <v>78</v>
      </c>
      <c r="S145" s="21" t="s">
        <v>34</v>
      </c>
      <c r="T145" s="21" t="s">
        <v>79</v>
      </c>
      <c r="U145" s="22">
        <v>0.84745762711864414</v>
      </c>
      <c r="V145" s="54">
        <v>0.4</v>
      </c>
      <c r="W145" s="21" t="s">
        <v>44</v>
      </c>
      <c r="X145" s="21" t="s">
        <v>34</v>
      </c>
      <c r="Y145" s="21" t="s">
        <v>35</v>
      </c>
      <c r="Z145" s="22">
        <v>0.90909090909090906</v>
      </c>
      <c r="AA145" s="54">
        <v>0.4</v>
      </c>
      <c r="AB145" s="45" t="s">
        <v>56</v>
      </c>
      <c r="AC145" s="21" t="s">
        <v>34</v>
      </c>
      <c r="AD145" s="21" t="s">
        <v>38</v>
      </c>
      <c r="AE145" s="39">
        <v>2.5</v>
      </c>
      <c r="AF145" s="56">
        <v>0.2</v>
      </c>
      <c r="AG145" s="22">
        <v>0</v>
      </c>
      <c r="AH145" t="s">
        <v>40</v>
      </c>
    </row>
    <row r="146" spans="1:34" s="5" customFormat="1">
      <c r="A146" s="10" t="s">
        <v>242</v>
      </c>
      <c r="B146" s="11" t="s">
        <v>58</v>
      </c>
      <c r="C146" s="28" t="s">
        <v>78</v>
      </c>
      <c r="D146" s="5" t="s">
        <v>34</v>
      </c>
      <c r="E146" s="19" t="s">
        <v>79</v>
      </c>
      <c r="F146" s="20">
        <v>0.75187969924812026</v>
      </c>
      <c r="G146" s="55">
        <v>1</v>
      </c>
      <c r="H146" s="19"/>
      <c r="I146" s="19"/>
      <c r="J146" s="19"/>
      <c r="K146" s="20"/>
      <c r="L146" s="55"/>
      <c r="M146" s="46"/>
      <c r="N146" s="19"/>
      <c r="O146" s="19"/>
      <c r="P146" s="20"/>
      <c r="Q146" s="57"/>
      <c r="R146" s="35" t="s">
        <v>129</v>
      </c>
      <c r="S146" s="30" t="s">
        <v>37</v>
      </c>
      <c r="T146" s="30" t="s">
        <v>38</v>
      </c>
      <c r="U146" s="31">
        <v>0.970873786407767</v>
      </c>
      <c r="V146" s="32">
        <v>1</v>
      </c>
      <c r="W146" s="19"/>
      <c r="X146" s="19"/>
      <c r="Y146" s="19"/>
      <c r="Z146" s="20"/>
      <c r="AA146" s="55"/>
      <c r="AB146" s="46"/>
      <c r="AC146" s="19"/>
      <c r="AD146" s="19"/>
      <c r="AE146" s="19"/>
      <c r="AF146" s="57"/>
      <c r="AG146" s="69">
        <v>0</v>
      </c>
      <c r="AH146" s="5" t="s">
        <v>40</v>
      </c>
    </row>
    <row r="147" spans="1:34">
      <c r="A147" s="9" t="s">
        <v>243</v>
      </c>
      <c r="B147" s="7" t="s">
        <v>58</v>
      </c>
      <c r="C147" s="29" t="s">
        <v>78</v>
      </c>
      <c r="D147" t="s">
        <v>34</v>
      </c>
      <c r="E147" s="21" t="s">
        <v>79</v>
      </c>
      <c r="F147" s="22">
        <v>0.75187969924812026</v>
      </c>
      <c r="G147" s="54">
        <v>1</v>
      </c>
      <c r="L147" s="54"/>
      <c r="Q147" s="56"/>
      <c r="R147" s="36" t="s">
        <v>129</v>
      </c>
      <c r="S147" s="17" t="s">
        <v>37</v>
      </c>
      <c r="T147" s="17" t="s">
        <v>38</v>
      </c>
      <c r="U147" s="18">
        <v>0.970873786407767</v>
      </c>
      <c r="V147" s="23">
        <v>1</v>
      </c>
      <c r="AA147" s="54"/>
      <c r="AF147" s="56"/>
      <c r="AG147" s="22">
        <v>0</v>
      </c>
      <c r="AH147" t="s">
        <v>40</v>
      </c>
    </row>
    <row r="148" spans="1:34">
      <c r="A148" s="9" t="s">
        <v>244</v>
      </c>
      <c r="B148" s="7" t="s">
        <v>58</v>
      </c>
      <c r="C148" s="29" t="s">
        <v>78</v>
      </c>
      <c r="D148" t="s">
        <v>34</v>
      </c>
      <c r="E148" s="21" t="s">
        <v>79</v>
      </c>
      <c r="F148" s="22">
        <v>0.75187969924812026</v>
      </c>
      <c r="G148" s="54">
        <v>1</v>
      </c>
      <c r="L148" s="54"/>
      <c r="Q148" s="56"/>
      <c r="R148" s="21" t="s">
        <v>129</v>
      </c>
      <c r="S148" s="21" t="s">
        <v>37</v>
      </c>
      <c r="T148" s="21" t="s">
        <v>38</v>
      </c>
      <c r="U148" s="22">
        <v>0.970873786407767</v>
      </c>
      <c r="V148" s="54">
        <v>1</v>
      </c>
      <c r="AA148" s="54"/>
      <c r="AF148" s="56"/>
      <c r="AG148" s="22">
        <v>0</v>
      </c>
      <c r="AH148" t="s">
        <v>40</v>
      </c>
    </row>
    <row r="149" spans="1:34">
      <c r="A149" s="9" t="s">
        <v>245</v>
      </c>
      <c r="B149" s="7" t="s">
        <v>58</v>
      </c>
      <c r="C149" s="29" t="s">
        <v>78</v>
      </c>
      <c r="D149" t="s">
        <v>34</v>
      </c>
      <c r="E149" s="21" t="s">
        <v>79</v>
      </c>
      <c r="F149" s="22">
        <v>0.75187969924812026</v>
      </c>
      <c r="G149" s="54">
        <v>1</v>
      </c>
      <c r="L149" s="54"/>
      <c r="Q149" s="56"/>
      <c r="R149" s="64" t="s">
        <v>78</v>
      </c>
      <c r="S149" s="21" t="s">
        <v>34</v>
      </c>
      <c r="T149" s="21" t="s">
        <v>79</v>
      </c>
      <c r="U149" s="22">
        <v>0.87719298245614041</v>
      </c>
      <c r="V149" s="54">
        <v>0.5</v>
      </c>
      <c r="W149" s="21" t="s">
        <v>149</v>
      </c>
      <c r="X149" s="21" t="s">
        <v>37</v>
      </c>
      <c r="Y149" s="21" t="s">
        <v>150</v>
      </c>
      <c r="Z149" s="22">
        <v>0.68</v>
      </c>
      <c r="AA149" s="54">
        <v>0.5</v>
      </c>
      <c r="AF149" s="56"/>
      <c r="AG149" s="22">
        <v>0</v>
      </c>
      <c r="AH149" t="s">
        <v>40</v>
      </c>
    </row>
    <row r="150" spans="1:34">
      <c r="A150" s="9" t="s">
        <v>246</v>
      </c>
      <c r="B150" s="7" t="s">
        <v>58</v>
      </c>
      <c r="C150" s="29" t="s">
        <v>78</v>
      </c>
      <c r="D150" t="s">
        <v>34</v>
      </c>
      <c r="E150" s="21" t="s">
        <v>79</v>
      </c>
      <c r="F150" s="22">
        <v>0.75187969924812026</v>
      </c>
      <c r="G150" s="54">
        <v>1</v>
      </c>
      <c r="L150" s="54"/>
      <c r="Q150" s="56"/>
      <c r="R150" s="36" t="s">
        <v>129</v>
      </c>
      <c r="S150" s="21" t="s">
        <v>37</v>
      </c>
      <c r="T150" s="21" t="s">
        <v>38</v>
      </c>
      <c r="U150" s="22">
        <v>0.970873786407767</v>
      </c>
      <c r="V150" s="54">
        <v>1</v>
      </c>
      <c r="AA150" s="54"/>
      <c r="AF150" s="56"/>
      <c r="AG150" s="22">
        <v>0</v>
      </c>
      <c r="AH150" t="s">
        <v>40</v>
      </c>
    </row>
    <row r="151" spans="1:34">
      <c r="A151" s="9" t="s">
        <v>247</v>
      </c>
      <c r="B151" s="7" t="s">
        <v>58</v>
      </c>
      <c r="C151" s="29" t="s">
        <v>78</v>
      </c>
      <c r="D151" t="s">
        <v>34</v>
      </c>
      <c r="E151" s="21" t="s">
        <v>79</v>
      </c>
      <c r="F151" s="22">
        <v>0.75187969924812026</v>
      </c>
      <c r="G151" s="54">
        <v>1</v>
      </c>
      <c r="L151" s="54"/>
      <c r="Q151" s="56"/>
      <c r="R151" s="36" t="s">
        <v>129</v>
      </c>
      <c r="S151" s="21" t="s">
        <v>37</v>
      </c>
      <c r="T151" s="21" t="s">
        <v>38</v>
      </c>
      <c r="U151" s="22">
        <v>0.970873786407767</v>
      </c>
      <c r="V151" s="54">
        <v>0.75</v>
      </c>
      <c r="W151" s="21" t="s">
        <v>149</v>
      </c>
      <c r="X151" s="21" t="s">
        <v>37</v>
      </c>
      <c r="Y151" s="21" t="s">
        <v>150</v>
      </c>
      <c r="Z151" s="22">
        <v>0.68</v>
      </c>
      <c r="AA151" s="54">
        <v>0.25</v>
      </c>
      <c r="AF151" s="56"/>
      <c r="AG151" s="22">
        <v>0</v>
      </c>
      <c r="AH151" t="s">
        <v>40</v>
      </c>
    </row>
    <row r="152" spans="1:34">
      <c r="A152" s="9" t="s">
        <v>248</v>
      </c>
      <c r="B152" s="7" t="s">
        <v>58</v>
      </c>
      <c r="C152" s="29" t="s">
        <v>78</v>
      </c>
      <c r="D152" t="s">
        <v>34</v>
      </c>
      <c r="E152" s="21" t="s">
        <v>79</v>
      </c>
      <c r="F152" s="22">
        <v>0.75187969924812026</v>
      </c>
      <c r="G152" s="54">
        <v>1</v>
      </c>
      <c r="L152" s="54"/>
      <c r="Q152" s="56"/>
      <c r="R152" s="21" t="s">
        <v>129</v>
      </c>
      <c r="S152" s="21" t="s">
        <v>37</v>
      </c>
      <c r="T152" s="21" t="s">
        <v>38</v>
      </c>
      <c r="U152" s="22">
        <v>0.970873786407767</v>
      </c>
      <c r="V152" s="54">
        <v>0.75</v>
      </c>
      <c r="W152" s="21" t="s">
        <v>149</v>
      </c>
      <c r="X152" s="21" t="s">
        <v>37</v>
      </c>
      <c r="Y152" s="21" t="s">
        <v>150</v>
      </c>
      <c r="Z152" s="22">
        <v>0.68</v>
      </c>
      <c r="AA152" s="54">
        <v>0.25</v>
      </c>
      <c r="AF152" s="56"/>
      <c r="AG152" s="22">
        <v>0</v>
      </c>
      <c r="AH152" t="s">
        <v>40</v>
      </c>
    </row>
    <row r="153" spans="1:34">
      <c r="A153" s="9" t="s">
        <v>249</v>
      </c>
      <c r="B153" s="7" t="s">
        <v>58</v>
      </c>
      <c r="C153" s="29" t="s">
        <v>78</v>
      </c>
      <c r="D153" t="s">
        <v>34</v>
      </c>
      <c r="E153" s="21" t="s">
        <v>79</v>
      </c>
      <c r="F153" s="22">
        <v>0.75187969924812026</v>
      </c>
      <c r="G153" s="54">
        <v>1</v>
      </c>
      <c r="L153" s="54"/>
      <c r="Q153" s="56"/>
      <c r="R153" s="21" t="s">
        <v>78</v>
      </c>
      <c r="S153" s="21" t="s">
        <v>34</v>
      </c>
      <c r="T153" s="21" t="s">
        <v>79</v>
      </c>
      <c r="U153" s="22">
        <v>0.87719298245614041</v>
      </c>
      <c r="V153" s="54">
        <v>0.5</v>
      </c>
      <c r="W153" s="21" t="s">
        <v>149</v>
      </c>
      <c r="X153" s="21" t="s">
        <v>37</v>
      </c>
      <c r="Y153" s="21" t="s">
        <v>150</v>
      </c>
      <c r="Z153" s="22">
        <v>0.68</v>
      </c>
      <c r="AA153" s="54">
        <v>0.5</v>
      </c>
      <c r="AF153" s="56"/>
      <c r="AG153" s="22">
        <v>0</v>
      </c>
      <c r="AH153" t="s">
        <v>40</v>
      </c>
    </row>
    <row r="154" spans="1:34" s="5" customFormat="1">
      <c r="A154" s="10" t="s">
        <v>250</v>
      </c>
      <c r="B154" s="11" t="s">
        <v>59</v>
      </c>
      <c r="C154" s="28" t="s">
        <v>251</v>
      </c>
      <c r="D154" s="5" t="s">
        <v>34</v>
      </c>
      <c r="E154" s="19" t="s">
        <v>35</v>
      </c>
      <c r="F154" s="20">
        <v>0.63694267515923564</v>
      </c>
      <c r="G154" s="55">
        <v>1</v>
      </c>
      <c r="H154" s="19"/>
      <c r="I154" s="19"/>
      <c r="J154" s="19"/>
      <c r="K154" s="20"/>
      <c r="L154" s="55"/>
      <c r="M154" s="46"/>
      <c r="N154" s="19"/>
      <c r="O154" s="19"/>
      <c r="P154" s="20"/>
      <c r="Q154" s="57"/>
      <c r="R154" s="35" t="s">
        <v>44</v>
      </c>
      <c r="S154" s="30" t="s">
        <v>34</v>
      </c>
      <c r="T154" s="30" t="s">
        <v>35</v>
      </c>
      <c r="U154" s="31">
        <v>0.69930069930069938</v>
      </c>
      <c r="V154" s="32">
        <v>1</v>
      </c>
      <c r="W154" s="19"/>
      <c r="X154" s="19"/>
      <c r="Y154" s="19"/>
      <c r="Z154" s="20"/>
      <c r="AA154" s="55"/>
      <c r="AB154" s="46"/>
      <c r="AC154" s="19"/>
      <c r="AD154" s="19"/>
      <c r="AE154" s="19"/>
      <c r="AF154" s="57"/>
      <c r="AG154" s="69">
        <v>0</v>
      </c>
      <c r="AH154" s="5" t="s">
        <v>40</v>
      </c>
    </row>
    <row r="155" spans="1:34">
      <c r="A155" s="9" t="s">
        <v>252</v>
      </c>
      <c r="B155" s="7" t="s">
        <v>59</v>
      </c>
      <c r="C155" s="29" t="s">
        <v>251</v>
      </c>
      <c r="D155" t="s">
        <v>34</v>
      </c>
      <c r="E155" s="21" t="s">
        <v>35</v>
      </c>
      <c r="F155" s="22">
        <v>0.63694267515923564</v>
      </c>
      <c r="G155" s="54">
        <v>1</v>
      </c>
      <c r="L155" s="54"/>
      <c r="Q155" s="56"/>
      <c r="R155" s="36" t="s">
        <v>44</v>
      </c>
      <c r="S155" s="17" t="s">
        <v>34</v>
      </c>
      <c r="T155" s="17" t="s">
        <v>35</v>
      </c>
      <c r="U155" s="18">
        <v>0.69930069930069938</v>
      </c>
      <c r="V155" s="23">
        <v>1</v>
      </c>
      <c r="AA155" s="54"/>
      <c r="AF155" s="56"/>
      <c r="AG155" s="22">
        <v>0</v>
      </c>
      <c r="AH155" t="s">
        <v>40</v>
      </c>
    </row>
    <row r="156" spans="1:34">
      <c r="A156" s="9" t="s">
        <v>253</v>
      </c>
      <c r="B156" s="7" t="s">
        <v>59</v>
      </c>
      <c r="C156" s="29" t="s">
        <v>251</v>
      </c>
      <c r="D156" t="s">
        <v>34</v>
      </c>
      <c r="E156" s="21" t="s">
        <v>35</v>
      </c>
      <c r="F156" s="22">
        <v>0.63694267515923564</v>
      </c>
      <c r="G156" s="54">
        <v>1</v>
      </c>
      <c r="L156" s="54"/>
      <c r="Q156" s="56"/>
      <c r="R156" s="21" t="s">
        <v>44</v>
      </c>
      <c r="S156" s="21" t="s">
        <v>34</v>
      </c>
      <c r="T156" s="21" t="s">
        <v>35</v>
      </c>
      <c r="U156" s="22">
        <v>0.69930069930069938</v>
      </c>
      <c r="V156" s="54">
        <v>1</v>
      </c>
      <c r="AA156" s="54"/>
      <c r="AF156" s="56"/>
      <c r="AG156" s="22">
        <v>0</v>
      </c>
      <c r="AH156" t="s">
        <v>40</v>
      </c>
    </row>
    <row r="157" spans="1:34">
      <c r="A157" s="9" t="s">
        <v>254</v>
      </c>
      <c r="B157" s="7" t="s">
        <v>59</v>
      </c>
      <c r="C157" s="29" t="s">
        <v>251</v>
      </c>
      <c r="D157" t="s">
        <v>34</v>
      </c>
      <c r="E157" s="21" t="s">
        <v>35</v>
      </c>
      <c r="F157" s="22">
        <v>0.63694267515923564</v>
      </c>
      <c r="G157" s="54">
        <v>1</v>
      </c>
      <c r="L157" s="54"/>
      <c r="Q157" s="56"/>
      <c r="R157" s="21" t="s">
        <v>44</v>
      </c>
      <c r="S157" s="21" t="s">
        <v>34</v>
      </c>
      <c r="T157" s="21" t="s">
        <v>35</v>
      </c>
      <c r="U157" s="22">
        <v>0.69930069930069938</v>
      </c>
      <c r="V157" s="54">
        <v>1</v>
      </c>
      <c r="AA157" s="54"/>
      <c r="AF157" s="56"/>
      <c r="AG157" s="22">
        <v>0</v>
      </c>
      <c r="AH157" t="s">
        <v>40</v>
      </c>
    </row>
    <row r="158" spans="1:34">
      <c r="A158" s="9" t="s">
        <v>255</v>
      </c>
      <c r="B158" s="7" t="s">
        <v>59</v>
      </c>
      <c r="C158" s="29" t="s">
        <v>251</v>
      </c>
      <c r="D158" t="s">
        <v>34</v>
      </c>
      <c r="E158" s="21" t="s">
        <v>35</v>
      </c>
      <c r="F158" s="22">
        <v>0.63694267515923564</v>
      </c>
      <c r="G158" s="54">
        <v>0.6</v>
      </c>
      <c r="H158" s="29" t="s">
        <v>152</v>
      </c>
      <c r="I158" t="s">
        <v>34</v>
      </c>
      <c r="J158" s="21" t="s">
        <v>35</v>
      </c>
      <c r="K158" s="22">
        <v>0.84033613445378152</v>
      </c>
      <c r="L158" s="54">
        <v>0.4</v>
      </c>
      <c r="Q158" s="56"/>
      <c r="R158" s="64" t="s">
        <v>44</v>
      </c>
      <c r="S158" s="21" t="s">
        <v>34</v>
      </c>
      <c r="T158" s="21" t="s">
        <v>35</v>
      </c>
      <c r="U158" s="22">
        <v>0.69930069930069938</v>
      </c>
      <c r="V158" s="54">
        <v>1</v>
      </c>
      <c r="AA158" s="54"/>
      <c r="AF158" s="56"/>
      <c r="AG158" s="22">
        <v>0</v>
      </c>
      <c r="AH158" t="s">
        <v>40</v>
      </c>
    </row>
    <row r="159" spans="1:34">
      <c r="A159" s="9" t="s">
        <v>256</v>
      </c>
      <c r="B159" s="7" t="s">
        <v>59</v>
      </c>
      <c r="C159" s="29" t="s">
        <v>152</v>
      </c>
      <c r="D159" t="s">
        <v>34</v>
      </c>
      <c r="E159" s="21" t="s">
        <v>35</v>
      </c>
      <c r="F159" s="22">
        <v>0.84033613445378152</v>
      </c>
      <c r="G159" s="54">
        <v>1</v>
      </c>
      <c r="L159" s="54"/>
      <c r="Q159" s="56"/>
      <c r="R159" s="64" t="s">
        <v>44</v>
      </c>
      <c r="S159" s="21" t="s">
        <v>34</v>
      </c>
      <c r="T159" s="21" t="s">
        <v>35</v>
      </c>
      <c r="U159" s="22">
        <v>0.69930069930069938</v>
      </c>
      <c r="V159" s="54">
        <v>0.6</v>
      </c>
      <c r="W159" s="21" t="s">
        <v>149</v>
      </c>
      <c r="X159" s="21" t="s">
        <v>37</v>
      </c>
      <c r="Y159" s="21" t="s">
        <v>150</v>
      </c>
      <c r="Z159" s="22">
        <v>0.68</v>
      </c>
      <c r="AA159" s="54">
        <v>0.4</v>
      </c>
      <c r="AF159" s="56"/>
      <c r="AG159" s="22">
        <v>0</v>
      </c>
      <c r="AH159" t="s">
        <v>40</v>
      </c>
    </row>
    <row r="160" spans="1:34">
      <c r="A160" s="9" t="s">
        <v>257</v>
      </c>
      <c r="B160" s="7" t="s">
        <v>59</v>
      </c>
      <c r="C160" s="29" t="s">
        <v>251</v>
      </c>
      <c r="D160" t="s">
        <v>34</v>
      </c>
      <c r="E160" s="21" t="s">
        <v>35</v>
      </c>
      <c r="F160" s="22">
        <v>0.63694267515923564</v>
      </c>
      <c r="G160" s="54">
        <v>1</v>
      </c>
      <c r="L160" s="54"/>
      <c r="Q160" s="56"/>
      <c r="R160" s="36" t="s">
        <v>44</v>
      </c>
      <c r="S160" s="17" t="s">
        <v>34</v>
      </c>
      <c r="T160" s="17" t="s">
        <v>35</v>
      </c>
      <c r="U160" s="18">
        <v>0.69930069930069938</v>
      </c>
      <c r="V160" s="23">
        <v>1</v>
      </c>
      <c r="AA160" s="54"/>
      <c r="AF160" s="56"/>
      <c r="AG160" s="22">
        <v>0</v>
      </c>
      <c r="AH160" t="s">
        <v>40</v>
      </c>
    </row>
    <row r="161" spans="1:34">
      <c r="A161" s="9" t="s">
        <v>258</v>
      </c>
      <c r="B161" s="7" t="s">
        <v>59</v>
      </c>
      <c r="C161" s="29" t="s">
        <v>251</v>
      </c>
      <c r="D161" t="s">
        <v>34</v>
      </c>
      <c r="E161" s="21" t="s">
        <v>35</v>
      </c>
      <c r="F161" s="22">
        <v>0.63694267515923564</v>
      </c>
      <c r="G161" s="54">
        <v>1</v>
      </c>
      <c r="L161" s="54"/>
      <c r="Q161" s="56"/>
      <c r="R161" s="36" t="s">
        <v>44</v>
      </c>
      <c r="S161" s="17" t="s">
        <v>34</v>
      </c>
      <c r="T161" s="17" t="s">
        <v>35</v>
      </c>
      <c r="U161" s="18">
        <v>0.69930069930069938</v>
      </c>
      <c r="V161" s="23">
        <v>1</v>
      </c>
      <c r="AA161" s="54"/>
      <c r="AF161" s="56"/>
      <c r="AG161" s="22">
        <v>0</v>
      </c>
      <c r="AH161" t="s">
        <v>40</v>
      </c>
    </row>
    <row r="162" spans="1:34">
      <c r="A162" s="9" t="s">
        <v>259</v>
      </c>
      <c r="B162" s="7" t="s">
        <v>59</v>
      </c>
      <c r="C162" s="29" t="s">
        <v>251</v>
      </c>
      <c r="D162" t="s">
        <v>34</v>
      </c>
      <c r="E162" s="21" t="s">
        <v>35</v>
      </c>
      <c r="F162" s="22">
        <v>0.63694267515923564</v>
      </c>
      <c r="G162" s="54">
        <v>1</v>
      </c>
      <c r="L162" s="54"/>
      <c r="Q162" s="56"/>
      <c r="R162" s="64" t="s">
        <v>44</v>
      </c>
      <c r="S162" s="21" t="s">
        <v>34</v>
      </c>
      <c r="T162" s="21" t="s">
        <v>35</v>
      </c>
      <c r="U162" s="22">
        <v>0.69930069930069938</v>
      </c>
      <c r="V162" s="54">
        <v>1</v>
      </c>
      <c r="AA162" s="54"/>
      <c r="AF162" s="56"/>
      <c r="AG162" s="22">
        <v>0</v>
      </c>
      <c r="AH162" t="s">
        <v>40</v>
      </c>
    </row>
    <row r="163" spans="1:34">
      <c r="A163" s="9" t="s">
        <v>260</v>
      </c>
      <c r="B163" s="7" t="s">
        <v>59</v>
      </c>
      <c r="C163" s="29" t="s">
        <v>251</v>
      </c>
      <c r="D163" t="s">
        <v>34</v>
      </c>
      <c r="E163" s="21" t="s">
        <v>35</v>
      </c>
      <c r="F163" s="22">
        <v>0.63694267515923564</v>
      </c>
      <c r="G163" s="54">
        <v>1</v>
      </c>
      <c r="L163" s="54"/>
      <c r="Q163" s="56"/>
      <c r="R163" s="64" t="s">
        <v>44</v>
      </c>
      <c r="S163" s="21" t="s">
        <v>34</v>
      </c>
      <c r="T163" s="21" t="s">
        <v>35</v>
      </c>
      <c r="U163" s="22">
        <v>0.69930069930069938</v>
      </c>
      <c r="V163" s="54">
        <v>1</v>
      </c>
      <c r="AA163" s="54"/>
      <c r="AF163" s="56"/>
      <c r="AG163" s="22">
        <v>0</v>
      </c>
      <c r="AH163" t="s">
        <v>40</v>
      </c>
    </row>
    <row r="164" spans="1:34">
      <c r="A164" s="9" t="s">
        <v>261</v>
      </c>
      <c r="B164" s="7" t="s">
        <v>59</v>
      </c>
      <c r="C164" s="29" t="s">
        <v>251</v>
      </c>
      <c r="D164" t="s">
        <v>34</v>
      </c>
      <c r="E164" s="21" t="s">
        <v>35</v>
      </c>
      <c r="F164" s="22">
        <v>0.63694267515923564</v>
      </c>
      <c r="G164" s="54">
        <v>0.6</v>
      </c>
      <c r="H164" s="29" t="s">
        <v>152</v>
      </c>
      <c r="I164" t="s">
        <v>34</v>
      </c>
      <c r="J164" s="21" t="s">
        <v>35</v>
      </c>
      <c r="K164" s="22">
        <v>0.84033613445378152</v>
      </c>
      <c r="L164" s="54">
        <v>0.4</v>
      </c>
      <c r="Q164" s="56"/>
      <c r="R164" s="64" t="s">
        <v>44</v>
      </c>
      <c r="S164" s="21" t="s">
        <v>34</v>
      </c>
      <c r="T164" s="21" t="s">
        <v>35</v>
      </c>
      <c r="U164" s="22">
        <v>0.69930069930069938</v>
      </c>
      <c r="V164" s="54">
        <v>1</v>
      </c>
      <c r="AA164" s="54"/>
      <c r="AF164" s="56"/>
      <c r="AG164" s="22">
        <v>0</v>
      </c>
      <c r="AH164" t="s">
        <v>40</v>
      </c>
    </row>
    <row r="165" spans="1:34">
      <c r="A165" s="9" t="s">
        <v>262</v>
      </c>
      <c r="B165" s="7" t="s">
        <v>59</v>
      </c>
      <c r="C165" s="29" t="s">
        <v>152</v>
      </c>
      <c r="D165" t="s">
        <v>34</v>
      </c>
      <c r="E165" s="21" t="s">
        <v>35</v>
      </c>
      <c r="F165" s="22">
        <v>0.84033613445378152</v>
      </c>
      <c r="G165" s="54">
        <v>1</v>
      </c>
      <c r="L165" s="54"/>
      <c r="Q165" s="56"/>
      <c r="R165" s="64" t="s">
        <v>44</v>
      </c>
      <c r="S165" s="21" t="s">
        <v>34</v>
      </c>
      <c r="T165" s="21" t="s">
        <v>35</v>
      </c>
      <c r="U165" s="22">
        <v>0.69930069930069938</v>
      </c>
      <c r="V165" s="54">
        <v>0.6</v>
      </c>
      <c r="W165" s="21" t="s">
        <v>149</v>
      </c>
      <c r="X165" s="21" t="s">
        <v>37</v>
      </c>
      <c r="Y165" s="21" t="s">
        <v>150</v>
      </c>
      <c r="Z165" s="22">
        <v>0.68</v>
      </c>
      <c r="AA165" s="54">
        <v>0.4</v>
      </c>
      <c r="AF165" s="56"/>
      <c r="AG165" s="22">
        <v>0</v>
      </c>
      <c r="AH165" t="s">
        <v>40</v>
      </c>
    </row>
    <row r="166" spans="1:34">
      <c r="A166" s="9" t="s">
        <v>263</v>
      </c>
      <c r="B166" s="7" t="s">
        <v>59</v>
      </c>
      <c r="C166" s="29" t="s">
        <v>251</v>
      </c>
      <c r="D166" t="s">
        <v>34</v>
      </c>
      <c r="E166" s="21" t="s">
        <v>35</v>
      </c>
      <c r="F166" s="22">
        <v>0.63694267515923564</v>
      </c>
      <c r="G166" s="54">
        <v>1</v>
      </c>
      <c r="L166" s="54"/>
      <c r="Q166" s="56"/>
      <c r="R166" s="36" t="s">
        <v>44</v>
      </c>
      <c r="S166" s="17" t="s">
        <v>34</v>
      </c>
      <c r="T166" s="17" t="s">
        <v>35</v>
      </c>
      <c r="U166" s="18">
        <v>0.69930069930069938</v>
      </c>
      <c r="V166" s="23">
        <v>1</v>
      </c>
      <c r="AA166" s="54"/>
      <c r="AF166" s="56"/>
      <c r="AG166" s="22">
        <v>0</v>
      </c>
      <c r="AH166" t="s">
        <v>40</v>
      </c>
    </row>
    <row r="167" spans="1:34">
      <c r="A167" s="9" t="s">
        <v>264</v>
      </c>
      <c r="B167" s="7" t="s">
        <v>59</v>
      </c>
      <c r="C167" s="29" t="s">
        <v>251</v>
      </c>
      <c r="D167" t="s">
        <v>34</v>
      </c>
      <c r="E167" s="21" t="s">
        <v>35</v>
      </c>
      <c r="F167" s="22">
        <v>0.63694267515923564</v>
      </c>
      <c r="G167" s="54">
        <v>1</v>
      </c>
      <c r="L167" s="54"/>
      <c r="Q167" s="56"/>
      <c r="R167" s="36" t="s">
        <v>44</v>
      </c>
      <c r="S167" s="17" t="s">
        <v>34</v>
      </c>
      <c r="T167" s="17" t="s">
        <v>35</v>
      </c>
      <c r="U167" s="18">
        <v>0.69930069930069938</v>
      </c>
      <c r="V167" s="23">
        <v>1</v>
      </c>
      <c r="AA167" s="54"/>
      <c r="AF167" s="56"/>
      <c r="AG167" s="22">
        <v>0</v>
      </c>
      <c r="AH167" t="s">
        <v>40</v>
      </c>
    </row>
    <row r="168" spans="1:34">
      <c r="A168" s="9" t="s">
        <v>265</v>
      </c>
      <c r="B168" s="7" t="s">
        <v>59</v>
      </c>
      <c r="C168" s="29" t="s">
        <v>251</v>
      </c>
      <c r="D168" t="s">
        <v>34</v>
      </c>
      <c r="E168" s="21" t="s">
        <v>35</v>
      </c>
      <c r="F168" s="22">
        <v>0.63694267515923564</v>
      </c>
      <c r="G168" s="54">
        <v>1</v>
      </c>
      <c r="L168" s="54"/>
      <c r="Q168" s="56"/>
      <c r="R168" s="64" t="s">
        <v>44</v>
      </c>
      <c r="S168" s="21" t="s">
        <v>34</v>
      </c>
      <c r="T168" s="21" t="s">
        <v>35</v>
      </c>
      <c r="U168" s="22">
        <v>0.69930069930069938</v>
      </c>
      <c r="V168" s="54">
        <v>1</v>
      </c>
      <c r="AA168" s="54"/>
      <c r="AF168" s="56"/>
      <c r="AG168" s="22">
        <v>0</v>
      </c>
      <c r="AH168" t="s">
        <v>40</v>
      </c>
    </row>
    <row r="169" spans="1:34">
      <c r="A169" s="9" t="s">
        <v>266</v>
      </c>
      <c r="B169" s="7" t="s">
        <v>59</v>
      </c>
      <c r="C169" s="29" t="s">
        <v>251</v>
      </c>
      <c r="D169" t="s">
        <v>34</v>
      </c>
      <c r="E169" s="21" t="s">
        <v>35</v>
      </c>
      <c r="F169" s="22">
        <v>0.63694267515923564</v>
      </c>
      <c r="G169" s="54">
        <v>1</v>
      </c>
      <c r="L169" s="54"/>
      <c r="Q169" s="56"/>
      <c r="R169" s="64" t="s">
        <v>44</v>
      </c>
      <c r="S169" s="21" t="s">
        <v>34</v>
      </c>
      <c r="T169" s="21" t="s">
        <v>35</v>
      </c>
      <c r="U169" s="22">
        <v>0.69930069930069938</v>
      </c>
      <c r="V169" s="54">
        <v>1</v>
      </c>
      <c r="AA169" s="54"/>
      <c r="AF169" s="56"/>
      <c r="AG169" s="22">
        <v>0</v>
      </c>
      <c r="AH169" t="s">
        <v>40</v>
      </c>
    </row>
    <row r="170" spans="1:34">
      <c r="A170" s="9" t="s">
        <v>267</v>
      </c>
      <c r="B170" s="7" t="s">
        <v>59</v>
      </c>
      <c r="C170" s="29" t="s">
        <v>251</v>
      </c>
      <c r="D170" t="s">
        <v>34</v>
      </c>
      <c r="E170" s="21" t="s">
        <v>35</v>
      </c>
      <c r="F170" s="22">
        <v>0.63694267515923564</v>
      </c>
      <c r="G170" s="54">
        <v>0.6</v>
      </c>
      <c r="H170" s="29" t="s">
        <v>152</v>
      </c>
      <c r="I170" t="s">
        <v>34</v>
      </c>
      <c r="J170" s="21" t="s">
        <v>35</v>
      </c>
      <c r="K170" s="22">
        <v>0.84033613445378152</v>
      </c>
      <c r="L170" s="54">
        <v>0.4</v>
      </c>
      <c r="Q170" s="56"/>
      <c r="R170" s="64" t="s">
        <v>44</v>
      </c>
      <c r="S170" s="21" t="s">
        <v>34</v>
      </c>
      <c r="T170" s="21" t="s">
        <v>35</v>
      </c>
      <c r="U170" s="22">
        <v>0.69930069930069938</v>
      </c>
      <c r="V170" s="54">
        <v>1</v>
      </c>
      <c r="AA170" s="54"/>
      <c r="AF170" s="56"/>
      <c r="AG170" s="22">
        <v>0</v>
      </c>
      <c r="AH170" t="s">
        <v>40</v>
      </c>
    </row>
    <row r="171" spans="1:34">
      <c r="A171" s="9" t="s">
        <v>268</v>
      </c>
      <c r="B171" s="7" t="s">
        <v>59</v>
      </c>
      <c r="C171" s="29" t="s">
        <v>152</v>
      </c>
      <c r="D171" t="s">
        <v>34</v>
      </c>
      <c r="E171" s="21" t="s">
        <v>35</v>
      </c>
      <c r="F171" s="22">
        <v>0.84033613445378152</v>
      </c>
      <c r="G171" s="54">
        <v>1</v>
      </c>
      <c r="L171" s="54"/>
      <c r="Q171" s="56"/>
      <c r="R171" s="66" t="s">
        <v>44</v>
      </c>
      <c r="S171" s="41" t="s">
        <v>34</v>
      </c>
      <c r="T171" s="41" t="s">
        <v>35</v>
      </c>
      <c r="U171" s="65">
        <v>0.69930069930069938</v>
      </c>
      <c r="V171" s="67">
        <v>0.6</v>
      </c>
      <c r="W171" s="41" t="s">
        <v>149</v>
      </c>
      <c r="X171" s="41" t="s">
        <v>37</v>
      </c>
      <c r="Y171" s="41" t="s">
        <v>150</v>
      </c>
      <c r="Z171" s="65">
        <v>0.68</v>
      </c>
      <c r="AA171" s="67">
        <v>0.4</v>
      </c>
      <c r="AF171" s="56"/>
      <c r="AG171" s="22">
        <v>0</v>
      </c>
      <c r="AH171" t="s">
        <v>40</v>
      </c>
    </row>
    <row r="172" spans="1:34" s="5" customFormat="1">
      <c r="A172" s="10" t="s">
        <v>269</v>
      </c>
      <c r="B172" s="11" t="s">
        <v>60</v>
      </c>
      <c r="C172" s="28" t="s">
        <v>55</v>
      </c>
      <c r="D172" s="5" t="s">
        <v>34</v>
      </c>
      <c r="E172" s="19" t="s">
        <v>38</v>
      </c>
      <c r="F172" s="20">
        <v>3.2258064516129035</v>
      </c>
      <c r="G172" s="55">
        <v>0.66666666666666663</v>
      </c>
      <c r="H172" s="28" t="s">
        <v>232</v>
      </c>
      <c r="I172" s="19" t="s">
        <v>34</v>
      </c>
      <c r="J172" s="19" t="s">
        <v>79</v>
      </c>
      <c r="K172" s="20">
        <v>0.9009009009009008</v>
      </c>
      <c r="L172" s="55">
        <v>0.33333333333333331</v>
      </c>
      <c r="M172" s="46"/>
      <c r="N172" s="19"/>
      <c r="O172" s="19"/>
      <c r="P172" s="20"/>
      <c r="Q172" s="57"/>
      <c r="R172" s="30" t="s">
        <v>56</v>
      </c>
      <c r="S172" s="30" t="s">
        <v>34</v>
      </c>
      <c r="T172" s="30" t="s">
        <v>38</v>
      </c>
      <c r="U172" s="31">
        <v>2.5</v>
      </c>
      <c r="V172" s="32">
        <v>0.66666666666666663</v>
      </c>
      <c r="W172" s="30" t="s">
        <v>44</v>
      </c>
      <c r="X172" s="30" t="s">
        <v>34</v>
      </c>
      <c r="Y172" s="30" t="s">
        <v>35</v>
      </c>
      <c r="Z172" s="31">
        <v>0.90909090909090906</v>
      </c>
      <c r="AA172" s="32">
        <v>0.33333333333333331</v>
      </c>
      <c r="AB172" s="46"/>
      <c r="AC172" s="19"/>
      <c r="AD172" s="19"/>
      <c r="AE172" s="19"/>
      <c r="AF172" s="57"/>
      <c r="AG172" s="69">
        <v>0</v>
      </c>
      <c r="AH172" s="5" t="s">
        <v>40</v>
      </c>
    </row>
    <row r="173" spans="1:34">
      <c r="A173" s="9" t="s">
        <v>270</v>
      </c>
      <c r="B173" s="7" t="s">
        <v>60</v>
      </c>
      <c r="C173" s="29" t="s">
        <v>55</v>
      </c>
      <c r="D173" t="s">
        <v>34</v>
      </c>
      <c r="E173" s="21" t="s">
        <v>38</v>
      </c>
      <c r="F173" s="22">
        <v>3.2258064516129035</v>
      </c>
      <c r="G173" s="54">
        <v>0.66666666666666663</v>
      </c>
      <c r="H173" s="21" t="s">
        <v>232</v>
      </c>
      <c r="I173" s="21" t="s">
        <v>34</v>
      </c>
      <c r="J173" s="21" t="s">
        <v>79</v>
      </c>
      <c r="K173" s="22">
        <v>0.9009009009009008</v>
      </c>
      <c r="L173" s="54">
        <v>0.33333333333333331</v>
      </c>
      <c r="Q173" s="56"/>
      <c r="R173" s="17" t="s">
        <v>56</v>
      </c>
      <c r="S173" s="17" t="s">
        <v>34</v>
      </c>
      <c r="T173" s="17" t="s">
        <v>38</v>
      </c>
      <c r="U173" s="18">
        <v>2.5</v>
      </c>
      <c r="V173" s="23">
        <v>0.66666666666666663</v>
      </c>
      <c r="W173" s="17" t="s">
        <v>44</v>
      </c>
      <c r="X173" s="17" t="s">
        <v>34</v>
      </c>
      <c r="Y173" s="17" t="s">
        <v>35</v>
      </c>
      <c r="Z173" s="18">
        <v>0.90909090909090906</v>
      </c>
      <c r="AA173" s="23">
        <v>0.33333333333333331</v>
      </c>
      <c r="AF173" s="56"/>
      <c r="AG173" s="22">
        <v>0</v>
      </c>
      <c r="AH173" t="s">
        <v>40</v>
      </c>
    </row>
    <row r="174" spans="1:34">
      <c r="A174" s="9" t="s">
        <v>271</v>
      </c>
      <c r="B174" s="7" t="s">
        <v>60</v>
      </c>
      <c r="C174" s="29" t="s">
        <v>55</v>
      </c>
      <c r="D174" t="s">
        <v>34</v>
      </c>
      <c r="E174" s="21" t="s">
        <v>38</v>
      </c>
      <c r="F174" s="22">
        <v>3.2258064516129035</v>
      </c>
      <c r="G174" s="54">
        <v>0.66666666666666663</v>
      </c>
      <c r="H174" s="21" t="s">
        <v>232</v>
      </c>
      <c r="I174" s="21" t="s">
        <v>34</v>
      </c>
      <c r="J174" s="21" t="s">
        <v>79</v>
      </c>
      <c r="K174" s="22">
        <v>0.9009009009009008</v>
      </c>
      <c r="L174" s="54">
        <v>0.33333333333333331</v>
      </c>
      <c r="Q174" s="56"/>
      <c r="R174" s="21" t="s">
        <v>56</v>
      </c>
      <c r="S174" s="21" t="s">
        <v>34</v>
      </c>
      <c r="T174" s="21" t="s">
        <v>38</v>
      </c>
      <c r="U174" s="22">
        <v>2.5</v>
      </c>
      <c r="V174" s="54">
        <v>0.66666666666666663</v>
      </c>
      <c r="W174" s="21" t="s">
        <v>44</v>
      </c>
      <c r="X174" s="21" t="s">
        <v>34</v>
      </c>
      <c r="Y174" s="21" t="s">
        <v>35</v>
      </c>
      <c r="Z174" s="22">
        <v>0.90909090909090906</v>
      </c>
      <c r="AA174" s="54">
        <v>0.33333333333333331</v>
      </c>
      <c r="AF174" s="56"/>
      <c r="AG174" s="22">
        <v>0</v>
      </c>
      <c r="AH174" t="s">
        <v>40</v>
      </c>
    </row>
    <row r="175" spans="1:34">
      <c r="A175" s="9" t="s">
        <v>272</v>
      </c>
      <c r="B175" s="7" t="s">
        <v>60</v>
      </c>
      <c r="C175" s="29" t="s">
        <v>55</v>
      </c>
      <c r="D175" t="s">
        <v>34</v>
      </c>
      <c r="E175" s="21" t="s">
        <v>38</v>
      </c>
      <c r="F175" s="22">
        <v>3.2258064516129035</v>
      </c>
      <c r="G175" s="54">
        <v>0.66666666666666663</v>
      </c>
      <c r="H175" s="21" t="s">
        <v>232</v>
      </c>
      <c r="I175" s="21" t="s">
        <v>34</v>
      </c>
      <c r="J175" s="21" t="s">
        <v>79</v>
      </c>
      <c r="K175" s="22">
        <v>0.9009009009009008</v>
      </c>
      <c r="L175" s="54">
        <v>0.33333333333333331</v>
      </c>
      <c r="Q175" s="56"/>
      <c r="R175" s="21" t="s">
        <v>56</v>
      </c>
      <c r="S175" s="21" t="s">
        <v>34</v>
      </c>
      <c r="T175" s="21" t="s">
        <v>38</v>
      </c>
      <c r="U175" s="22">
        <v>2.5</v>
      </c>
      <c r="V175" s="54">
        <v>0.66666666666666663</v>
      </c>
      <c r="W175" s="21" t="s">
        <v>44</v>
      </c>
      <c r="X175" s="21" t="s">
        <v>34</v>
      </c>
      <c r="Y175" s="21" t="s">
        <v>35</v>
      </c>
      <c r="Z175" s="22">
        <v>0.90909090909090906</v>
      </c>
      <c r="AA175" s="54">
        <v>0.33333333333333331</v>
      </c>
      <c r="AF175" s="56"/>
      <c r="AG175" s="22">
        <v>0</v>
      </c>
      <c r="AH175" t="s">
        <v>40</v>
      </c>
    </row>
    <row r="176" spans="1:34">
      <c r="A176" s="9" t="s">
        <v>273</v>
      </c>
      <c r="B176" s="7" t="s">
        <v>60</v>
      </c>
      <c r="C176" s="29" t="s">
        <v>55</v>
      </c>
      <c r="D176" t="s">
        <v>34</v>
      </c>
      <c r="E176" s="21" t="s">
        <v>38</v>
      </c>
      <c r="F176" s="22">
        <v>3.2258064516129035</v>
      </c>
      <c r="G176" s="54">
        <v>0.66666666666666663</v>
      </c>
      <c r="H176" s="21" t="s">
        <v>232</v>
      </c>
      <c r="I176" s="21" t="s">
        <v>34</v>
      </c>
      <c r="J176" s="21" t="s">
        <v>79</v>
      </c>
      <c r="K176" s="22">
        <v>0.9009009009009008</v>
      </c>
      <c r="L176" s="54">
        <v>0.33333333333333331</v>
      </c>
      <c r="Q176" s="56"/>
      <c r="R176" s="21" t="s">
        <v>56</v>
      </c>
      <c r="S176" s="21" t="s">
        <v>34</v>
      </c>
      <c r="T176" s="21" t="s">
        <v>38</v>
      </c>
      <c r="U176" s="22">
        <v>2.5</v>
      </c>
      <c r="V176" s="54">
        <v>0.66666666666666663</v>
      </c>
      <c r="W176" s="21" t="s">
        <v>44</v>
      </c>
      <c r="X176" s="21" t="s">
        <v>34</v>
      </c>
      <c r="Y176" s="21" t="s">
        <v>35</v>
      </c>
      <c r="Z176" s="22">
        <v>0.90909090909090906</v>
      </c>
      <c r="AA176" s="54">
        <v>0.33333333333333331</v>
      </c>
      <c r="AF176" s="56"/>
      <c r="AG176" s="22">
        <v>0</v>
      </c>
      <c r="AH176" t="s">
        <v>40</v>
      </c>
    </row>
    <row r="177" spans="1:34">
      <c r="A177" s="9" t="s">
        <v>274</v>
      </c>
      <c r="B177" s="7" t="s">
        <v>60</v>
      </c>
      <c r="C177" s="29" t="s">
        <v>55</v>
      </c>
      <c r="D177" t="s">
        <v>34</v>
      </c>
      <c r="E177" s="21" t="s">
        <v>38</v>
      </c>
      <c r="F177" s="22">
        <v>3.2258064516129035</v>
      </c>
      <c r="G177" s="54">
        <v>0.66666666666666663</v>
      </c>
      <c r="H177" s="21" t="s">
        <v>232</v>
      </c>
      <c r="I177" s="21" t="s">
        <v>34</v>
      </c>
      <c r="J177" s="21" t="s">
        <v>79</v>
      </c>
      <c r="K177" s="22">
        <v>0.9009009009009008</v>
      </c>
      <c r="L177" s="54">
        <v>0.33333333333333331</v>
      </c>
      <c r="Q177" s="56"/>
      <c r="R177" s="21" t="s">
        <v>56</v>
      </c>
      <c r="S177" s="21" t="s">
        <v>34</v>
      </c>
      <c r="T177" s="21" t="s">
        <v>38</v>
      </c>
      <c r="U177" s="22">
        <v>2.5</v>
      </c>
      <c r="V177" s="54">
        <v>0.66666666666666663</v>
      </c>
      <c r="W177" s="21" t="s">
        <v>44</v>
      </c>
      <c r="X177" s="21" t="s">
        <v>34</v>
      </c>
      <c r="Y177" s="21" t="s">
        <v>35</v>
      </c>
      <c r="Z177" s="22">
        <v>0.90909090909090906</v>
      </c>
      <c r="AA177" s="54">
        <v>0.33333333333333331</v>
      </c>
      <c r="AF177" s="56"/>
      <c r="AG177" s="22">
        <v>0</v>
      </c>
      <c r="AH177" t="s">
        <v>40</v>
      </c>
    </row>
    <row r="178" spans="1:34">
      <c r="A178" s="9" t="s">
        <v>275</v>
      </c>
      <c r="B178" s="7" t="s">
        <v>60</v>
      </c>
      <c r="C178" s="29" t="s">
        <v>55</v>
      </c>
      <c r="D178" t="s">
        <v>34</v>
      </c>
      <c r="E178" s="21" t="s">
        <v>38</v>
      </c>
      <c r="F178" s="22">
        <v>3.2258064516129035</v>
      </c>
      <c r="G178" s="54">
        <v>0.66666666666666663</v>
      </c>
      <c r="H178" s="21" t="s">
        <v>232</v>
      </c>
      <c r="I178" s="21" t="s">
        <v>34</v>
      </c>
      <c r="J178" s="21" t="s">
        <v>79</v>
      </c>
      <c r="K178" s="22">
        <v>0.9009009009009008</v>
      </c>
      <c r="L178" s="54">
        <v>0.33333333333333331</v>
      </c>
      <c r="Q178" s="56"/>
      <c r="R178" s="21" t="s">
        <v>56</v>
      </c>
      <c r="S178" s="21" t="s">
        <v>34</v>
      </c>
      <c r="T178" s="21" t="s">
        <v>38</v>
      </c>
      <c r="U178" s="22">
        <v>2.5</v>
      </c>
      <c r="V178" s="54">
        <v>0.66666666666666663</v>
      </c>
      <c r="W178" s="21" t="s">
        <v>44</v>
      </c>
      <c r="X178" s="21" t="s">
        <v>34</v>
      </c>
      <c r="Y178" s="21" t="s">
        <v>35</v>
      </c>
      <c r="Z178" s="22">
        <v>0.90909090909090906</v>
      </c>
      <c r="AA178" s="54">
        <v>0.33333333333333331</v>
      </c>
      <c r="AF178" s="56"/>
      <c r="AG178" s="22">
        <v>0</v>
      </c>
      <c r="AH178" t="s">
        <v>40</v>
      </c>
    </row>
    <row r="179" spans="1:34">
      <c r="A179" s="9" t="s">
        <v>276</v>
      </c>
      <c r="B179" s="7" t="s">
        <v>60</v>
      </c>
      <c r="C179" s="29" t="s">
        <v>55</v>
      </c>
      <c r="D179" t="s">
        <v>34</v>
      </c>
      <c r="E179" s="21" t="s">
        <v>38</v>
      </c>
      <c r="F179" s="22">
        <v>3.2258064516129035</v>
      </c>
      <c r="G179" s="54">
        <v>0.66666666666666663</v>
      </c>
      <c r="H179" s="21" t="s">
        <v>232</v>
      </c>
      <c r="I179" s="21" t="s">
        <v>34</v>
      </c>
      <c r="J179" s="21" t="s">
        <v>79</v>
      </c>
      <c r="K179" s="22">
        <v>0.9009009009009008</v>
      </c>
      <c r="L179" s="54">
        <v>0.33333333333333331</v>
      </c>
      <c r="Q179" s="56"/>
      <c r="R179" s="21" t="s">
        <v>56</v>
      </c>
      <c r="S179" s="21" t="s">
        <v>34</v>
      </c>
      <c r="T179" s="21" t="s">
        <v>38</v>
      </c>
      <c r="U179" s="22">
        <v>2.5</v>
      </c>
      <c r="V179" s="54">
        <v>0.66666666666666663</v>
      </c>
      <c r="W179" s="21" t="s">
        <v>44</v>
      </c>
      <c r="X179" s="21" t="s">
        <v>34</v>
      </c>
      <c r="Y179" s="21" t="s">
        <v>35</v>
      </c>
      <c r="Z179" s="22">
        <v>0.90909090909090906</v>
      </c>
      <c r="AA179" s="54">
        <v>0.33333333333333331</v>
      </c>
      <c r="AF179" s="56"/>
      <c r="AG179" s="22">
        <v>0</v>
      </c>
      <c r="AH179" t="s">
        <v>40</v>
      </c>
    </row>
    <row r="180" spans="1:34">
      <c r="A180" s="9" t="s">
        <v>277</v>
      </c>
      <c r="B180" s="7" t="s">
        <v>60</v>
      </c>
      <c r="C180" s="29" t="s">
        <v>55</v>
      </c>
      <c r="D180" t="s">
        <v>34</v>
      </c>
      <c r="E180" s="21" t="s">
        <v>38</v>
      </c>
      <c r="F180" s="22">
        <v>3.2258064516129035</v>
      </c>
      <c r="G180" s="54">
        <v>0.66666666666666663</v>
      </c>
      <c r="H180" s="21" t="s">
        <v>232</v>
      </c>
      <c r="I180" s="21" t="s">
        <v>34</v>
      </c>
      <c r="J180" s="21" t="s">
        <v>79</v>
      </c>
      <c r="K180" s="22">
        <v>0.9009009009009008</v>
      </c>
      <c r="L180" s="54">
        <v>0.33333333333333331</v>
      </c>
      <c r="Q180" s="56"/>
      <c r="R180" s="21" t="s">
        <v>56</v>
      </c>
      <c r="S180" s="21" t="s">
        <v>34</v>
      </c>
      <c r="T180" s="21" t="s">
        <v>38</v>
      </c>
      <c r="U180" s="22">
        <v>2.5</v>
      </c>
      <c r="V180" s="54">
        <v>0.66666666666666663</v>
      </c>
      <c r="W180" s="21" t="s">
        <v>44</v>
      </c>
      <c r="X180" s="21" t="s">
        <v>34</v>
      </c>
      <c r="Y180" s="21" t="s">
        <v>35</v>
      </c>
      <c r="Z180" s="22">
        <v>0.90909090909090906</v>
      </c>
      <c r="AA180" s="54">
        <v>0.33333333333333331</v>
      </c>
      <c r="AF180" s="56"/>
      <c r="AG180" s="22">
        <v>0</v>
      </c>
      <c r="AH180" t="s">
        <v>40</v>
      </c>
    </row>
    <row r="181" spans="1:34">
      <c r="A181" s="9" t="s">
        <v>278</v>
      </c>
      <c r="B181" s="7" t="s">
        <v>60</v>
      </c>
      <c r="C181" s="29" t="s">
        <v>55</v>
      </c>
      <c r="D181" t="s">
        <v>34</v>
      </c>
      <c r="E181" s="21" t="s">
        <v>38</v>
      </c>
      <c r="F181" s="22">
        <v>3.2258064516129035</v>
      </c>
      <c r="G181" s="54">
        <v>0.66666666666666663</v>
      </c>
      <c r="H181" s="21" t="s">
        <v>232</v>
      </c>
      <c r="I181" s="21" t="s">
        <v>34</v>
      </c>
      <c r="J181" s="21" t="s">
        <v>79</v>
      </c>
      <c r="K181" s="22">
        <v>0.9009009009009008</v>
      </c>
      <c r="L181" s="54">
        <v>0.33333333333333331</v>
      </c>
      <c r="Q181" s="56"/>
      <c r="R181" s="21" t="s">
        <v>56</v>
      </c>
      <c r="S181" s="21" t="s">
        <v>34</v>
      </c>
      <c r="T181" s="21" t="s">
        <v>38</v>
      </c>
      <c r="U181" s="22">
        <v>2.5</v>
      </c>
      <c r="V181" s="54">
        <v>0.66666666666666663</v>
      </c>
      <c r="W181" s="21" t="s">
        <v>44</v>
      </c>
      <c r="X181" s="21" t="s">
        <v>34</v>
      </c>
      <c r="Y181" s="21" t="s">
        <v>35</v>
      </c>
      <c r="Z181" s="22">
        <v>0.90909090909090906</v>
      </c>
      <c r="AA181" s="54">
        <v>0.33333333333333331</v>
      </c>
      <c r="AF181" s="56"/>
      <c r="AG181" s="22">
        <v>0</v>
      </c>
      <c r="AH181" t="s">
        <v>40</v>
      </c>
    </row>
    <row r="182" spans="1:34" s="5" customFormat="1">
      <c r="A182" s="10" t="s">
        <v>279</v>
      </c>
      <c r="B182" s="11" t="s">
        <v>61</v>
      </c>
      <c r="C182" s="28" t="s">
        <v>105</v>
      </c>
      <c r="D182" s="5" t="s">
        <v>37</v>
      </c>
      <c r="E182" s="19" t="s">
        <v>79</v>
      </c>
      <c r="F182" s="20">
        <v>0.51020408163265307</v>
      </c>
      <c r="G182" s="55">
        <v>1</v>
      </c>
      <c r="H182" s="28"/>
      <c r="J182" s="19"/>
      <c r="K182" s="20"/>
      <c r="L182" s="55"/>
      <c r="M182" s="46"/>
      <c r="N182" s="19"/>
      <c r="O182" s="19"/>
      <c r="P182" s="20"/>
      <c r="Q182" s="57"/>
      <c r="R182" s="63" t="s">
        <v>47</v>
      </c>
      <c r="S182" s="19" t="s">
        <v>37</v>
      </c>
      <c r="T182" s="19" t="s">
        <v>35</v>
      </c>
      <c r="U182" s="20">
        <v>0.92592592592592582</v>
      </c>
      <c r="V182" s="55">
        <v>1</v>
      </c>
      <c r="W182" s="19"/>
      <c r="X182" s="19"/>
      <c r="Y182" s="19"/>
      <c r="Z182" s="20"/>
      <c r="AA182" s="55"/>
      <c r="AB182" s="46"/>
      <c r="AC182" s="19"/>
      <c r="AD182" s="19"/>
      <c r="AE182" s="19"/>
      <c r="AF182" s="57"/>
      <c r="AG182" s="69">
        <v>0</v>
      </c>
      <c r="AH182" s="5" t="s">
        <v>40</v>
      </c>
    </row>
    <row r="183" spans="1:34">
      <c r="A183" s="9" t="s">
        <v>280</v>
      </c>
      <c r="B183" s="7" t="s">
        <v>61</v>
      </c>
      <c r="C183" s="29" t="s">
        <v>105</v>
      </c>
      <c r="D183" t="s">
        <v>37</v>
      </c>
      <c r="E183" s="21" t="s">
        <v>79</v>
      </c>
      <c r="F183" s="22">
        <v>0.51020408163265307</v>
      </c>
      <c r="G183" s="54">
        <v>1</v>
      </c>
      <c r="Q183" s="56"/>
      <c r="R183" s="64" t="s">
        <v>47</v>
      </c>
      <c r="S183" s="21" t="s">
        <v>37</v>
      </c>
      <c r="T183" s="21" t="s">
        <v>35</v>
      </c>
      <c r="U183" s="22">
        <v>0.92592592592592582</v>
      </c>
      <c r="V183" s="54">
        <v>1</v>
      </c>
      <c r="AA183" s="54"/>
      <c r="AF183" s="56"/>
      <c r="AG183" s="22">
        <v>0</v>
      </c>
      <c r="AH183" t="s">
        <v>40</v>
      </c>
    </row>
    <row r="184" spans="1:34">
      <c r="A184" s="9" t="s">
        <v>281</v>
      </c>
      <c r="B184" s="7" t="s">
        <v>61</v>
      </c>
      <c r="C184" s="29" t="s">
        <v>78</v>
      </c>
      <c r="D184" t="s">
        <v>34</v>
      </c>
      <c r="E184" s="21" t="s">
        <v>79</v>
      </c>
      <c r="F184" s="22">
        <v>0.81300813008130079</v>
      </c>
      <c r="G184" s="54">
        <v>1</v>
      </c>
      <c r="L184" s="54"/>
      <c r="Q184" s="56"/>
      <c r="R184" s="64" t="s">
        <v>106</v>
      </c>
      <c r="S184" s="21" t="s">
        <v>37</v>
      </c>
      <c r="T184" s="21" t="s">
        <v>38</v>
      </c>
      <c r="U184" s="22">
        <v>0.9009009009009008</v>
      </c>
      <c r="V184" s="54">
        <v>1</v>
      </c>
      <c r="AA184" s="54"/>
      <c r="AF184" s="56"/>
      <c r="AG184" s="22">
        <v>0</v>
      </c>
      <c r="AH184" t="s">
        <v>40</v>
      </c>
    </row>
    <row r="185" spans="1:34">
      <c r="A185" s="9" t="s">
        <v>282</v>
      </c>
      <c r="B185" s="7" t="s">
        <v>61</v>
      </c>
      <c r="C185" s="29" t="s">
        <v>78</v>
      </c>
      <c r="D185" t="s">
        <v>34</v>
      </c>
      <c r="E185" s="21" t="s">
        <v>79</v>
      </c>
      <c r="F185" s="22">
        <v>0.81300813008130079</v>
      </c>
      <c r="G185" s="54">
        <v>1</v>
      </c>
      <c r="L185" s="54"/>
      <c r="Q185" s="56"/>
      <c r="R185" s="21" t="s">
        <v>106</v>
      </c>
      <c r="S185" s="21" t="s">
        <v>37</v>
      </c>
      <c r="T185" s="21" t="s">
        <v>38</v>
      </c>
      <c r="U185" s="22">
        <v>0.9009009009009008</v>
      </c>
      <c r="V185" s="54">
        <v>1</v>
      </c>
      <c r="AA185" s="54"/>
      <c r="AF185" s="56"/>
      <c r="AG185" s="22">
        <v>0</v>
      </c>
      <c r="AH185" t="s">
        <v>40</v>
      </c>
    </row>
    <row r="186" spans="1:34">
      <c r="A186" s="9" t="s">
        <v>283</v>
      </c>
      <c r="B186" s="7" t="s">
        <v>61</v>
      </c>
      <c r="C186" s="29" t="s">
        <v>78</v>
      </c>
      <c r="D186" t="s">
        <v>34</v>
      </c>
      <c r="E186" s="21" t="s">
        <v>79</v>
      </c>
      <c r="F186" s="22">
        <v>0.81300813008130079</v>
      </c>
      <c r="G186" s="54">
        <v>1</v>
      </c>
      <c r="L186" s="54"/>
      <c r="Q186" s="56"/>
      <c r="R186" s="21" t="s">
        <v>106</v>
      </c>
      <c r="S186" s="21" t="s">
        <v>37</v>
      </c>
      <c r="T186" s="21" t="s">
        <v>38</v>
      </c>
      <c r="U186" s="22">
        <v>0.9009009009009008</v>
      </c>
      <c r="V186" s="54">
        <v>1</v>
      </c>
      <c r="AA186" s="54"/>
      <c r="AF186" s="56"/>
      <c r="AG186" s="22">
        <v>0</v>
      </c>
      <c r="AH186" t="s">
        <v>40</v>
      </c>
    </row>
    <row r="187" spans="1:34">
      <c r="A187" s="9" t="s">
        <v>284</v>
      </c>
      <c r="B187" s="7" t="s">
        <v>61</v>
      </c>
      <c r="C187" s="29" t="s">
        <v>285</v>
      </c>
      <c r="D187" t="s">
        <v>37</v>
      </c>
      <c r="E187" s="21" t="s">
        <v>286</v>
      </c>
      <c r="F187" s="22">
        <v>0.58823529411764708</v>
      </c>
      <c r="G187" s="54">
        <v>0.5</v>
      </c>
      <c r="H187" s="29" t="s">
        <v>116</v>
      </c>
      <c r="I187" t="s">
        <v>37</v>
      </c>
      <c r="J187" s="21" t="s">
        <v>35</v>
      </c>
      <c r="K187" s="22">
        <v>0.71942446043165476</v>
      </c>
      <c r="L187" s="54">
        <v>0.5</v>
      </c>
      <c r="Q187" s="56"/>
      <c r="R187" s="21" t="s">
        <v>106</v>
      </c>
      <c r="S187" s="21" t="s">
        <v>37</v>
      </c>
      <c r="T187" s="21" t="s">
        <v>38</v>
      </c>
      <c r="U187" s="22">
        <v>0.9009009009009008</v>
      </c>
      <c r="V187" s="54">
        <v>1</v>
      </c>
      <c r="AA187" s="54"/>
      <c r="AF187" s="56"/>
      <c r="AG187" s="22">
        <v>0</v>
      </c>
      <c r="AH187" t="s">
        <v>40</v>
      </c>
    </row>
    <row r="188" spans="1:34">
      <c r="A188" s="9" t="s">
        <v>287</v>
      </c>
      <c r="B188" s="7" t="s">
        <v>61</v>
      </c>
      <c r="C188" s="29" t="s">
        <v>285</v>
      </c>
      <c r="D188" t="s">
        <v>37</v>
      </c>
      <c r="E188" s="21" t="s">
        <v>286</v>
      </c>
      <c r="F188" s="22">
        <v>0.58823529411764708</v>
      </c>
      <c r="G188" s="54">
        <v>1</v>
      </c>
      <c r="L188" s="54"/>
      <c r="Q188" s="56"/>
      <c r="R188" s="21" t="s">
        <v>288</v>
      </c>
      <c r="S188" s="21" t="s">
        <v>37</v>
      </c>
      <c r="T188" s="21" t="s">
        <v>38</v>
      </c>
      <c r="U188" s="22">
        <v>1.1904761904761905</v>
      </c>
      <c r="V188" s="54">
        <v>1</v>
      </c>
      <c r="AA188" s="54"/>
      <c r="AF188" s="56"/>
      <c r="AG188" s="22">
        <v>0</v>
      </c>
      <c r="AH188" t="s">
        <v>40</v>
      </c>
    </row>
    <row r="189" spans="1:34">
      <c r="A189" s="9" t="s">
        <v>289</v>
      </c>
      <c r="B189" s="7" t="s">
        <v>61</v>
      </c>
      <c r="C189" s="29" t="s">
        <v>48</v>
      </c>
      <c r="D189" t="s">
        <v>37</v>
      </c>
      <c r="E189" s="21" t="s">
        <v>38</v>
      </c>
      <c r="F189" s="22">
        <v>0.94339622641509424</v>
      </c>
      <c r="G189" s="54">
        <v>1</v>
      </c>
      <c r="L189" s="54"/>
      <c r="Q189" s="56"/>
      <c r="R189" s="21" t="s">
        <v>288</v>
      </c>
      <c r="S189" s="21" t="s">
        <v>37</v>
      </c>
      <c r="T189" s="21" t="s">
        <v>38</v>
      </c>
      <c r="U189" s="22">
        <v>1.1904761904761905</v>
      </c>
      <c r="V189" s="54">
        <v>1</v>
      </c>
      <c r="AA189" s="54"/>
      <c r="AF189" s="56"/>
      <c r="AG189" s="22">
        <v>1</v>
      </c>
      <c r="AH189" t="s">
        <v>41</v>
      </c>
    </row>
    <row r="190" spans="1:34">
      <c r="A190" s="9" t="s">
        <v>290</v>
      </c>
      <c r="B190" s="7" t="s">
        <v>61</v>
      </c>
      <c r="C190" s="29" t="s">
        <v>48</v>
      </c>
      <c r="D190" t="s">
        <v>37</v>
      </c>
      <c r="E190" s="21" t="s">
        <v>38</v>
      </c>
      <c r="F190" s="22">
        <v>0.94339622641509424</v>
      </c>
      <c r="G190" s="54">
        <v>1</v>
      </c>
      <c r="L190" s="54"/>
      <c r="Q190" s="56"/>
      <c r="R190" s="21" t="s">
        <v>288</v>
      </c>
      <c r="S190" s="21" t="s">
        <v>37</v>
      </c>
      <c r="T190" s="21" t="s">
        <v>38</v>
      </c>
      <c r="U190" s="22">
        <v>1.1904761904761905</v>
      </c>
      <c r="V190" s="54">
        <v>1</v>
      </c>
      <c r="AA190" s="54"/>
      <c r="AF190" s="56"/>
      <c r="AG190" s="70">
        <v>1</v>
      </c>
      <c r="AH190" t="s">
        <v>41</v>
      </c>
    </row>
    <row r="191" spans="1:34">
      <c r="A191" s="9" t="s">
        <v>291</v>
      </c>
      <c r="B191" s="7" t="s">
        <v>61</v>
      </c>
      <c r="C191" s="29" t="s">
        <v>36</v>
      </c>
      <c r="D191" t="s">
        <v>37</v>
      </c>
      <c r="E191" s="21" t="s">
        <v>38</v>
      </c>
      <c r="F191" s="22">
        <v>2.3255813953488373</v>
      </c>
      <c r="G191" s="54">
        <v>1</v>
      </c>
      <c r="L191" s="54"/>
      <c r="Q191" s="56"/>
      <c r="R191" s="21" t="s">
        <v>288</v>
      </c>
      <c r="S191" s="21" t="s">
        <v>37</v>
      </c>
      <c r="T191" s="21" t="s">
        <v>38</v>
      </c>
      <c r="U191" s="22">
        <v>1.1904761904761905</v>
      </c>
      <c r="V191" s="54">
        <v>1</v>
      </c>
      <c r="AA191" s="54"/>
      <c r="AF191" s="56"/>
      <c r="AG191" s="22">
        <v>1</v>
      </c>
      <c r="AH191" t="s">
        <v>41</v>
      </c>
    </row>
    <row r="192" spans="1:34">
      <c r="A192" s="9" t="s">
        <v>292</v>
      </c>
      <c r="B192" s="7" t="s">
        <v>61</v>
      </c>
      <c r="C192" s="29" t="s">
        <v>45</v>
      </c>
      <c r="D192" t="s">
        <v>34</v>
      </c>
      <c r="E192" s="21" t="s">
        <v>35</v>
      </c>
      <c r="F192" s="22">
        <v>0.81300813008130079</v>
      </c>
      <c r="G192" s="54">
        <v>1</v>
      </c>
      <c r="L192" s="54"/>
      <c r="Q192" s="56"/>
      <c r="R192" s="21" t="s">
        <v>108</v>
      </c>
      <c r="S192" s="21" t="s">
        <v>37</v>
      </c>
      <c r="T192" s="21" t="s">
        <v>35</v>
      </c>
      <c r="U192" s="22">
        <v>0.7407407407407407</v>
      </c>
      <c r="V192" s="54">
        <v>1</v>
      </c>
      <c r="AA192" s="54"/>
      <c r="AF192" s="56"/>
      <c r="AG192" s="22">
        <v>0</v>
      </c>
      <c r="AH192" t="s">
        <v>40</v>
      </c>
    </row>
    <row r="193" spans="1:34">
      <c r="A193" s="9" t="s">
        <v>293</v>
      </c>
      <c r="B193" s="7" t="s">
        <v>61</v>
      </c>
      <c r="C193" s="29" t="s">
        <v>45</v>
      </c>
      <c r="D193" t="s">
        <v>34</v>
      </c>
      <c r="E193" s="21" t="s">
        <v>35</v>
      </c>
      <c r="F193" s="22">
        <v>0.81300813008130079</v>
      </c>
      <c r="G193" s="54">
        <v>1</v>
      </c>
      <c r="L193" s="54"/>
      <c r="Q193" s="56"/>
      <c r="R193" s="21" t="s">
        <v>108</v>
      </c>
      <c r="S193" s="21" t="s">
        <v>37</v>
      </c>
      <c r="T193" s="21" t="s">
        <v>35</v>
      </c>
      <c r="U193" s="22">
        <v>0.7407407407407407</v>
      </c>
      <c r="V193" s="54">
        <v>1</v>
      </c>
      <c r="AA193" s="54"/>
      <c r="AF193" s="56"/>
      <c r="AG193" s="22">
        <v>0</v>
      </c>
      <c r="AH193" t="s">
        <v>40</v>
      </c>
    </row>
    <row r="194" spans="1:34">
      <c r="A194" s="9" t="s">
        <v>294</v>
      </c>
      <c r="B194" s="7" t="s">
        <v>61</v>
      </c>
      <c r="C194" s="29" t="s">
        <v>45</v>
      </c>
      <c r="D194" t="s">
        <v>34</v>
      </c>
      <c r="E194" s="21" t="s">
        <v>35</v>
      </c>
      <c r="F194" s="22">
        <v>0.81300813008130079</v>
      </c>
      <c r="G194" s="54">
        <v>1</v>
      </c>
      <c r="L194" s="54"/>
      <c r="Q194" s="56"/>
      <c r="R194" s="21" t="s">
        <v>106</v>
      </c>
      <c r="S194" s="21" t="s">
        <v>37</v>
      </c>
      <c r="T194" s="21" t="s">
        <v>38</v>
      </c>
      <c r="U194" s="22">
        <v>0.9009009009009008</v>
      </c>
      <c r="V194" s="54">
        <v>1</v>
      </c>
      <c r="AA194" s="54"/>
      <c r="AF194" s="56"/>
      <c r="AG194" s="22">
        <v>0</v>
      </c>
      <c r="AH194" t="s">
        <v>40</v>
      </c>
    </row>
    <row r="195" spans="1:34">
      <c r="A195" s="9" t="s">
        <v>295</v>
      </c>
      <c r="B195" s="7" t="s">
        <v>61</v>
      </c>
      <c r="C195" s="29" t="s">
        <v>78</v>
      </c>
      <c r="D195" t="s">
        <v>34</v>
      </c>
      <c r="E195" s="21" t="s">
        <v>79</v>
      </c>
      <c r="F195" s="22">
        <v>0.81300813008130079</v>
      </c>
      <c r="G195" s="54">
        <v>1</v>
      </c>
      <c r="L195" s="54"/>
      <c r="Q195" s="56"/>
      <c r="R195" s="21" t="s">
        <v>106</v>
      </c>
      <c r="S195" s="21" t="s">
        <v>37</v>
      </c>
      <c r="T195" s="21" t="s">
        <v>38</v>
      </c>
      <c r="U195" s="22">
        <v>0.9009009009009008</v>
      </c>
      <c r="V195" s="54">
        <v>1</v>
      </c>
      <c r="AA195" s="54"/>
      <c r="AF195" s="56"/>
      <c r="AG195" s="22">
        <v>0</v>
      </c>
      <c r="AH195" t="s">
        <v>40</v>
      </c>
    </row>
    <row r="196" spans="1:34">
      <c r="A196" s="9" t="s">
        <v>296</v>
      </c>
      <c r="B196" s="7" t="s">
        <v>61</v>
      </c>
      <c r="C196" s="29" t="s">
        <v>78</v>
      </c>
      <c r="D196" t="s">
        <v>34</v>
      </c>
      <c r="E196" s="21" t="s">
        <v>79</v>
      </c>
      <c r="F196" s="22">
        <v>0.81300813008130079</v>
      </c>
      <c r="G196" s="54">
        <v>1</v>
      </c>
      <c r="L196" s="54"/>
      <c r="Q196" s="56"/>
      <c r="R196" s="21" t="s">
        <v>106</v>
      </c>
      <c r="S196" s="21" t="s">
        <v>37</v>
      </c>
      <c r="T196" s="21" t="s">
        <v>38</v>
      </c>
      <c r="U196" s="22">
        <v>0.9009009009009008</v>
      </c>
      <c r="V196" s="54">
        <v>1</v>
      </c>
      <c r="AA196" s="54"/>
      <c r="AF196" s="56"/>
      <c r="AG196" s="22">
        <v>0</v>
      </c>
      <c r="AH196" t="s">
        <v>40</v>
      </c>
    </row>
    <row r="197" spans="1:34">
      <c r="A197" s="9" t="s">
        <v>297</v>
      </c>
      <c r="B197" s="7" t="s">
        <v>61</v>
      </c>
      <c r="C197" s="29" t="s">
        <v>111</v>
      </c>
      <c r="D197" t="s">
        <v>37</v>
      </c>
      <c r="E197" s="21" t="s">
        <v>35</v>
      </c>
      <c r="F197" s="22">
        <v>0.77519379844961234</v>
      </c>
      <c r="G197" s="54">
        <v>0.5</v>
      </c>
      <c r="H197" s="29" t="s">
        <v>33</v>
      </c>
      <c r="I197" t="s">
        <v>34</v>
      </c>
      <c r="J197" s="21" t="s">
        <v>35</v>
      </c>
      <c r="K197" s="22">
        <v>0.94339622641509424</v>
      </c>
      <c r="L197" s="54">
        <v>0.5</v>
      </c>
      <c r="Q197" s="56"/>
      <c r="R197" s="21" t="s">
        <v>106</v>
      </c>
      <c r="S197" s="21" t="s">
        <v>37</v>
      </c>
      <c r="T197" s="21" t="s">
        <v>38</v>
      </c>
      <c r="U197" s="22">
        <v>0.9009009009009008</v>
      </c>
      <c r="V197" s="54">
        <v>1</v>
      </c>
      <c r="AA197" s="54"/>
      <c r="AF197" s="56"/>
      <c r="AG197" s="22">
        <v>0</v>
      </c>
      <c r="AH197" t="s">
        <v>40</v>
      </c>
    </row>
    <row r="198" spans="1:34">
      <c r="A198" s="9" t="s">
        <v>298</v>
      </c>
      <c r="B198" s="7" t="s">
        <v>61</v>
      </c>
      <c r="C198" s="29" t="s">
        <v>48</v>
      </c>
      <c r="D198" t="s">
        <v>37</v>
      </c>
      <c r="E198" s="21" t="s">
        <v>38</v>
      </c>
      <c r="F198" s="22">
        <v>0.94339622641509424</v>
      </c>
      <c r="G198" s="54">
        <v>0.5</v>
      </c>
      <c r="H198" s="29" t="s">
        <v>111</v>
      </c>
      <c r="I198" t="s">
        <v>37</v>
      </c>
      <c r="J198" s="21" t="s">
        <v>35</v>
      </c>
      <c r="K198" s="22">
        <v>0.77519379844961234</v>
      </c>
      <c r="L198" s="54">
        <v>0.5</v>
      </c>
      <c r="Q198" s="56"/>
      <c r="R198" s="21" t="s">
        <v>106</v>
      </c>
      <c r="S198" s="21" t="s">
        <v>37</v>
      </c>
      <c r="T198" s="21" t="s">
        <v>38</v>
      </c>
      <c r="U198" s="22">
        <v>0.9009009009009008</v>
      </c>
      <c r="V198" s="54">
        <v>1</v>
      </c>
      <c r="AA198" s="54"/>
      <c r="AF198" s="56"/>
      <c r="AG198" s="22">
        <v>0</v>
      </c>
      <c r="AH198" t="s">
        <v>40</v>
      </c>
    </row>
    <row r="199" spans="1:34">
      <c r="A199" s="9" t="s">
        <v>299</v>
      </c>
      <c r="B199" s="7" t="s">
        <v>61</v>
      </c>
      <c r="C199" s="29" t="s">
        <v>45</v>
      </c>
      <c r="D199" t="s">
        <v>34</v>
      </c>
      <c r="E199" s="21" t="s">
        <v>35</v>
      </c>
      <c r="F199" s="22">
        <v>0.81300813008130079</v>
      </c>
      <c r="G199" s="54">
        <v>1</v>
      </c>
      <c r="L199" s="54"/>
      <c r="Q199" s="56"/>
      <c r="R199" s="21" t="s">
        <v>106</v>
      </c>
      <c r="S199" s="21" t="s">
        <v>37</v>
      </c>
      <c r="T199" s="21" t="s">
        <v>38</v>
      </c>
      <c r="U199" s="22">
        <v>0.9009009009009008</v>
      </c>
      <c r="V199" s="54">
        <v>1</v>
      </c>
      <c r="AA199" s="54"/>
      <c r="AF199" s="56"/>
      <c r="AG199" s="22">
        <v>0</v>
      </c>
      <c r="AH199" t="s">
        <v>40</v>
      </c>
    </row>
    <row r="200" spans="1:34">
      <c r="A200" s="9" t="s">
        <v>300</v>
      </c>
      <c r="B200" s="7" t="s">
        <v>61</v>
      </c>
      <c r="C200" s="29" t="s">
        <v>45</v>
      </c>
      <c r="D200" t="s">
        <v>34</v>
      </c>
      <c r="E200" s="21" t="s">
        <v>35</v>
      </c>
      <c r="F200" s="22">
        <v>0.81300813008130079</v>
      </c>
      <c r="G200" s="54">
        <v>1</v>
      </c>
      <c r="L200" s="54"/>
      <c r="Q200" s="56"/>
      <c r="R200" s="21" t="s">
        <v>106</v>
      </c>
      <c r="S200" s="21" t="s">
        <v>37</v>
      </c>
      <c r="T200" s="21" t="s">
        <v>38</v>
      </c>
      <c r="U200" s="22">
        <v>0.9009009009009008</v>
      </c>
      <c r="V200" s="54">
        <v>1</v>
      </c>
      <c r="AA200" s="54"/>
      <c r="AF200" s="56"/>
      <c r="AG200" s="22">
        <v>0</v>
      </c>
      <c r="AH200" t="s">
        <v>40</v>
      </c>
    </row>
    <row r="201" spans="1:34">
      <c r="A201" s="9" t="s">
        <v>301</v>
      </c>
      <c r="B201" s="7" t="s">
        <v>61</v>
      </c>
      <c r="C201" s="29" t="s">
        <v>33</v>
      </c>
      <c r="D201" t="s">
        <v>34</v>
      </c>
      <c r="E201" s="21" t="s">
        <v>35</v>
      </c>
      <c r="F201" s="22">
        <v>0.94339622641509424</v>
      </c>
      <c r="G201" s="54">
        <v>1</v>
      </c>
      <c r="L201" s="54"/>
      <c r="Q201" s="56"/>
      <c r="R201" s="21" t="s">
        <v>106</v>
      </c>
      <c r="S201" s="21" t="s">
        <v>37</v>
      </c>
      <c r="T201" s="21" t="s">
        <v>38</v>
      </c>
      <c r="U201" s="22">
        <v>0.9009009009009008</v>
      </c>
      <c r="V201" s="54">
        <v>1</v>
      </c>
      <c r="AA201" s="54"/>
      <c r="AF201" s="56"/>
      <c r="AG201" s="22">
        <v>0</v>
      </c>
      <c r="AH201" t="s">
        <v>40</v>
      </c>
    </row>
    <row r="202" spans="1:34">
      <c r="A202" s="9" t="s">
        <v>302</v>
      </c>
      <c r="B202" s="7" t="s">
        <v>61</v>
      </c>
      <c r="C202" s="29" t="s">
        <v>111</v>
      </c>
      <c r="D202" t="s">
        <v>37</v>
      </c>
      <c r="E202" s="21" t="s">
        <v>35</v>
      </c>
      <c r="F202" s="22">
        <v>0.77519379844961234</v>
      </c>
      <c r="G202" s="54">
        <v>1</v>
      </c>
      <c r="L202" s="54"/>
      <c r="Q202" s="56"/>
      <c r="R202" s="21" t="s">
        <v>108</v>
      </c>
      <c r="S202" s="21" t="s">
        <v>37</v>
      </c>
      <c r="T202" s="21" t="s">
        <v>35</v>
      </c>
      <c r="U202" s="22">
        <v>0.7407407407407407</v>
      </c>
      <c r="V202" s="54">
        <v>1</v>
      </c>
      <c r="AA202" s="54"/>
      <c r="AF202" s="56"/>
      <c r="AG202" s="22">
        <v>0</v>
      </c>
      <c r="AH202" t="s">
        <v>40</v>
      </c>
    </row>
    <row r="203" spans="1:34">
      <c r="A203" s="9" t="s">
        <v>303</v>
      </c>
      <c r="B203" s="7" t="s">
        <v>61</v>
      </c>
      <c r="C203" s="29" t="s">
        <v>111</v>
      </c>
      <c r="D203" t="s">
        <v>37</v>
      </c>
      <c r="E203" s="21" t="s">
        <v>35</v>
      </c>
      <c r="F203" s="22">
        <v>0.77519379844961234</v>
      </c>
      <c r="G203" s="54">
        <v>1</v>
      </c>
      <c r="L203" s="54"/>
      <c r="Q203" s="56"/>
      <c r="R203" s="21" t="s">
        <v>108</v>
      </c>
      <c r="S203" s="21" t="s">
        <v>37</v>
      </c>
      <c r="T203" s="21" t="s">
        <v>35</v>
      </c>
      <c r="U203" s="22">
        <v>0.7407407407407407</v>
      </c>
      <c r="V203" s="54">
        <v>1</v>
      </c>
      <c r="AA203" s="54"/>
      <c r="AF203" s="56"/>
      <c r="AG203" s="22">
        <v>0</v>
      </c>
      <c r="AH203" t="s">
        <v>40</v>
      </c>
    </row>
    <row r="204" spans="1:34">
      <c r="A204" s="9" t="s">
        <v>304</v>
      </c>
      <c r="B204" s="7" t="s">
        <v>61</v>
      </c>
      <c r="C204" s="29" t="s">
        <v>111</v>
      </c>
      <c r="D204" t="s">
        <v>37</v>
      </c>
      <c r="E204" s="21" t="s">
        <v>35</v>
      </c>
      <c r="F204" s="22">
        <v>0.77519379844961234</v>
      </c>
      <c r="G204" s="54">
        <v>1</v>
      </c>
      <c r="L204" s="54"/>
      <c r="Q204" s="56"/>
      <c r="R204" s="21" t="s">
        <v>108</v>
      </c>
      <c r="S204" s="21" t="s">
        <v>37</v>
      </c>
      <c r="T204" s="21" t="s">
        <v>35</v>
      </c>
      <c r="U204" s="22">
        <v>0.7407407407407407</v>
      </c>
      <c r="V204" s="54">
        <v>1</v>
      </c>
      <c r="AA204" s="54"/>
      <c r="AF204" s="56"/>
      <c r="AG204" s="22">
        <v>0</v>
      </c>
      <c r="AH204" t="s">
        <v>40</v>
      </c>
    </row>
    <row r="205" spans="1:34">
      <c r="A205" s="9" t="s">
        <v>305</v>
      </c>
      <c r="B205" s="7" t="s">
        <v>61</v>
      </c>
      <c r="C205" s="29" t="s">
        <v>78</v>
      </c>
      <c r="D205" t="s">
        <v>34</v>
      </c>
      <c r="E205" s="21" t="s">
        <v>79</v>
      </c>
      <c r="F205" s="22">
        <v>0.81300813008130079</v>
      </c>
      <c r="G205" s="54">
        <v>1</v>
      </c>
      <c r="L205" s="54"/>
      <c r="Q205" s="56"/>
      <c r="R205" s="21" t="s">
        <v>106</v>
      </c>
      <c r="S205" s="21" t="s">
        <v>37</v>
      </c>
      <c r="T205" s="21" t="s">
        <v>38</v>
      </c>
      <c r="U205" s="22">
        <v>0.9009009009009008</v>
      </c>
      <c r="V205" s="54">
        <v>0.66666666666666663</v>
      </c>
      <c r="W205" s="21" t="s">
        <v>108</v>
      </c>
      <c r="X205" s="21" t="s">
        <v>37</v>
      </c>
      <c r="Y205" s="21" t="s">
        <v>35</v>
      </c>
      <c r="Z205" s="22">
        <v>0.7407407407407407</v>
      </c>
      <c r="AA205" s="54">
        <v>0.33333333333333331</v>
      </c>
      <c r="AF205" s="56"/>
      <c r="AG205" s="22">
        <v>0</v>
      </c>
      <c r="AH205" t="s">
        <v>40</v>
      </c>
    </row>
    <row r="206" spans="1:34">
      <c r="A206" s="9" t="s">
        <v>306</v>
      </c>
      <c r="B206" s="7" t="s">
        <v>61</v>
      </c>
      <c r="C206" s="29" t="s">
        <v>78</v>
      </c>
      <c r="D206" t="s">
        <v>34</v>
      </c>
      <c r="E206" s="21" t="s">
        <v>79</v>
      </c>
      <c r="F206" s="22">
        <v>0.81300813008130079</v>
      </c>
      <c r="G206" s="54">
        <v>1</v>
      </c>
      <c r="L206" s="54"/>
      <c r="Q206" s="56"/>
      <c r="R206" s="21" t="s">
        <v>106</v>
      </c>
      <c r="S206" s="21" t="s">
        <v>37</v>
      </c>
      <c r="T206" s="21" t="s">
        <v>38</v>
      </c>
      <c r="U206" s="22">
        <v>0.9009009009009008</v>
      </c>
      <c r="V206" s="54">
        <v>1</v>
      </c>
      <c r="AA206" s="54"/>
      <c r="AF206" s="56"/>
      <c r="AG206" s="22">
        <v>0</v>
      </c>
      <c r="AH206" t="s">
        <v>40</v>
      </c>
    </row>
    <row r="207" spans="1:34">
      <c r="A207" s="9" t="s">
        <v>307</v>
      </c>
      <c r="B207" s="7" t="s">
        <v>61</v>
      </c>
      <c r="C207" s="29" t="s">
        <v>47</v>
      </c>
      <c r="D207" t="s">
        <v>37</v>
      </c>
      <c r="E207" s="21" t="s">
        <v>35</v>
      </c>
      <c r="F207" s="22">
        <v>0.92592592592592582</v>
      </c>
      <c r="G207" s="54">
        <v>1</v>
      </c>
      <c r="L207" s="54"/>
      <c r="Q207" s="56"/>
      <c r="R207" s="21" t="s">
        <v>108</v>
      </c>
      <c r="S207" s="21" t="s">
        <v>37</v>
      </c>
      <c r="T207" s="21" t="s">
        <v>35</v>
      </c>
      <c r="U207" s="22">
        <v>0.7407407407407407</v>
      </c>
      <c r="V207" s="54">
        <v>1</v>
      </c>
      <c r="AA207" s="54"/>
      <c r="AF207" s="56"/>
      <c r="AG207" s="22">
        <v>0</v>
      </c>
      <c r="AH207" t="s">
        <v>40</v>
      </c>
    </row>
    <row r="208" spans="1:34">
      <c r="A208" s="9" t="s">
        <v>308</v>
      </c>
      <c r="B208" s="7" t="s">
        <v>61</v>
      </c>
      <c r="C208" s="29" t="s">
        <v>47</v>
      </c>
      <c r="D208" t="s">
        <v>37</v>
      </c>
      <c r="E208" s="21" t="s">
        <v>35</v>
      </c>
      <c r="F208" s="22">
        <v>0.92592592592592582</v>
      </c>
      <c r="G208" s="54">
        <v>1</v>
      </c>
      <c r="L208" s="54"/>
      <c r="Q208" s="56"/>
      <c r="R208" s="21" t="s">
        <v>108</v>
      </c>
      <c r="S208" s="21" t="s">
        <v>37</v>
      </c>
      <c r="T208" s="21" t="s">
        <v>35</v>
      </c>
      <c r="U208" s="22">
        <v>0.7407407407407407</v>
      </c>
      <c r="V208" s="54">
        <v>1</v>
      </c>
      <c r="AA208" s="54"/>
      <c r="AF208" s="56"/>
      <c r="AG208" s="22">
        <v>0</v>
      </c>
      <c r="AH208" t="s">
        <v>40</v>
      </c>
    </row>
    <row r="209" spans="1:34">
      <c r="A209" s="9" t="s">
        <v>309</v>
      </c>
      <c r="B209" s="7" t="s">
        <v>61</v>
      </c>
      <c r="C209" s="29" t="s">
        <v>47</v>
      </c>
      <c r="D209" t="s">
        <v>37</v>
      </c>
      <c r="E209" s="21" t="s">
        <v>35</v>
      </c>
      <c r="F209" s="22">
        <v>0.92592592592592582</v>
      </c>
      <c r="G209" s="54">
        <v>1</v>
      </c>
      <c r="L209" s="54"/>
      <c r="Q209" s="56"/>
      <c r="R209" s="21" t="s">
        <v>108</v>
      </c>
      <c r="S209" s="21" t="s">
        <v>37</v>
      </c>
      <c r="T209" s="21" t="s">
        <v>35</v>
      </c>
      <c r="U209" s="22">
        <v>0.7407407407407407</v>
      </c>
      <c r="V209" s="54">
        <v>1</v>
      </c>
      <c r="AA209" s="54"/>
      <c r="AF209" s="56"/>
      <c r="AG209" s="22">
        <v>0</v>
      </c>
      <c r="AH209" t="s">
        <v>40</v>
      </c>
    </row>
    <row r="210" spans="1:34">
      <c r="A210" s="9" t="s">
        <v>310</v>
      </c>
      <c r="B210" s="7" t="s">
        <v>61</v>
      </c>
      <c r="C210" s="29" t="s">
        <v>47</v>
      </c>
      <c r="D210" t="s">
        <v>37</v>
      </c>
      <c r="E210" s="21" t="s">
        <v>35</v>
      </c>
      <c r="F210" s="22">
        <v>0.92592592592592582</v>
      </c>
      <c r="G210" s="54">
        <v>1</v>
      </c>
      <c r="L210" s="54"/>
      <c r="Q210" s="56"/>
      <c r="R210" s="21" t="s">
        <v>108</v>
      </c>
      <c r="S210" s="21" t="s">
        <v>37</v>
      </c>
      <c r="T210" s="21" t="s">
        <v>35</v>
      </c>
      <c r="U210" s="22">
        <v>0.7407407407407407</v>
      </c>
      <c r="V210" s="54">
        <v>0.66666666666666663</v>
      </c>
      <c r="W210" s="21" t="s">
        <v>39</v>
      </c>
      <c r="X210" s="21" t="s">
        <v>34</v>
      </c>
      <c r="Y210" s="21" t="s">
        <v>35</v>
      </c>
      <c r="Z210" s="22">
        <v>0.84745762711864414</v>
      </c>
      <c r="AA210" s="54">
        <v>0.33333333333333331</v>
      </c>
      <c r="AF210" s="56"/>
      <c r="AG210" s="22">
        <v>0</v>
      </c>
      <c r="AH210" t="s">
        <v>40</v>
      </c>
    </row>
    <row r="211" spans="1:34">
      <c r="A211" s="9" t="s">
        <v>311</v>
      </c>
      <c r="B211" s="7" t="s">
        <v>61</v>
      </c>
      <c r="C211" s="29" t="s">
        <v>47</v>
      </c>
      <c r="D211" t="s">
        <v>37</v>
      </c>
      <c r="E211" s="21" t="s">
        <v>35</v>
      </c>
      <c r="F211" s="22">
        <v>0.92592592592592582</v>
      </c>
      <c r="G211" s="54">
        <v>1</v>
      </c>
      <c r="L211" s="54"/>
      <c r="Q211" s="56"/>
      <c r="R211" s="21" t="s">
        <v>39</v>
      </c>
      <c r="S211" s="21" t="s">
        <v>34</v>
      </c>
      <c r="T211" s="21" t="s">
        <v>35</v>
      </c>
      <c r="U211" s="22">
        <v>0.84745762711864414</v>
      </c>
      <c r="V211" s="54">
        <v>1</v>
      </c>
      <c r="AA211" s="54"/>
      <c r="AF211" s="56"/>
      <c r="AG211" s="22">
        <v>0</v>
      </c>
      <c r="AH211" t="s">
        <v>40</v>
      </c>
    </row>
    <row r="212" spans="1:34" s="5" customFormat="1">
      <c r="A212" s="10" t="s">
        <v>312</v>
      </c>
      <c r="B212" s="11" t="s">
        <v>62</v>
      </c>
      <c r="C212" s="28" t="s">
        <v>313</v>
      </c>
      <c r="D212" s="5" t="s">
        <v>34</v>
      </c>
      <c r="E212" s="19" t="s">
        <v>286</v>
      </c>
      <c r="F212" s="20">
        <v>0.5</v>
      </c>
      <c r="G212" s="55">
        <v>1</v>
      </c>
      <c r="H212" s="19"/>
      <c r="I212" s="19"/>
      <c r="J212" s="19"/>
      <c r="K212" s="20"/>
      <c r="L212" s="55"/>
      <c r="M212" s="46"/>
      <c r="N212" s="19"/>
      <c r="O212" s="19"/>
      <c r="P212" s="20"/>
      <c r="Q212" s="57"/>
      <c r="R212" s="35" t="s">
        <v>129</v>
      </c>
      <c r="S212" s="19" t="s">
        <v>37</v>
      </c>
      <c r="T212" s="19" t="s">
        <v>38</v>
      </c>
      <c r="U212" s="20">
        <v>1</v>
      </c>
      <c r="V212" s="55">
        <v>1</v>
      </c>
      <c r="W212" s="19"/>
      <c r="X212" s="19"/>
      <c r="Y212" s="19"/>
      <c r="Z212" s="20"/>
      <c r="AA212" s="55"/>
      <c r="AB212" s="46"/>
      <c r="AC212" s="19"/>
      <c r="AD212" s="19"/>
      <c r="AE212" s="19"/>
      <c r="AF212" s="57"/>
      <c r="AG212" s="69">
        <v>0</v>
      </c>
      <c r="AH212" s="5" t="s">
        <v>40</v>
      </c>
    </row>
    <row r="213" spans="1:34">
      <c r="A213" s="9" t="s">
        <v>314</v>
      </c>
      <c r="B213" s="7" t="s">
        <v>62</v>
      </c>
      <c r="C213" s="29" t="s">
        <v>313</v>
      </c>
      <c r="D213" t="s">
        <v>34</v>
      </c>
      <c r="E213" s="21" t="s">
        <v>286</v>
      </c>
      <c r="F213" s="22">
        <v>0.5</v>
      </c>
      <c r="G213" s="54">
        <v>1</v>
      </c>
      <c r="L213" s="54"/>
      <c r="Q213" s="56"/>
      <c r="R213" s="21" t="s">
        <v>129</v>
      </c>
      <c r="S213" s="21" t="s">
        <v>37</v>
      </c>
      <c r="T213" s="21" t="s">
        <v>38</v>
      </c>
      <c r="U213" s="22">
        <v>1</v>
      </c>
      <c r="V213" s="54">
        <v>1</v>
      </c>
      <c r="AA213" s="54"/>
      <c r="AF213" s="56"/>
      <c r="AG213" s="22">
        <v>0</v>
      </c>
      <c r="AH213" t="s">
        <v>40</v>
      </c>
    </row>
    <row r="214" spans="1:34">
      <c r="A214" s="9" t="s">
        <v>315</v>
      </c>
      <c r="B214" s="7" t="s">
        <v>62</v>
      </c>
      <c r="C214" s="29" t="s">
        <v>313</v>
      </c>
      <c r="D214" t="s">
        <v>34</v>
      </c>
      <c r="E214" s="21" t="s">
        <v>286</v>
      </c>
      <c r="F214" s="22">
        <v>0.5</v>
      </c>
      <c r="G214" s="54">
        <v>1</v>
      </c>
      <c r="L214" s="54"/>
      <c r="Q214" s="56"/>
      <c r="R214" s="64" t="s">
        <v>129</v>
      </c>
      <c r="S214" s="21" t="s">
        <v>37</v>
      </c>
      <c r="T214" s="21" t="s">
        <v>38</v>
      </c>
      <c r="U214" s="22">
        <v>1</v>
      </c>
      <c r="V214" s="54">
        <v>1</v>
      </c>
      <c r="AA214" s="54"/>
      <c r="AF214" s="56"/>
      <c r="AG214" s="22">
        <v>0</v>
      </c>
      <c r="AH214" t="s">
        <v>40</v>
      </c>
    </row>
    <row r="215" spans="1:34">
      <c r="A215" s="9" t="s">
        <v>316</v>
      </c>
      <c r="B215" s="7" t="s">
        <v>62</v>
      </c>
      <c r="C215" s="29" t="s">
        <v>313</v>
      </c>
      <c r="D215" t="s">
        <v>34</v>
      </c>
      <c r="E215" s="21" t="s">
        <v>286</v>
      </c>
      <c r="F215" s="22">
        <v>0.5</v>
      </c>
      <c r="G215" s="54">
        <v>0.5</v>
      </c>
      <c r="H215" s="29" t="s">
        <v>317</v>
      </c>
      <c r="I215" t="s">
        <v>34</v>
      </c>
      <c r="J215" s="21" t="s">
        <v>286</v>
      </c>
      <c r="K215" s="22">
        <v>0.71942446043165476</v>
      </c>
      <c r="L215" s="54">
        <v>0.5</v>
      </c>
      <c r="Q215" s="56"/>
      <c r="R215" s="64" t="s">
        <v>129</v>
      </c>
      <c r="S215" s="21" t="s">
        <v>37</v>
      </c>
      <c r="T215" s="21" t="s">
        <v>38</v>
      </c>
      <c r="U215" s="22">
        <v>1</v>
      </c>
      <c r="V215" s="54">
        <v>1</v>
      </c>
      <c r="AA215" s="54"/>
      <c r="AF215" s="56"/>
      <c r="AG215" s="22">
        <v>0</v>
      </c>
      <c r="AH215" t="s">
        <v>40</v>
      </c>
    </row>
    <row r="216" spans="1:34">
      <c r="A216" s="9" t="s">
        <v>318</v>
      </c>
      <c r="B216" s="7" t="s">
        <v>62</v>
      </c>
      <c r="C216" s="29" t="s">
        <v>44</v>
      </c>
      <c r="D216" t="s">
        <v>34</v>
      </c>
      <c r="E216" s="21" t="s">
        <v>35</v>
      </c>
      <c r="F216" s="22">
        <v>0.81300813008130079</v>
      </c>
      <c r="G216" s="54">
        <v>1</v>
      </c>
      <c r="L216" s="54"/>
      <c r="Q216" s="56"/>
      <c r="R216" s="64" t="s">
        <v>45</v>
      </c>
      <c r="S216" s="21" t="s">
        <v>34</v>
      </c>
      <c r="T216" s="21" t="s">
        <v>35</v>
      </c>
      <c r="U216" s="22">
        <v>0.83333333333333337</v>
      </c>
      <c r="V216" s="54">
        <v>1</v>
      </c>
      <c r="AA216" s="54"/>
      <c r="AF216" s="56"/>
      <c r="AG216" s="22">
        <v>0</v>
      </c>
      <c r="AH216" t="s">
        <v>40</v>
      </c>
    </row>
    <row r="217" spans="1:34">
      <c r="A217" s="9" t="s">
        <v>319</v>
      </c>
      <c r="B217" s="7" t="s">
        <v>62</v>
      </c>
      <c r="C217" s="29" t="s">
        <v>44</v>
      </c>
      <c r="D217" t="s">
        <v>34</v>
      </c>
      <c r="E217" s="21" t="s">
        <v>35</v>
      </c>
      <c r="F217" s="22">
        <v>0.81300813008130079</v>
      </c>
      <c r="G217" s="54">
        <v>1</v>
      </c>
      <c r="L217" s="54"/>
      <c r="Q217" s="56"/>
      <c r="R217" s="64" t="s">
        <v>45</v>
      </c>
      <c r="S217" s="21" t="s">
        <v>34</v>
      </c>
      <c r="T217" s="21" t="s">
        <v>35</v>
      </c>
      <c r="U217" s="22">
        <v>0.83333333333333337</v>
      </c>
      <c r="V217" s="54">
        <v>1</v>
      </c>
      <c r="AA217" s="54"/>
      <c r="AF217" s="56"/>
      <c r="AG217" s="22">
        <v>0</v>
      </c>
      <c r="AH217" t="s">
        <v>40</v>
      </c>
    </row>
    <row r="218" spans="1:34">
      <c r="A218" s="9" t="s">
        <v>320</v>
      </c>
      <c r="B218" s="7" t="s">
        <v>62</v>
      </c>
      <c r="C218" s="29" t="s">
        <v>321</v>
      </c>
      <c r="D218" t="s">
        <v>34</v>
      </c>
      <c r="E218" s="21" t="s">
        <v>79</v>
      </c>
      <c r="F218" s="22">
        <v>0.7407407407407407</v>
      </c>
      <c r="G218" s="54">
        <v>1</v>
      </c>
      <c r="L218" s="54"/>
      <c r="Q218" s="56"/>
      <c r="R218" s="36" t="s">
        <v>129</v>
      </c>
      <c r="S218" s="21" t="s">
        <v>37</v>
      </c>
      <c r="T218" s="21" t="s">
        <v>38</v>
      </c>
      <c r="U218" s="22">
        <v>1</v>
      </c>
      <c r="V218" s="54">
        <v>1</v>
      </c>
      <c r="AA218" s="54"/>
      <c r="AF218" s="56"/>
      <c r="AG218" s="22">
        <v>0</v>
      </c>
      <c r="AH218" t="s">
        <v>40</v>
      </c>
    </row>
    <row r="219" spans="1:34">
      <c r="A219" s="9" t="s">
        <v>322</v>
      </c>
      <c r="B219" s="7" t="s">
        <v>62</v>
      </c>
      <c r="C219" s="29" t="s">
        <v>321</v>
      </c>
      <c r="D219" t="s">
        <v>34</v>
      </c>
      <c r="E219" s="21" t="s">
        <v>79</v>
      </c>
      <c r="F219" s="22">
        <v>0.7407407407407407</v>
      </c>
      <c r="G219" s="54">
        <v>1</v>
      </c>
      <c r="L219" s="54"/>
      <c r="Q219" s="56"/>
      <c r="R219" s="64" t="s">
        <v>129</v>
      </c>
      <c r="S219" s="21" t="s">
        <v>37</v>
      </c>
      <c r="T219" s="21" t="s">
        <v>38</v>
      </c>
      <c r="U219" s="22">
        <v>1</v>
      </c>
      <c r="V219" s="54">
        <v>1</v>
      </c>
      <c r="AA219" s="54"/>
      <c r="AF219" s="56"/>
      <c r="AG219" s="22">
        <v>0</v>
      </c>
      <c r="AH219" t="s">
        <v>40</v>
      </c>
    </row>
    <row r="220" spans="1:34">
      <c r="A220" s="9" t="s">
        <v>323</v>
      </c>
      <c r="B220" s="7" t="s">
        <v>62</v>
      </c>
      <c r="C220" s="29" t="s">
        <v>321</v>
      </c>
      <c r="D220" t="s">
        <v>34</v>
      </c>
      <c r="E220" s="21" t="s">
        <v>79</v>
      </c>
      <c r="F220" s="22">
        <v>0.7407407407407407</v>
      </c>
      <c r="G220" s="54">
        <v>1</v>
      </c>
      <c r="L220" s="54"/>
      <c r="Q220" s="56"/>
      <c r="R220" s="64" t="s">
        <v>129</v>
      </c>
      <c r="S220" s="21" t="s">
        <v>37</v>
      </c>
      <c r="T220" s="21" t="s">
        <v>38</v>
      </c>
      <c r="U220" s="22">
        <v>1</v>
      </c>
      <c r="V220" s="54">
        <v>1</v>
      </c>
      <c r="AA220" s="54"/>
      <c r="AF220" s="56"/>
      <c r="AG220" s="22">
        <v>0</v>
      </c>
      <c r="AH220" t="s">
        <v>40</v>
      </c>
    </row>
    <row r="221" spans="1:34">
      <c r="A221" s="9" t="s">
        <v>324</v>
      </c>
      <c r="B221" s="7" t="s">
        <v>62</v>
      </c>
      <c r="C221" s="29" t="s">
        <v>321</v>
      </c>
      <c r="D221" t="s">
        <v>34</v>
      </c>
      <c r="E221" s="21" t="s">
        <v>79</v>
      </c>
      <c r="F221" s="22">
        <v>0.7407407407407407</v>
      </c>
      <c r="G221" s="54">
        <v>1</v>
      </c>
      <c r="L221" s="54"/>
      <c r="Q221" s="56"/>
      <c r="R221" s="64" t="s">
        <v>129</v>
      </c>
      <c r="S221" s="21" t="s">
        <v>37</v>
      </c>
      <c r="T221" s="21" t="s">
        <v>38</v>
      </c>
      <c r="U221" s="22">
        <v>1</v>
      </c>
      <c r="V221" s="54">
        <v>1</v>
      </c>
      <c r="AA221" s="54"/>
      <c r="AF221" s="56"/>
      <c r="AG221" s="22">
        <v>0</v>
      </c>
      <c r="AH221" t="s">
        <v>40</v>
      </c>
    </row>
    <row r="222" spans="1:34">
      <c r="A222" s="9" t="s">
        <v>325</v>
      </c>
      <c r="B222" s="7" t="s">
        <v>62</v>
      </c>
      <c r="C222" s="29" t="s">
        <v>44</v>
      </c>
      <c r="D222" t="s">
        <v>34</v>
      </c>
      <c r="E222" s="21" t="s">
        <v>35</v>
      </c>
      <c r="F222" s="22">
        <v>0.81300813008130079</v>
      </c>
      <c r="G222" s="54">
        <v>1</v>
      </c>
      <c r="L222" s="54"/>
      <c r="Q222" s="56"/>
      <c r="R222" s="64" t="s">
        <v>45</v>
      </c>
      <c r="S222" s="21" t="s">
        <v>34</v>
      </c>
      <c r="T222" s="21" t="s">
        <v>35</v>
      </c>
      <c r="U222" s="22">
        <v>0.83333333333333337</v>
      </c>
      <c r="V222" s="54">
        <v>1</v>
      </c>
      <c r="AA222" s="54"/>
      <c r="AF222" s="56"/>
      <c r="AG222" s="70">
        <v>0</v>
      </c>
      <c r="AH222" t="s">
        <v>40</v>
      </c>
    </row>
    <row r="223" spans="1:34">
      <c r="A223" s="9" t="s">
        <v>326</v>
      </c>
      <c r="B223" s="7" t="s">
        <v>62</v>
      </c>
      <c r="C223" s="29" t="s">
        <v>44</v>
      </c>
      <c r="D223" t="s">
        <v>34</v>
      </c>
      <c r="E223" s="21" t="s">
        <v>35</v>
      </c>
      <c r="F223" s="22">
        <v>0.81300813008130079</v>
      </c>
      <c r="G223" s="54">
        <v>1</v>
      </c>
      <c r="L223" s="54"/>
      <c r="Q223" s="56"/>
      <c r="R223" s="64" t="s">
        <v>45</v>
      </c>
      <c r="S223" s="21" t="s">
        <v>34</v>
      </c>
      <c r="T223" s="21" t="s">
        <v>35</v>
      </c>
      <c r="U223" s="22">
        <v>0.83333333333333337</v>
      </c>
      <c r="V223" s="54">
        <v>1</v>
      </c>
      <c r="AA223" s="54"/>
      <c r="AF223" s="56"/>
      <c r="AG223" s="22">
        <v>0</v>
      </c>
      <c r="AH223" t="s">
        <v>40</v>
      </c>
    </row>
    <row r="224" spans="1:34">
      <c r="A224" s="9" t="s">
        <v>327</v>
      </c>
      <c r="B224" s="7" t="s">
        <v>62</v>
      </c>
      <c r="C224" s="29" t="s">
        <v>321</v>
      </c>
      <c r="D224" t="s">
        <v>34</v>
      </c>
      <c r="E224" s="21" t="s">
        <v>79</v>
      </c>
      <c r="F224" s="22">
        <v>0.7407407407407407</v>
      </c>
      <c r="G224" s="54">
        <v>1</v>
      </c>
      <c r="L224" s="54"/>
      <c r="Q224" s="56"/>
      <c r="R224" s="36" t="s">
        <v>129</v>
      </c>
      <c r="S224" s="21" t="s">
        <v>37</v>
      </c>
      <c r="T224" s="21" t="s">
        <v>38</v>
      </c>
      <c r="U224" s="22">
        <v>1</v>
      </c>
      <c r="V224" s="54">
        <v>1</v>
      </c>
      <c r="AA224" s="54"/>
      <c r="AF224" s="56"/>
      <c r="AG224" s="22">
        <v>0</v>
      </c>
      <c r="AH224" t="s">
        <v>40</v>
      </c>
    </row>
    <row r="225" spans="1:34">
      <c r="A225" s="9" t="s">
        <v>328</v>
      </c>
      <c r="B225" s="7" t="s">
        <v>62</v>
      </c>
      <c r="C225" s="29" t="s">
        <v>321</v>
      </c>
      <c r="D225" t="s">
        <v>34</v>
      </c>
      <c r="E225" s="21" t="s">
        <v>79</v>
      </c>
      <c r="F225" s="22">
        <v>0.7407407407407407</v>
      </c>
      <c r="G225" s="54">
        <v>1</v>
      </c>
      <c r="L225" s="54"/>
      <c r="Q225" s="56"/>
      <c r="R225" s="64" t="s">
        <v>129</v>
      </c>
      <c r="S225" s="21" t="s">
        <v>37</v>
      </c>
      <c r="T225" s="21" t="s">
        <v>38</v>
      </c>
      <c r="U225" s="22">
        <v>1</v>
      </c>
      <c r="V225" s="54">
        <v>1</v>
      </c>
      <c r="AA225" s="54"/>
      <c r="AF225" s="56"/>
      <c r="AG225" s="22">
        <v>0</v>
      </c>
      <c r="AH225" t="s">
        <v>40</v>
      </c>
    </row>
    <row r="226" spans="1:34">
      <c r="A226" s="9" t="s">
        <v>329</v>
      </c>
      <c r="B226" s="7" t="s">
        <v>62</v>
      </c>
      <c r="C226" s="29" t="s">
        <v>321</v>
      </c>
      <c r="D226" t="s">
        <v>34</v>
      </c>
      <c r="E226" s="21" t="s">
        <v>79</v>
      </c>
      <c r="F226" s="22">
        <v>0.7407407407407407</v>
      </c>
      <c r="G226" s="54">
        <v>1</v>
      </c>
      <c r="L226" s="54"/>
      <c r="Q226" s="56"/>
      <c r="R226" s="64" t="s">
        <v>129</v>
      </c>
      <c r="S226" s="21" t="s">
        <v>37</v>
      </c>
      <c r="T226" s="21" t="s">
        <v>38</v>
      </c>
      <c r="U226" s="22">
        <v>1</v>
      </c>
      <c r="V226" s="54">
        <v>1</v>
      </c>
      <c r="AA226" s="54"/>
      <c r="AF226" s="56"/>
      <c r="AG226" s="22">
        <v>0</v>
      </c>
      <c r="AH226" t="s">
        <v>40</v>
      </c>
    </row>
    <row r="227" spans="1:34">
      <c r="A227" s="9" t="s">
        <v>330</v>
      </c>
      <c r="B227" s="7" t="s">
        <v>62</v>
      </c>
      <c r="C227" s="29" t="s">
        <v>321</v>
      </c>
      <c r="D227" t="s">
        <v>34</v>
      </c>
      <c r="E227" s="21" t="s">
        <v>79</v>
      </c>
      <c r="F227" s="22">
        <v>0.7407407407407407</v>
      </c>
      <c r="G227" s="54">
        <v>1</v>
      </c>
      <c r="L227" s="54"/>
      <c r="Q227" s="56"/>
      <c r="R227" s="64" t="s">
        <v>129</v>
      </c>
      <c r="S227" s="21" t="s">
        <v>37</v>
      </c>
      <c r="T227" s="21" t="s">
        <v>38</v>
      </c>
      <c r="U227" s="22">
        <v>1</v>
      </c>
      <c r="V227" s="54">
        <v>1</v>
      </c>
      <c r="AA227" s="54"/>
      <c r="AF227" s="56"/>
      <c r="AG227" s="22">
        <v>0</v>
      </c>
      <c r="AH227" t="s">
        <v>40</v>
      </c>
    </row>
    <row r="228" spans="1:34">
      <c r="A228" s="9" t="s">
        <v>331</v>
      </c>
      <c r="B228" s="7" t="s">
        <v>62</v>
      </c>
      <c r="C228" s="29" t="s">
        <v>44</v>
      </c>
      <c r="D228" t="s">
        <v>34</v>
      </c>
      <c r="E228" s="21" t="s">
        <v>35</v>
      </c>
      <c r="F228" s="22">
        <v>0.81300813008130079</v>
      </c>
      <c r="G228" s="54">
        <v>1</v>
      </c>
      <c r="L228" s="54"/>
      <c r="Q228" s="56"/>
      <c r="R228" s="64" t="s">
        <v>45</v>
      </c>
      <c r="S228" s="21" t="s">
        <v>34</v>
      </c>
      <c r="T228" s="21" t="s">
        <v>35</v>
      </c>
      <c r="U228" s="22">
        <v>0.83333333333333337</v>
      </c>
      <c r="V228" s="54">
        <v>1</v>
      </c>
      <c r="AA228" s="54"/>
      <c r="AF228" s="56"/>
      <c r="AG228" s="22">
        <v>0</v>
      </c>
      <c r="AH228" t="s">
        <v>40</v>
      </c>
    </row>
    <row r="229" spans="1:34">
      <c r="A229" s="9" t="s">
        <v>332</v>
      </c>
      <c r="B229" s="7" t="s">
        <v>62</v>
      </c>
      <c r="C229" s="29" t="s">
        <v>44</v>
      </c>
      <c r="D229" t="s">
        <v>34</v>
      </c>
      <c r="E229" s="21" t="s">
        <v>35</v>
      </c>
      <c r="F229" s="22">
        <v>0.81300813008130079</v>
      </c>
      <c r="G229" s="54">
        <v>1</v>
      </c>
      <c r="L229" s="54"/>
      <c r="Q229" s="56"/>
      <c r="R229" s="21" t="s">
        <v>45</v>
      </c>
      <c r="S229" s="21" t="s">
        <v>34</v>
      </c>
      <c r="T229" s="21" t="s">
        <v>35</v>
      </c>
      <c r="U229" s="22">
        <v>0.83333333333333337</v>
      </c>
      <c r="V229" s="54">
        <v>1</v>
      </c>
      <c r="AA229" s="54"/>
      <c r="AF229" s="56"/>
      <c r="AG229" s="22">
        <v>0</v>
      </c>
      <c r="AH229" t="s">
        <v>40</v>
      </c>
    </row>
    <row r="230" spans="1:34" s="5" customFormat="1">
      <c r="A230" s="10" t="s">
        <v>333</v>
      </c>
      <c r="B230" s="11" t="s">
        <v>63</v>
      </c>
      <c r="C230" s="28" t="s">
        <v>148</v>
      </c>
      <c r="D230" s="5" t="s">
        <v>37</v>
      </c>
      <c r="E230" s="19" t="s">
        <v>35</v>
      </c>
      <c r="F230" s="20">
        <v>0.86206896551724144</v>
      </c>
      <c r="G230" s="55">
        <v>1</v>
      </c>
      <c r="H230" s="19"/>
      <c r="I230" s="19"/>
      <c r="J230" s="19"/>
      <c r="K230" s="20"/>
      <c r="L230" s="55"/>
      <c r="M230" s="46"/>
      <c r="N230" s="19"/>
      <c r="O230" s="19"/>
      <c r="P230" s="20"/>
      <c r="Q230" s="57"/>
      <c r="R230" s="35" t="s">
        <v>334</v>
      </c>
      <c r="S230" s="19" t="s">
        <v>37</v>
      </c>
      <c r="T230" s="19" t="s">
        <v>35</v>
      </c>
      <c r="U230" s="20">
        <v>0.64935064935064934</v>
      </c>
      <c r="V230" s="55">
        <v>1</v>
      </c>
      <c r="W230" s="19"/>
      <c r="X230" s="19"/>
      <c r="Y230" s="19"/>
      <c r="Z230" s="20"/>
      <c r="AA230" s="55"/>
      <c r="AB230" s="46"/>
      <c r="AC230" s="19"/>
      <c r="AD230" s="19"/>
      <c r="AE230" s="19"/>
      <c r="AF230" s="57"/>
      <c r="AG230" s="69">
        <v>0</v>
      </c>
      <c r="AH230" s="5" t="s">
        <v>40</v>
      </c>
    </row>
    <row r="231" spans="1:34">
      <c r="A231" s="9" t="s">
        <v>335</v>
      </c>
      <c r="B231" s="7" t="s">
        <v>63</v>
      </c>
      <c r="C231" s="29" t="s">
        <v>148</v>
      </c>
      <c r="D231" t="s">
        <v>37</v>
      </c>
      <c r="E231" s="21" t="s">
        <v>35</v>
      </c>
      <c r="F231" s="22">
        <v>0.86206896551724144</v>
      </c>
      <c r="G231" s="54">
        <v>1</v>
      </c>
      <c r="L231" s="54"/>
      <c r="Q231" s="56"/>
      <c r="R231" s="21" t="s">
        <v>334</v>
      </c>
      <c r="S231" s="21" t="s">
        <v>37</v>
      </c>
      <c r="T231" s="21" t="s">
        <v>35</v>
      </c>
      <c r="U231" s="22">
        <v>0.64935064935064934</v>
      </c>
      <c r="V231" s="54">
        <v>1</v>
      </c>
      <c r="AA231" s="54"/>
      <c r="AF231" s="56"/>
      <c r="AG231" s="22">
        <v>0</v>
      </c>
      <c r="AH231" t="s">
        <v>40</v>
      </c>
    </row>
    <row r="232" spans="1:34">
      <c r="A232" s="9" t="s">
        <v>336</v>
      </c>
      <c r="B232" s="7" t="s">
        <v>63</v>
      </c>
      <c r="C232" s="29" t="s">
        <v>148</v>
      </c>
      <c r="D232" t="s">
        <v>37</v>
      </c>
      <c r="E232" s="21" t="s">
        <v>35</v>
      </c>
      <c r="F232" s="22">
        <v>0.86206896551724144</v>
      </c>
      <c r="G232" s="54">
        <v>1</v>
      </c>
      <c r="L232" s="54"/>
      <c r="Q232" s="56"/>
      <c r="R232" s="64" t="s">
        <v>334</v>
      </c>
      <c r="S232" s="21" t="s">
        <v>37</v>
      </c>
      <c r="T232" s="21" t="s">
        <v>35</v>
      </c>
      <c r="U232" s="22">
        <v>0.64935064935064934</v>
      </c>
      <c r="V232" s="54">
        <v>1</v>
      </c>
      <c r="AA232" s="54"/>
      <c r="AF232" s="56"/>
      <c r="AG232" s="22">
        <v>0</v>
      </c>
      <c r="AH232" t="s">
        <v>40</v>
      </c>
    </row>
    <row r="233" spans="1:34">
      <c r="A233" s="9" t="s">
        <v>337</v>
      </c>
      <c r="B233" s="7" t="s">
        <v>63</v>
      </c>
      <c r="C233" s="29" t="s">
        <v>148</v>
      </c>
      <c r="D233" t="s">
        <v>37</v>
      </c>
      <c r="E233" s="21" t="s">
        <v>35</v>
      </c>
      <c r="F233" s="22">
        <v>0.86206896551724144</v>
      </c>
      <c r="G233" s="54">
        <v>1</v>
      </c>
      <c r="L233" s="54"/>
      <c r="Q233" s="56"/>
      <c r="R233" s="64" t="s">
        <v>334</v>
      </c>
      <c r="S233" s="21" t="s">
        <v>37</v>
      </c>
      <c r="T233" s="21" t="s">
        <v>35</v>
      </c>
      <c r="U233" s="22">
        <v>0.64935064935064934</v>
      </c>
      <c r="V233" s="54">
        <v>1</v>
      </c>
      <c r="AA233" s="54"/>
      <c r="AF233" s="56"/>
      <c r="AG233" s="22">
        <v>0</v>
      </c>
      <c r="AH233" t="s">
        <v>40</v>
      </c>
    </row>
    <row r="234" spans="1:34">
      <c r="A234" s="9" t="s">
        <v>338</v>
      </c>
      <c r="B234" s="7" t="s">
        <v>63</v>
      </c>
      <c r="C234" s="29" t="s">
        <v>148</v>
      </c>
      <c r="D234" t="s">
        <v>37</v>
      </c>
      <c r="E234" s="21" t="s">
        <v>35</v>
      </c>
      <c r="F234" s="22">
        <v>0.86206896551724144</v>
      </c>
      <c r="G234" s="54">
        <v>1</v>
      </c>
      <c r="L234" s="54"/>
      <c r="Q234" s="56"/>
      <c r="R234" s="21" t="s">
        <v>334</v>
      </c>
      <c r="S234" s="21" t="s">
        <v>37</v>
      </c>
      <c r="T234" s="21" t="s">
        <v>35</v>
      </c>
      <c r="U234" s="22">
        <v>0.64935064935064934</v>
      </c>
      <c r="V234" s="54">
        <v>1</v>
      </c>
      <c r="AA234" s="54"/>
      <c r="AF234" s="56"/>
      <c r="AG234" s="22">
        <v>0</v>
      </c>
      <c r="AH234" t="s">
        <v>40</v>
      </c>
    </row>
    <row r="235" spans="1:34">
      <c r="A235" s="9" t="s">
        <v>339</v>
      </c>
      <c r="B235" s="7" t="s">
        <v>63</v>
      </c>
      <c r="C235" s="29" t="s">
        <v>148</v>
      </c>
      <c r="D235" t="s">
        <v>37</v>
      </c>
      <c r="E235" s="21" t="s">
        <v>35</v>
      </c>
      <c r="F235" s="22">
        <v>0.86206896551724144</v>
      </c>
      <c r="G235" s="54">
        <v>1</v>
      </c>
      <c r="L235" s="54"/>
      <c r="Q235" s="56"/>
      <c r="R235" s="21" t="s">
        <v>334</v>
      </c>
      <c r="S235" s="21" t="s">
        <v>37</v>
      </c>
      <c r="T235" s="21" t="s">
        <v>35</v>
      </c>
      <c r="U235" s="22">
        <v>0.64935064935064934</v>
      </c>
      <c r="V235" s="54">
        <v>1</v>
      </c>
      <c r="AA235" s="54"/>
      <c r="AF235" s="56"/>
      <c r="AG235" s="22">
        <v>0</v>
      </c>
      <c r="AH235" t="s">
        <v>40</v>
      </c>
    </row>
    <row r="236" spans="1:34">
      <c r="A236" s="9" t="s">
        <v>340</v>
      </c>
      <c r="B236" s="7" t="s">
        <v>63</v>
      </c>
      <c r="C236" s="29" t="s">
        <v>148</v>
      </c>
      <c r="D236" t="s">
        <v>37</v>
      </c>
      <c r="E236" s="21" t="s">
        <v>35</v>
      </c>
      <c r="F236" s="22">
        <v>0.86206896551724144</v>
      </c>
      <c r="G236" s="54">
        <v>1</v>
      </c>
      <c r="L236" s="54"/>
      <c r="Q236" s="56"/>
      <c r="R236" s="21" t="s">
        <v>334</v>
      </c>
      <c r="S236" s="21" t="s">
        <v>37</v>
      </c>
      <c r="T236" s="21" t="s">
        <v>35</v>
      </c>
      <c r="U236" s="22">
        <v>0.64935064935064934</v>
      </c>
      <c r="V236" s="54">
        <v>1</v>
      </c>
      <c r="AA236" s="54"/>
      <c r="AF236" s="56"/>
      <c r="AG236" s="22">
        <v>0</v>
      </c>
      <c r="AH236" t="s">
        <v>40</v>
      </c>
    </row>
    <row r="237" spans="1:34">
      <c r="A237" s="9" t="s">
        <v>341</v>
      </c>
      <c r="B237" s="7" t="s">
        <v>63</v>
      </c>
      <c r="C237" s="29" t="s">
        <v>148</v>
      </c>
      <c r="D237" t="s">
        <v>37</v>
      </c>
      <c r="E237" s="21" t="s">
        <v>35</v>
      </c>
      <c r="F237" s="22">
        <v>0.86206896551724144</v>
      </c>
      <c r="G237" s="54">
        <v>1</v>
      </c>
      <c r="L237" s="54"/>
      <c r="Q237" s="56"/>
      <c r="R237" s="21" t="s">
        <v>334</v>
      </c>
      <c r="S237" s="21" t="s">
        <v>37</v>
      </c>
      <c r="T237" s="21" t="s">
        <v>35</v>
      </c>
      <c r="U237" s="22">
        <v>0.64935064935064934</v>
      </c>
      <c r="V237" s="54">
        <v>1</v>
      </c>
      <c r="AA237" s="54"/>
      <c r="AF237" s="56"/>
      <c r="AG237" s="22">
        <v>0</v>
      </c>
      <c r="AH237" t="s">
        <v>40</v>
      </c>
    </row>
    <row r="238" spans="1:34">
      <c r="A238" s="9" t="s">
        <v>342</v>
      </c>
      <c r="B238" s="7" t="s">
        <v>63</v>
      </c>
      <c r="C238" s="29" t="s">
        <v>148</v>
      </c>
      <c r="D238" t="s">
        <v>37</v>
      </c>
      <c r="E238" s="21" t="s">
        <v>35</v>
      </c>
      <c r="F238" s="22">
        <v>0.86206896551724144</v>
      </c>
      <c r="G238" s="54">
        <v>1</v>
      </c>
      <c r="L238" s="54"/>
      <c r="Q238" s="56"/>
      <c r="R238" s="21" t="s">
        <v>334</v>
      </c>
      <c r="S238" s="21" t="s">
        <v>37</v>
      </c>
      <c r="T238" s="21" t="s">
        <v>35</v>
      </c>
      <c r="U238" s="22">
        <v>0.64935064935064934</v>
      </c>
      <c r="V238" s="54">
        <v>1</v>
      </c>
      <c r="AA238" s="54"/>
      <c r="AF238" s="56"/>
      <c r="AG238" s="22">
        <v>0</v>
      </c>
      <c r="AH238" t="s">
        <v>40</v>
      </c>
    </row>
    <row r="239" spans="1:34">
      <c r="A239" s="9" t="s">
        <v>343</v>
      </c>
      <c r="B239" s="7" t="s">
        <v>63</v>
      </c>
      <c r="C239" s="29" t="s">
        <v>148</v>
      </c>
      <c r="D239" t="s">
        <v>37</v>
      </c>
      <c r="E239" s="21" t="s">
        <v>35</v>
      </c>
      <c r="F239" s="22">
        <v>0.86206896551724144</v>
      </c>
      <c r="G239" s="54">
        <v>1</v>
      </c>
      <c r="L239" s="54"/>
      <c r="Q239" s="56"/>
      <c r="R239" s="21" t="s">
        <v>334</v>
      </c>
      <c r="S239" s="21" t="s">
        <v>37</v>
      </c>
      <c r="T239" s="21" t="s">
        <v>35</v>
      </c>
      <c r="U239" s="22">
        <v>0.64935064935064934</v>
      </c>
      <c r="V239" s="54">
        <v>1</v>
      </c>
      <c r="AA239" s="54"/>
      <c r="AF239" s="56"/>
      <c r="AG239" s="68">
        <v>0</v>
      </c>
      <c r="AH239" t="s">
        <v>40</v>
      </c>
    </row>
    <row r="240" spans="1:34" s="5" customFormat="1">
      <c r="A240" s="10" t="s">
        <v>344</v>
      </c>
      <c r="B240" s="11" t="s">
        <v>64</v>
      </c>
      <c r="C240" s="28" t="s">
        <v>78</v>
      </c>
      <c r="D240" s="5" t="s">
        <v>34</v>
      </c>
      <c r="E240" s="19" t="s">
        <v>79</v>
      </c>
      <c r="F240" s="20">
        <v>0.81300813008130079</v>
      </c>
      <c r="G240" s="55">
        <v>1</v>
      </c>
      <c r="H240" s="19"/>
      <c r="I240" s="19"/>
      <c r="J240" s="19"/>
      <c r="K240" s="20"/>
      <c r="L240" s="55"/>
      <c r="M240" s="46"/>
      <c r="N240" s="19"/>
      <c r="O240" s="19"/>
      <c r="P240" s="20"/>
      <c r="Q240" s="57"/>
      <c r="R240" s="63" t="s">
        <v>78</v>
      </c>
      <c r="S240" s="19" t="s">
        <v>34</v>
      </c>
      <c r="T240" s="19" t="s">
        <v>79</v>
      </c>
      <c r="U240" s="20">
        <v>0.61728395061728392</v>
      </c>
      <c r="V240" s="55">
        <v>1</v>
      </c>
      <c r="W240" s="19"/>
      <c r="X240" s="19"/>
      <c r="Y240" s="19"/>
      <c r="Z240" s="20"/>
      <c r="AA240" s="55"/>
      <c r="AB240" s="46"/>
      <c r="AC240" s="19"/>
      <c r="AD240" s="19"/>
      <c r="AE240" s="19"/>
      <c r="AF240" s="57"/>
      <c r="AG240" s="22">
        <v>0</v>
      </c>
      <c r="AH240" s="5" t="s">
        <v>40</v>
      </c>
    </row>
    <row r="241" spans="1:34">
      <c r="A241" s="9" t="s">
        <v>345</v>
      </c>
      <c r="B241" s="7" t="s">
        <v>64</v>
      </c>
      <c r="C241" s="29" t="s">
        <v>78</v>
      </c>
      <c r="D241" t="s">
        <v>34</v>
      </c>
      <c r="E241" s="21" t="s">
        <v>79</v>
      </c>
      <c r="F241" s="22">
        <v>0.81300813008130079</v>
      </c>
      <c r="G241" s="54">
        <v>1</v>
      </c>
      <c r="L241" s="54"/>
      <c r="Q241" s="56"/>
      <c r="R241" s="64" t="s">
        <v>78</v>
      </c>
      <c r="S241" s="21" t="s">
        <v>34</v>
      </c>
      <c r="T241" s="21" t="s">
        <v>79</v>
      </c>
      <c r="U241" s="22">
        <v>0.61728395061728392</v>
      </c>
      <c r="V241" s="54">
        <v>1</v>
      </c>
      <c r="AA241" s="54"/>
      <c r="AF241" s="56"/>
      <c r="AG241" s="22">
        <v>0</v>
      </c>
      <c r="AH241" t="s">
        <v>40</v>
      </c>
    </row>
    <row r="242" spans="1:34">
      <c r="A242" s="9" t="s">
        <v>346</v>
      </c>
      <c r="B242" s="7" t="s">
        <v>64</v>
      </c>
      <c r="C242" s="29" t="s">
        <v>78</v>
      </c>
      <c r="D242" t="s">
        <v>34</v>
      </c>
      <c r="E242" s="21" t="s">
        <v>79</v>
      </c>
      <c r="F242" s="22">
        <v>0.81300813008130079</v>
      </c>
      <c r="G242" s="54">
        <v>1</v>
      </c>
      <c r="L242" s="54"/>
      <c r="Q242" s="56"/>
      <c r="R242" s="64" t="s">
        <v>78</v>
      </c>
      <c r="S242" s="21" t="s">
        <v>34</v>
      </c>
      <c r="T242" s="21" t="s">
        <v>79</v>
      </c>
      <c r="U242" s="22">
        <v>0.61728395061728392</v>
      </c>
      <c r="V242" s="54">
        <v>1</v>
      </c>
      <c r="AA242" s="54"/>
      <c r="AF242" s="56"/>
      <c r="AG242" s="22">
        <v>0</v>
      </c>
      <c r="AH242" t="s">
        <v>40</v>
      </c>
    </row>
    <row r="243" spans="1:34">
      <c r="A243" s="9" t="s">
        <v>347</v>
      </c>
      <c r="B243" s="7" t="s">
        <v>64</v>
      </c>
      <c r="C243" s="29" t="s">
        <v>78</v>
      </c>
      <c r="D243" t="s">
        <v>34</v>
      </c>
      <c r="E243" s="21" t="s">
        <v>79</v>
      </c>
      <c r="F243" s="22">
        <v>0.81300813008130079</v>
      </c>
      <c r="G243" s="54">
        <v>1</v>
      </c>
      <c r="L243" s="54"/>
      <c r="Q243" s="56"/>
      <c r="R243" s="21" t="s">
        <v>78</v>
      </c>
      <c r="S243" s="21" t="s">
        <v>34</v>
      </c>
      <c r="T243" s="21" t="s">
        <v>79</v>
      </c>
      <c r="U243" s="22">
        <v>0.61728395061728392</v>
      </c>
      <c r="V243" s="54">
        <v>1</v>
      </c>
      <c r="AA243" s="54"/>
      <c r="AF243" s="56"/>
      <c r="AG243" s="22">
        <v>0</v>
      </c>
      <c r="AH243" t="s">
        <v>40</v>
      </c>
    </row>
    <row r="244" spans="1:34">
      <c r="A244" s="9" t="s">
        <v>348</v>
      </c>
      <c r="B244" s="7" t="s">
        <v>64</v>
      </c>
      <c r="C244" s="29" t="s">
        <v>78</v>
      </c>
      <c r="D244" t="s">
        <v>34</v>
      </c>
      <c r="E244" s="21" t="s">
        <v>79</v>
      </c>
      <c r="F244" s="22">
        <v>0.81300813008130079</v>
      </c>
      <c r="G244" s="54">
        <v>1</v>
      </c>
      <c r="L244" s="54"/>
      <c r="Q244" s="56"/>
      <c r="R244" s="21" t="s">
        <v>78</v>
      </c>
      <c r="S244" s="21" t="s">
        <v>34</v>
      </c>
      <c r="T244" s="21" t="s">
        <v>79</v>
      </c>
      <c r="U244" s="22">
        <v>0.61728395061728392</v>
      </c>
      <c r="V244" s="54">
        <v>1</v>
      </c>
      <c r="AA244" s="54"/>
      <c r="AF244" s="56"/>
      <c r="AG244" s="22">
        <v>0</v>
      </c>
      <c r="AH244" t="s">
        <v>40</v>
      </c>
    </row>
    <row r="245" spans="1:34">
      <c r="A245" s="9" t="s">
        <v>349</v>
      </c>
      <c r="B245" s="7" t="s">
        <v>64</v>
      </c>
      <c r="C245" s="29" t="s">
        <v>78</v>
      </c>
      <c r="D245" t="s">
        <v>34</v>
      </c>
      <c r="E245" s="21" t="s">
        <v>79</v>
      </c>
      <c r="F245" s="22">
        <v>0.81300813008130079</v>
      </c>
      <c r="G245" s="54">
        <v>1</v>
      </c>
      <c r="L245" s="54"/>
      <c r="Q245" s="56"/>
      <c r="R245" s="21" t="s">
        <v>78</v>
      </c>
      <c r="S245" s="21" t="s">
        <v>34</v>
      </c>
      <c r="T245" s="21" t="s">
        <v>79</v>
      </c>
      <c r="U245" s="22">
        <v>0.61728395061728392</v>
      </c>
      <c r="V245" s="54">
        <v>1</v>
      </c>
      <c r="AA245" s="54"/>
      <c r="AF245" s="56"/>
      <c r="AG245" s="22">
        <v>0</v>
      </c>
      <c r="AH245" t="s">
        <v>40</v>
      </c>
    </row>
    <row r="246" spans="1:34">
      <c r="A246" s="9" t="s">
        <v>350</v>
      </c>
      <c r="B246" s="7" t="s">
        <v>64</v>
      </c>
      <c r="C246" s="29" t="s">
        <v>78</v>
      </c>
      <c r="D246" t="s">
        <v>34</v>
      </c>
      <c r="E246" s="21" t="s">
        <v>79</v>
      </c>
      <c r="F246" s="22">
        <v>0.81300813008130079</v>
      </c>
      <c r="G246" s="54">
        <v>1</v>
      </c>
      <c r="L246" s="54"/>
      <c r="Q246" s="56"/>
      <c r="R246" s="21" t="s">
        <v>78</v>
      </c>
      <c r="S246" s="21" t="s">
        <v>34</v>
      </c>
      <c r="T246" s="21" t="s">
        <v>79</v>
      </c>
      <c r="U246" s="22">
        <v>0.61728395061728392</v>
      </c>
      <c r="V246" s="54">
        <v>1</v>
      </c>
      <c r="AA246" s="54"/>
      <c r="AF246" s="56"/>
      <c r="AG246" s="22">
        <v>0</v>
      </c>
      <c r="AH246" t="s">
        <v>40</v>
      </c>
    </row>
    <row r="247" spans="1:34">
      <c r="A247" s="9" t="s">
        <v>351</v>
      </c>
      <c r="B247" s="7" t="s">
        <v>64</v>
      </c>
      <c r="C247" s="29" t="s">
        <v>78</v>
      </c>
      <c r="D247" t="s">
        <v>34</v>
      </c>
      <c r="E247" s="21" t="s">
        <v>79</v>
      </c>
      <c r="F247" s="22">
        <v>0.81300813008130079</v>
      </c>
      <c r="G247" s="54">
        <v>1</v>
      </c>
      <c r="L247" s="54"/>
      <c r="Q247" s="56"/>
      <c r="R247" s="21" t="s">
        <v>78</v>
      </c>
      <c r="S247" s="21" t="s">
        <v>34</v>
      </c>
      <c r="T247" s="21" t="s">
        <v>79</v>
      </c>
      <c r="U247" s="22">
        <v>0.61728395061728392</v>
      </c>
      <c r="V247" s="54">
        <v>1</v>
      </c>
      <c r="AA247" s="54"/>
      <c r="AF247" s="56"/>
      <c r="AG247" s="22">
        <v>0</v>
      </c>
      <c r="AH247" t="s">
        <v>40</v>
      </c>
    </row>
    <row r="248" spans="1:34">
      <c r="A248" s="9" t="s">
        <v>352</v>
      </c>
      <c r="B248" s="7" t="s">
        <v>64</v>
      </c>
      <c r="C248" s="29" t="s">
        <v>78</v>
      </c>
      <c r="D248" t="s">
        <v>34</v>
      </c>
      <c r="E248" s="21" t="s">
        <v>79</v>
      </c>
      <c r="F248" s="22">
        <v>0.81300813008130079</v>
      </c>
      <c r="G248" s="54">
        <v>1</v>
      </c>
      <c r="L248" s="54"/>
      <c r="Q248" s="56"/>
      <c r="R248" s="21" t="s">
        <v>78</v>
      </c>
      <c r="S248" s="21" t="s">
        <v>34</v>
      </c>
      <c r="T248" s="21" t="s">
        <v>79</v>
      </c>
      <c r="U248" s="22">
        <v>0.61728395061728392</v>
      </c>
      <c r="V248" s="54">
        <v>1</v>
      </c>
      <c r="AA248" s="54"/>
      <c r="AF248" s="56"/>
      <c r="AG248" s="22">
        <v>0</v>
      </c>
      <c r="AH248" t="s">
        <v>40</v>
      </c>
    </row>
    <row r="249" spans="1:34">
      <c r="A249" s="9" t="s">
        <v>353</v>
      </c>
      <c r="B249" s="7" t="s">
        <v>64</v>
      </c>
      <c r="C249" s="29" t="s">
        <v>354</v>
      </c>
      <c r="D249" t="s">
        <v>34</v>
      </c>
      <c r="E249" s="21" t="s">
        <v>38</v>
      </c>
      <c r="F249" s="22">
        <v>3.8461538461538458</v>
      </c>
      <c r="G249" s="54">
        <v>0.66666666666666663</v>
      </c>
      <c r="H249" s="29" t="s">
        <v>78</v>
      </c>
      <c r="I249" t="s">
        <v>34</v>
      </c>
      <c r="J249" s="21" t="s">
        <v>79</v>
      </c>
      <c r="K249" s="22">
        <v>0.81300813008130079</v>
      </c>
      <c r="L249" s="54">
        <v>0.33333333333333331</v>
      </c>
      <c r="Q249" s="56"/>
      <c r="R249" s="21" t="s">
        <v>56</v>
      </c>
      <c r="S249" s="21" t="s">
        <v>34</v>
      </c>
      <c r="T249" s="21" t="s">
        <v>38</v>
      </c>
      <c r="U249" s="22">
        <v>2.7777777777777777</v>
      </c>
      <c r="V249" s="54">
        <v>1</v>
      </c>
      <c r="AA249" s="54"/>
      <c r="AF249" s="56"/>
      <c r="AG249" s="22">
        <v>0</v>
      </c>
      <c r="AH249" t="s">
        <v>40</v>
      </c>
    </row>
    <row r="250" spans="1:34">
      <c r="A250" s="9" t="s">
        <v>355</v>
      </c>
      <c r="B250" s="7" t="s">
        <v>64</v>
      </c>
      <c r="C250" s="29" t="s">
        <v>78</v>
      </c>
      <c r="D250" t="s">
        <v>34</v>
      </c>
      <c r="E250" s="21" t="s">
        <v>79</v>
      </c>
      <c r="F250" s="22">
        <v>0.81300813008130079</v>
      </c>
      <c r="G250" s="54">
        <v>1</v>
      </c>
      <c r="L250" s="54"/>
      <c r="Q250" s="56"/>
      <c r="R250" s="21" t="s">
        <v>78</v>
      </c>
      <c r="S250" s="21" t="s">
        <v>34</v>
      </c>
      <c r="T250" s="21" t="s">
        <v>79</v>
      </c>
      <c r="U250" s="22">
        <v>0.61728395061728392</v>
      </c>
      <c r="V250" s="54">
        <v>1</v>
      </c>
      <c r="AA250" s="54"/>
      <c r="AF250" s="56"/>
      <c r="AG250" s="22">
        <v>0</v>
      </c>
      <c r="AH250" t="s">
        <v>40</v>
      </c>
    </row>
    <row r="251" spans="1:34">
      <c r="A251" s="9" t="s">
        <v>356</v>
      </c>
      <c r="B251" s="7" t="s">
        <v>64</v>
      </c>
      <c r="C251" s="29" t="s">
        <v>78</v>
      </c>
      <c r="D251" t="s">
        <v>34</v>
      </c>
      <c r="E251" s="21" t="s">
        <v>79</v>
      </c>
      <c r="F251" s="22">
        <v>0.81300813008130079</v>
      </c>
      <c r="G251" s="54">
        <v>1</v>
      </c>
      <c r="L251" s="54"/>
      <c r="Q251" s="56"/>
      <c r="R251" s="21" t="s">
        <v>78</v>
      </c>
      <c r="S251" s="21" t="s">
        <v>34</v>
      </c>
      <c r="T251" s="21" t="s">
        <v>79</v>
      </c>
      <c r="U251" s="22">
        <v>0.61728395061728392</v>
      </c>
      <c r="V251" s="54">
        <v>1</v>
      </c>
      <c r="AA251" s="54"/>
      <c r="AF251" s="56"/>
      <c r="AG251" s="22">
        <v>0</v>
      </c>
      <c r="AH251" t="s">
        <v>40</v>
      </c>
    </row>
    <row r="252" spans="1:34">
      <c r="A252" s="9" t="s">
        <v>357</v>
      </c>
      <c r="B252" s="7" t="s">
        <v>64</v>
      </c>
      <c r="C252" s="29" t="s">
        <v>78</v>
      </c>
      <c r="D252" t="s">
        <v>34</v>
      </c>
      <c r="E252" s="21" t="s">
        <v>79</v>
      </c>
      <c r="F252" s="22">
        <v>0.81300813008130079</v>
      </c>
      <c r="G252" s="54">
        <v>1</v>
      </c>
      <c r="L252" s="54"/>
      <c r="Q252" s="56"/>
      <c r="R252" s="21" t="s">
        <v>78</v>
      </c>
      <c r="S252" s="21" t="s">
        <v>34</v>
      </c>
      <c r="T252" s="21" t="s">
        <v>79</v>
      </c>
      <c r="U252" s="22">
        <v>0.61728395061728392</v>
      </c>
      <c r="V252" s="54">
        <v>1</v>
      </c>
      <c r="AA252" s="54"/>
      <c r="AF252" s="56"/>
      <c r="AG252" s="22">
        <v>0</v>
      </c>
      <c r="AH252" t="s">
        <v>40</v>
      </c>
    </row>
    <row r="253" spans="1:34">
      <c r="A253" s="9" t="s">
        <v>358</v>
      </c>
      <c r="B253" s="7" t="s">
        <v>64</v>
      </c>
      <c r="C253" s="29" t="s">
        <v>78</v>
      </c>
      <c r="D253" t="s">
        <v>34</v>
      </c>
      <c r="E253" s="21" t="s">
        <v>79</v>
      </c>
      <c r="F253" s="22">
        <v>0.81300813008130079</v>
      </c>
      <c r="G253" s="54">
        <v>1</v>
      </c>
      <c r="L253" s="54"/>
      <c r="Q253" s="56"/>
      <c r="R253" s="21" t="s">
        <v>78</v>
      </c>
      <c r="S253" s="21" t="s">
        <v>34</v>
      </c>
      <c r="T253" s="21" t="s">
        <v>79</v>
      </c>
      <c r="U253" s="22">
        <v>0.61728395061728392</v>
      </c>
      <c r="V253" s="54">
        <v>1</v>
      </c>
      <c r="AA253" s="54"/>
      <c r="AF253" s="56"/>
      <c r="AG253" s="22">
        <v>0</v>
      </c>
      <c r="AH253" t="s">
        <v>40</v>
      </c>
    </row>
    <row r="254" spans="1:34">
      <c r="A254" s="9" t="s">
        <v>359</v>
      </c>
      <c r="B254" s="7" t="s">
        <v>64</v>
      </c>
      <c r="C254" s="29" t="s">
        <v>78</v>
      </c>
      <c r="D254" t="s">
        <v>34</v>
      </c>
      <c r="E254" s="21" t="s">
        <v>79</v>
      </c>
      <c r="F254" s="22">
        <v>0.81300813008130079</v>
      </c>
      <c r="G254" s="54">
        <v>1</v>
      </c>
      <c r="L254" s="54"/>
      <c r="Q254" s="56"/>
      <c r="R254" s="21" t="s">
        <v>78</v>
      </c>
      <c r="S254" s="21" t="s">
        <v>34</v>
      </c>
      <c r="T254" s="21" t="s">
        <v>79</v>
      </c>
      <c r="U254" s="22">
        <v>0.61728395061728392</v>
      </c>
      <c r="V254" s="54">
        <v>1</v>
      </c>
      <c r="AA254" s="54"/>
      <c r="AF254" s="56"/>
      <c r="AG254" s="22">
        <v>0</v>
      </c>
      <c r="AH254" t="s">
        <v>40</v>
      </c>
    </row>
    <row r="255" spans="1:34">
      <c r="A255" s="9" t="s">
        <v>360</v>
      </c>
      <c r="B255" s="7" t="s">
        <v>64</v>
      </c>
      <c r="C255" s="29" t="s">
        <v>354</v>
      </c>
      <c r="D255" t="s">
        <v>34</v>
      </c>
      <c r="E255" s="21" t="s">
        <v>38</v>
      </c>
      <c r="F255" s="22">
        <v>3.8461538461538458</v>
      </c>
      <c r="G255" s="54">
        <v>0.66666666666666663</v>
      </c>
      <c r="H255" s="29" t="s">
        <v>78</v>
      </c>
      <c r="I255" t="s">
        <v>34</v>
      </c>
      <c r="J255" s="21" t="s">
        <v>79</v>
      </c>
      <c r="K255" s="22">
        <v>0.81300813008130079</v>
      </c>
      <c r="L255" s="54">
        <v>0.33333333333333331</v>
      </c>
      <c r="Q255" s="56"/>
      <c r="R255" s="21" t="s">
        <v>56</v>
      </c>
      <c r="S255" s="21" t="s">
        <v>34</v>
      </c>
      <c r="T255" s="21" t="s">
        <v>38</v>
      </c>
      <c r="U255" s="22">
        <v>2.7777777777777777</v>
      </c>
      <c r="V255" s="54">
        <v>1</v>
      </c>
      <c r="AA255" s="54"/>
      <c r="AF255" s="56"/>
      <c r="AG255" s="22">
        <v>0</v>
      </c>
      <c r="AH255" t="s">
        <v>40</v>
      </c>
    </row>
    <row r="256" spans="1:34" s="5" customFormat="1">
      <c r="A256" s="10" t="s">
        <v>361</v>
      </c>
      <c r="B256" s="11" t="s">
        <v>65</v>
      </c>
      <c r="C256" s="28" t="s">
        <v>251</v>
      </c>
      <c r="D256" s="5" t="s">
        <v>34</v>
      </c>
      <c r="E256" s="19" t="s">
        <v>35</v>
      </c>
      <c r="F256" s="20">
        <v>0.63694267515923564</v>
      </c>
      <c r="G256" s="55">
        <v>1</v>
      </c>
      <c r="H256" s="19"/>
      <c r="I256" s="19"/>
      <c r="J256" s="19"/>
      <c r="K256" s="20"/>
      <c r="L256" s="55"/>
      <c r="M256" s="46"/>
      <c r="N256" s="19"/>
      <c r="O256" s="19"/>
      <c r="P256" s="20"/>
      <c r="Q256" s="57"/>
      <c r="R256" s="63" t="s">
        <v>44</v>
      </c>
      <c r="S256" s="19" t="s">
        <v>34</v>
      </c>
      <c r="T256" s="19" t="s">
        <v>35</v>
      </c>
      <c r="U256" s="20">
        <v>0.69930069930069938</v>
      </c>
      <c r="V256" s="55">
        <v>1</v>
      </c>
      <c r="W256" s="19"/>
      <c r="X256" s="19"/>
      <c r="Y256" s="19"/>
      <c r="Z256" s="20"/>
      <c r="AA256" s="55"/>
      <c r="AB256" s="46"/>
      <c r="AC256" s="19"/>
      <c r="AD256" s="19"/>
      <c r="AE256" s="19"/>
      <c r="AF256" s="57"/>
      <c r="AG256" s="69">
        <v>0</v>
      </c>
      <c r="AH256" s="5" t="s">
        <v>40</v>
      </c>
    </row>
    <row r="257" spans="1:34">
      <c r="A257" s="9" t="s">
        <v>362</v>
      </c>
      <c r="B257" s="7" t="s">
        <v>65</v>
      </c>
      <c r="C257" s="29" t="s">
        <v>251</v>
      </c>
      <c r="D257" t="s">
        <v>34</v>
      </c>
      <c r="E257" s="21" t="s">
        <v>35</v>
      </c>
      <c r="F257" s="22">
        <v>0.63694267515923564</v>
      </c>
      <c r="G257" s="54">
        <v>1</v>
      </c>
      <c r="L257" s="54"/>
      <c r="Q257" s="56"/>
      <c r="R257" s="64" t="s">
        <v>44</v>
      </c>
      <c r="S257" s="21" t="s">
        <v>34</v>
      </c>
      <c r="T257" s="21" t="s">
        <v>35</v>
      </c>
      <c r="U257" s="22">
        <v>0.69930069930069938</v>
      </c>
      <c r="V257" s="54">
        <v>1</v>
      </c>
      <c r="AA257" s="54"/>
      <c r="AF257" s="56"/>
      <c r="AG257" s="22">
        <v>0</v>
      </c>
      <c r="AH257" t="s">
        <v>40</v>
      </c>
    </row>
    <row r="258" spans="1:34">
      <c r="A258" s="9" t="s">
        <v>363</v>
      </c>
      <c r="B258" s="7" t="s">
        <v>65</v>
      </c>
      <c r="C258" s="29" t="s">
        <v>251</v>
      </c>
      <c r="D258" t="s">
        <v>34</v>
      </c>
      <c r="E258" s="21" t="s">
        <v>35</v>
      </c>
      <c r="F258" s="22">
        <v>0.63694267515923564</v>
      </c>
      <c r="G258" s="54">
        <v>1</v>
      </c>
      <c r="L258" s="54"/>
      <c r="Q258" s="56"/>
      <c r="R258" s="64" t="s">
        <v>44</v>
      </c>
      <c r="S258" s="21" t="s">
        <v>34</v>
      </c>
      <c r="T258" s="21" t="s">
        <v>35</v>
      </c>
      <c r="U258" s="22">
        <v>0.69930069930069938</v>
      </c>
      <c r="V258" s="54">
        <v>1</v>
      </c>
      <c r="AA258" s="54"/>
      <c r="AF258" s="56"/>
      <c r="AG258" s="22">
        <v>0</v>
      </c>
      <c r="AH258" t="s">
        <v>40</v>
      </c>
    </row>
    <row r="259" spans="1:34">
      <c r="A259" s="9" t="s">
        <v>364</v>
      </c>
      <c r="B259" s="7" t="s">
        <v>65</v>
      </c>
      <c r="C259" s="29" t="s">
        <v>251</v>
      </c>
      <c r="D259" t="s">
        <v>34</v>
      </c>
      <c r="E259" s="21" t="s">
        <v>35</v>
      </c>
      <c r="F259" s="22">
        <v>0.63694267515923564</v>
      </c>
      <c r="G259" s="54">
        <v>1</v>
      </c>
      <c r="L259" s="54"/>
      <c r="Q259" s="56"/>
      <c r="R259" s="64" t="s">
        <v>44</v>
      </c>
      <c r="S259" s="21" t="s">
        <v>34</v>
      </c>
      <c r="T259" s="21" t="s">
        <v>35</v>
      </c>
      <c r="U259" s="22">
        <v>0.69930069930069938</v>
      </c>
      <c r="V259" s="54">
        <v>1</v>
      </c>
      <c r="AA259" s="54"/>
      <c r="AF259" s="56"/>
      <c r="AG259" s="22">
        <v>0</v>
      </c>
      <c r="AH259" t="s">
        <v>40</v>
      </c>
    </row>
    <row r="260" spans="1:34">
      <c r="A260" s="9" t="s">
        <v>365</v>
      </c>
      <c r="B260" s="7" t="s">
        <v>65</v>
      </c>
      <c r="C260" s="29" t="s">
        <v>251</v>
      </c>
      <c r="D260" t="s">
        <v>34</v>
      </c>
      <c r="E260" s="21" t="s">
        <v>35</v>
      </c>
      <c r="F260" s="22">
        <v>0.63694267515923564</v>
      </c>
      <c r="G260" s="54">
        <v>1</v>
      </c>
      <c r="L260" s="54"/>
      <c r="Q260" s="56"/>
      <c r="R260" s="64" t="s">
        <v>44</v>
      </c>
      <c r="S260" s="21" t="s">
        <v>34</v>
      </c>
      <c r="T260" s="21" t="s">
        <v>35</v>
      </c>
      <c r="U260" s="22">
        <v>0.69930069930069938</v>
      </c>
      <c r="V260" s="54">
        <v>1</v>
      </c>
      <c r="AA260" s="54"/>
      <c r="AF260" s="56"/>
      <c r="AG260" s="22">
        <v>0</v>
      </c>
      <c r="AH260" t="s">
        <v>40</v>
      </c>
    </row>
    <row r="261" spans="1:34">
      <c r="A261" s="9" t="s">
        <v>366</v>
      </c>
      <c r="B261" s="7" t="s">
        <v>65</v>
      </c>
      <c r="C261" s="29" t="s">
        <v>251</v>
      </c>
      <c r="D261" t="s">
        <v>34</v>
      </c>
      <c r="E261" s="21" t="s">
        <v>35</v>
      </c>
      <c r="F261" s="22">
        <v>0.63694267515923564</v>
      </c>
      <c r="G261" s="54">
        <v>1</v>
      </c>
      <c r="L261" s="54"/>
      <c r="Q261" s="56"/>
      <c r="R261" s="64" t="s">
        <v>44</v>
      </c>
      <c r="S261" s="21" t="s">
        <v>34</v>
      </c>
      <c r="T261" s="21" t="s">
        <v>35</v>
      </c>
      <c r="U261" s="22">
        <v>0.69930069930069938</v>
      </c>
      <c r="V261" s="54">
        <v>1</v>
      </c>
      <c r="AA261" s="54"/>
      <c r="AF261" s="56"/>
      <c r="AG261" s="22">
        <v>0</v>
      </c>
      <c r="AH261" t="s">
        <v>40</v>
      </c>
    </row>
    <row r="262" spans="1:34">
      <c r="A262" s="9" t="s">
        <v>367</v>
      </c>
      <c r="B262" s="7" t="s">
        <v>65</v>
      </c>
      <c r="C262" s="29" t="s">
        <v>152</v>
      </c>
      <c r="D262" t="s">
        <v>34</v>
      </c>
      <c r="E262" s="21" t="s">
        <v>35</v>
      </c>
      <c r="F262" s="22">
        <v>0.84033613445378152</v>
      </c>
      <c r="G262" s="54">
        <v>1</v>
      </c>
      <c r="L262" s="54"/>
      <c r="Q262" s="56"/>
      <c r="R262" s="64" t="s">
        <v>44</v>
      </c>
      <c r="S262" s="21" t="s">
        <v>34</v>
      </c>
      <c r="T262" s="21" t="s">
        <v>35</v>
      </c>
      <c r="U262" s="22">
        <v>0.69930069930069938</v>
      </c>
      <c r="V262" s="54">
        <v>1</v>
      </c>
      <c r="AA262" s="54"/>
      <c r="AF262" s="56"/>
      <c r="AG262" s="22">
        <v>0</v>
      </c>
      <c r="AH262" t="s">
        <v>40</v>
      </c>
    </row>
    <row r="263" spans="1:34">
      <c r="A263" s="9" t="s">
        <v>368</v>
      </c>
      <c r="B263" s="7" t="s">
        <v>65</v>
      </c>
      <c r="C263" s="29" t="s">
        <v>152</v>
      </c>
      <c r="D263" t="s">
        <v>34</v>
      </c>
      <c r="E263" s="21" t="s">
        <v>35</v>
      </c>
      <c r="F263" s="22">
        <v>0.84033613445378152</v>
      </c>
      <c r="G263" s="54">
        <v>1</v>
      </c>
      <c r="L263" s="54"/>
      <c r="Q263" s="56"/>
      <c r="R263" s="64" t="s">
        <v>44</v>
      </c>
      <c r="S263" s="21" t="s">
        <v>34</v>
      </c>
      <c r="T263" s="21" t="s">
        <v>35</v>
      </c>
      <c r="U263" s="22">
        <v>0.69930069930069938</v>
      </c>
      <c r="V263" s="54">
        <v>0.66666666666666663</v>
      </c>
      <c r="W263" s="21" t="s">
        <v>149</v>
      </c>
      <c r="X263" s="21" t="s">
        <v>37</v>
      </c>
      <c r="Y263" s="21" t="s">
        <v>150</v>
      </c>
      <c r="Z263" s="22">
        <v>0.68</v>
      </c>
      <c r="AA263" s="54">
        <v>0.33333333333333331</v>
      </c>
      <c r="AB263" s="21"/>
      <c r="AE263" s="22"/>
      <c r="AF263" s="56"/>
      <c r="AG263" s="22">
        <v>0</v>
      </c>
      <c r="AH263" t="s">
        <v>40</v>
      </c>
    </row>
    <row r="264" spans="1:34">
      <c r="A264" s="9" t="s">
        <v>369</v>
      </c>
      <c r="B264" s="7" t="s">
        <v>65</v>
      </c>
      <c r="C264" s="29" t="s">
        <v>251</v>
      </c>
      <c r="D264" t="s">
        <v>34</v>
      </c>
      <c r="E264" s="21" t="s">
        <v>35</v>
      </c>
      <c r="F264" s="22">
        <v>0.63694267515923564</v>
      </c>
      <c r="G264" s="54">
        <v>1</v>
      </c>
      <c r="L264" s="54"/>
      <c r="Q264" s="56"/>
      <c r="R264" s="64" t="s">
        <v>44</v>
      </c>
      <c r="S264" s="21" t="s">
        <v>34</v>
      </c>
      <c r="T264" s="21" t="s">
        <v>35</v>
      </c>
      <c r="U264" s="22">
        <v>0.69930069930069938</v>
      </c>
      <c r="V264" s="54">
        <v>1</v>
      </c>
      <c r="W264" s="21" t="s">
        <v>148</v>
      </c>
      <c r="X264" s="21" t="s">
        <v>37</v>
      </c>
      <c r="Y264" s="21" t="s">
        <v>35</v>
      </c>
      <c r="Z264" s="22">
        <v>0.69930069930069938</v>
      </c>
      <c r="AA264" s="54">
        <v>1</v>
      </c>
      <c r="AF264" s="56"/>
      <c r="AG264" s="22">
        <v>0</v>
      </c>
      <c r="AH264" t="s">
        <v>40</v>
      </c>
    </row>
    <row r="265" spans="1:34">
      <c r="A265" s="9" t="s">
        <v>370</v>
      </c>
      <c r="B265" s="7" t="s">
        <v>65</v>
      </c>
      <c r="C265" s="29" t="s">
        <v>251</v>
      </c>
      <c r="D265" t="s">
        <v>34</v>
      </c>
      <c r="E265" s="21" t="s">
        <v>35</v>
      </c>
      <c r="F265" s="22">
        <v>0.63694267515923564</v>
      </c>
      <c r="G265" s="54">
        <v>1</v>
      </c>
      <c r="L265" s="54"/>
      <c r="Q265" s="56"/>
      <c r="R265" s="64" t="s">
        <v>44</v>
      </c>
      <c r="S265" s="21" t="s">
        <v>34</v>
      </c>
      <c r="T265" s="21" t="s">
        <v>35</v>
      </c>
      <c r="U265" s="22">
        <v>0.69930069930069938</v>
      </c>
      <c r="V265" s="54">
        <v>1</v>
      </c>
      <c r="W265" s="21" t="s">
        <v>148</v>
      </c>
      <c r="X265" s="21" t="s">
        <v>37</v>
      </c>
      <c r="Y265" s="21" t="s">
        <v>35</v>
      </c>
      <c r="Z265" s="22">
        <v>0.69930069930069938</v>
      </c>
      <c r="AA265" s="54">
        <v>1</v>
      </c>
      <c r="AF265" s="56"/>
      <c r="AG265" s="22">
        <v>0</v>
      </c>
      <c r="AH265" t="s">
        <v>40</v>
      </c>
    </row>
    <row r="266" spans="1:34">
      <c r="A266" s="9" t="s">
        <v>371</v>
      </c>
      <c r="B266" s="7" t="s">
        <v>65</v>
      </c>
      <c r="C266" s="29" t="s">
        <v>251</v>
      </c>
      <c r="D266" t="s">
        <v>34</v>
      </c>
      <c r="E266" s="21" t="s">
        <v>35</v>
      </c>
      <c r="F266" s="22">
        <v>0.63694267515923564</v>
      </c>
      <c r="G266" s="54">
        <v>1</v>
      </c>
      <c r="L266" s="54"/>
      <c r="Q266" s="56"/>
      <c r="R266" s="64" t="s">
        <v>44</v>
      </c>
      <c r="S266" s="21" t="s">
        <v>34</v>
      </c>
      <c r="T266" s="21" t="s">
        <v>35</v>
      </c>
      <c r="U266" s="22">
        <v>0.69930069930069938</v>
      </c>
      <c r="V266" s="54">
        <v>1</v>
      </c>
      <c r="W266" s="21" t="s">
        <v>148</v>
      </c>
      <c r="X266" s="21" t="s">
        <v>37</v>
      </c>
      <c r="Y266" s="21" t="s">
        <v>35</v>
      </c>
      <c r="Z266" s="22">
        <v>0.69930069930069938</v>
      </c>
      <c r="AA266" s="54">
        <v>1</v>
      </c>
      <c r="AF266" s="56"/>
      <c r="AG266" s="22">
        <v>0</v>
      </c>
      <c r="AH266" t="s">
        <v>40</v>
      </c>
    </row>
    <row r="267" spans="1:34">
      <c r="A267" s="9" t="s">
        <v>372</v>
      </c>
      <c r="B267" s="7" t="s">
        <v>65</v>
      </c>
      <c r="C267" s="29" t="s">
        <v>251</v>
      </c>
      <c r="D267" t="s">
        <v>34</v>
      </c>
      <c r="E267" s="21" t="s">
        <v>35</v>
      </c>
      <c r="F267" s="22">
        <v>0.63694267515923564</v>
      </c>
      <c r="G267" s="54">
        <v>1</v>
      </c>
      <c r="L267" s="54"/>
      <c r="Q267" s="56"/>
      <c r="R267" s="64" t="s">
        <v>44</v>
      </c>
      <c r="S267" s="21" t="s">
        <v>34</v>
      </c>
      <c r="T267" s="21" t="s">
        <v>35</v>
      </c>
      <c r="U267" s="22">
        <v>0.69930069930069938</v>
      </c>
      <c r="V267" s="54">
        <v>1</v>
      </c>
      <c r="W267" s="21" t="s">
        <v>148</v>
      </c>
      <c r="X267" s="21" t="s">
        <v>37</v>
      </c>
      <c r="Y267" s="21" t="s">
        <v>35</v>
      </c>
      <c r="Z267" s="22">
        <v>0.69930069930069938</v>
      </c>
      <c r="AA267" s="54">
        <v>1</v>
      </c>
      <c r="AF267" s="56"/>
      <c r="AG267" s="22">
        <v>0</v>
      </c>
      <c r="AH267" t="s">
        <v>40</v>
      </c>
    </row>
    <row r="268" spans="1:34">
      <c r="A268" s="9" t="s">
        <v>373</v>
      </c>
      <c r="B268" s="7" t="s">
        <v>65</v>
      </c>
      <c r="C268" s="29" t="s">
        <v>251</v>
      </c>
      <c r="D268" t="s">
        <v>34</v>
      </c>
      <c r="E268" s="21" t="s">
        <v>35</v>
      </c>
      <c r="F268" s="22">
        <v>0.63694267515923564</v>
      </c>
      <c r="G268" s="54">
        <v>1</v>
      </c>
      <c r="L268" s="54"/>
      <c r="Q268" s="56"/>
      <c r="R268" s="21" t="s">
        <v>44</v>
      </c>
      <c r="S268" s="21" t="s">
        <v>34</v>
      </c>
      <c r="T268" s="21" t="s">
        <v>35</v>
      </c>
      <c r="U268" s="22">
        <v>0.69930069930069938</v>
      </c>
      <c r="V268" s="54">
        <v>1</v>
      </c>
      <c r="W268" s="21" t="s">
        <v>148</v>
      </c>
      <c r="X268" s="21" t="s">
        <v>37</v>
      </c>
      <c r="Y268" s="21" t="s">
        <v>35</v>
      </c>
      <c r="Z268" s="22">
        <v>0.69930069930069938</v>
      </c>
      <c r="AA268" s="54">
        <v>1</v>
      </c>
      <c r="AF268" s="56"/>
      <c r="AG268" s="22">
        <v>0</v>
      </c>
      <c r="AH268" t="s">
        <v>40</v>
      </c>
    </row>
    <row r="269" spans="1:34">
      <c r="A269" s="9" t="s">
        <v>374</v>
      </c>
      <c r="B269" s="7" t="s">
        <v>65</v>
      </c>
      <c r="C269" s="29" t="s">
        <v>251</v>
      </c>
      <c r="D269" t="s">
        <v>34</v>
      </c>
      <c r="E269" s="21" t="s">
        <v>35</v>
      </c>
      <c r="F269" s="22">
        <v>0.63694267515923564</v>
      </c>
      <c r="G269" s="54">
        <v>1</v>
      </c>
      <c r="L269" s="54"/>
      <c r="Q269" s="56"/>
      <c r="R269" s="21" t="s">
        <v>44</v>
      </c>
      <c r="S269" s="21" t="s">
        <v>34</v>
      </c>
      <c r="T269" s="21" t="s">
        <v>35</v>
      </c>
      <c r="U269" s="22">
        <v>0.69930069930069938</v>
      </c>
      <c r="V269" s="54">
        <v>1</v>
      </c>
      <c r="W269" s="21" t="s">
        <v>148</v>
      </c>
      <c r="X269" s="21" t="s">
        <v>37</v>
      </c>
      <c r="Y269" s="21" t="s">
        <v>35</v>
      </c>
      <c r="Z269" s="22">
        <v>0.69930069930069938</v>
      </c>
      <c r="AA269" s="54">
        <v>1</v>
      </c>
      <c r="AF269" s="56"/>
      <c r="AG269" s="22">
        <v>0</v>
      </c>
      <c r="AH269" t="s">
        <v>40</v>
      </c>
    </row>
    <row r="270" spans="1:34">
      <c r="A270" s="9" t="s">
        <v>375</v>
      </c>
      <c r="B270" s="7" t="s">
        <v>65</v>
      </c>
      <c r="C270" s="29" t="s">
        <v>152</v>
      </c>
      <c r="D270" t="s">
        <v>34</v>
      </c>
      <c r="E270" s="21" t="s">
        <v>35</v>
      </c>
      <c r="F270" s="22">
        <v>0.84033613445378152</v>
      </c>
      <c r="G270" s="54">
        <v>1</v>
      </c>
      <c r="L270" s="54"/>
      <c r="Q270" s="56"/>
      <c r="R270" s="21" t="s">
        <v>44</v>
      </c>
      <c r="S270" s="21" t="s">
        <v>34</v>
      </c>
      <c r="T270" s="21" t="s">
        <v>35</v>
      </c>
      <c r="U270" s="22">
        <v>0.69930069930069938</v>
      </c>
      <c r="V270" s="54">
        <v>1</v>
      </c>
      <c r="W270" s="21" t="s">
        <v>148</v>
      </c>
      <c r="X270" s="21" t="s">
        <v>37</v>
      </c>
      <c r="Y270" s="21" t="s">
        <v>35</v>
      </c>
      <c r="Z270" s="22">
        <v>0.69930069930069938</v>
      </c>
      <c r="AA270" s="54">
        <v>1</v>
      </c>
      <c r="AF270" s="56"/>
      <c r="AG270" s="22">
        <v>0</v>
      </c>
      <c r="AH270" t="s">
        <v>40</v>
      </c>
    </row>
    <row r="271" spans="1:34">
      <c r="A271" s="9" t="s">
        <v>376</v>
      </c>
      <c r="B271" s="7" t="s">
        <v>65</v>
      </c>
      <c r="C271" s="29" t="s">
        <v>152</v>
      </c>
      <c r="D271" t="s">
        <v>34</v>
      </c>
      <c r="E271" s="21" t="s">
        <v>35</v>
      </c>
      <c r="F271" s="22">
        <v>0.84033613445378152</v>
      </c>
      <c r="G271" s="54">
        <v>1</v>
      </c>
      <c r="L271" s="54"/>
      <c r="Q271" s="56"/>
      <c r="R271" s="21" t="s">
        <v>44</v>
      </c>
      <c r="S271" s="21" t="s">
        <v>34</v>
      </c>
      <c r="T271" s="21" t="s">
        <v>35</v>
      </c>
      <c r="U271" s="22">
        <v>0.69930069930069938</v>
      </c>
      <c r="V271" s="54">
        <v>0.33333333333333331</v>
      </c>
      <c r="W271" s="21" t="s">
        <v>148</v>
      </c>
      <c r="X271" s="21" t="s">
        <v>37</v>
      </c>
      <c r="Y271" s="21" t="s">
        <v>35</v>
      </c>
      <c r="Z271" s="22">
        <v>0.69930069930069938</v>
      </c>
      <c r="AA271" s="54">
        <v>0.33333333333333331</v>
      </c>
      <c r="AB271" s="21" t="s">
        <v>149</v>
      </c>
      <c r="AC271" s="21" t="s">
        <v>37</v>
      </c>
      <c r="AD271" s="21" t="s">
        <v>150</v>
      </c>
      <c r="AE271" s="22">
        <v>0.68</v>
      </c>
      <c r="AF271" s="56">
        <v>0.33333333333333331</v>
      </c>
      <c r="AG271" s="70">
        <v>0</v>
      </c>
      <c r="AH271" t="s">
        <v>40</v>
      </c>
    </row>
    <row r="272" spans="1:34">
      <c r="A272" s="9" t="s">
        <v>377</v>
      </c>
      <c r="B272" s="7" t="s">
        <v>65</v>
      </c>
      <c r="C272" s="29" t="s">
        <v>251</v>
      </c>
      <c r="D272" t="s">
        <v>34</v>
      </c>
      <c r="E272" s="21" t="s">
        <v>35</v>
      </c>
      <c r="F272" s="22">
        <v>0.63694267515923564</v>
      </c>
      <c r="G272" s="54">
        <v>1</v>
      </c>
      <c r="L272" s="54"/>
      <c r="Q272" s="56"/>
      <c r="R272" s="21" t="s">
        <v>148</v>
      </c>
      <c r="S272" s="21" t="s">
        <v>37</v>
      </c>
      <c r="T272" s="21" t="s">
        <v>35</v>
      </c>
      <c r="U272" s="22">
        <v>0.69930069930069938</v>
      </c>
      <c r="V272" s="54">
        <v>1</v>
      </c>
      <c r="W272" s="45"/>
      <c r="Z272" s="21"/>
      <c r="AA272" s="54"/>
      <c r="AB272" s="21"/>
      <c r="AF272" s="56"/>
      <c r="AG272" s="22">
        <v>0</v>
      </c>
      <c r="AH272" t="s">
        <v>40</v>
      </c>
    </row>
    <row r="273" spans="1:34">
      <c r="A273" s="9" t="s">
        <v>378</v>
      </c>
      <c r="B273" s="7" t="s">
        <v>65</v>
      </c>
      <c r="C273" s="29" t="s">
        <v>251</v>
      </c>
      <c r="D273" t="s">
        <v>34</v>
      </c>
      <c r="E273" s="21" t="s">
        <v>35</v>
      </c>
      <c r="F273" s="22">
        <v>0.63694267515923564</v>
      </c>
      <c r="G273" s="54">
        <v>1</v>
      </c>
      <c r="L273" s="54"/>
      <c r="Q273" s="56"/>
      <c r="R273" s="21" t="s">
        <v>148</v>
      </c>
      <c r="S273" s="21" t="s">
        <v>37</v>
      </c>
      <c r="T273" s="21" t="s">
        <v>35</v>
      </c>
      <c r="U273" s="22">
        <v>0.69930069930069938</v>
      </c>
      <c r="V273" s="54">
        <v>1</v>
      </c>
      <c r="W273" s="45"/>
      <c r="Z273" s="21"/>
      <c r="AA273" s="54"/>
      <c r="AB273" s="21"/>
      <c r="AF273" s="56"/>
      <c r="AG273" s="22">
        <v>0</v>
      </c>
      <c r="AH273" t="s">
        <v>40</v>
      </c>
    </row>
    <row r="274" spans="1:34">
      <c r="A274" s="9" t="s">
        <v>379</v>
      </c>
      <c r="B274" s="7" t="s">
        <v>65</v>
      </c>
      <c r="C274" s="29" t="s">
        <v>251</v>
      </c>
      <c r="D274" t="s">
        <v>34</v>
      </c>
      <c r="E274" s="21" t="s">
        <v>35</v>
      </c>
      <c r="F274" s="22">
        <v>0.63694267515923564</v>
      </c>
      <c r="G274" s="54">
        <v>1</v>
      </c>
      <c r="L274" s="54"/>
      <c r="Q274" s="56"/>
      <c r="R274" s="21" t="s">
        <v>148</v>
      </c>
      <c r="S274" s="21" t="s">
        <v>37</v>
      </c>
      <c r="T274" s="21" t="s">
        <v>35</v>
      </c>
      <c r="U274" s="22">
        <v>0.69930069930069938</v>
      </c>
      <c r="V274" s="54">
        <v>1</v>
      </c>
      <c r="W274" s="45"/>
      <c r="Z274" s="21"/>
      <c r="AA274" s="54"/>
      <c r="AB274" s="21"/>
      <c r="AF274" s="56"/>
      <c r="AG274" s="22">
        <v>0</v>
      </c>
      <c r="AH274" t="s">
        <v>40</v>
      </c>
    </row>
    <row r="275" spans="1:34">
      <c r="A275" s="9" t="s">
        <v>380</v>
      </c>
      <c r="B275" s="7" t="s">
        <v>65</v>
      </c>
      <c r="C275" s="29" t="s">
        <v>251</v>
      </c>
      <c r="D275" t="s">
        <v>34</v>
      </c>
      <c r="E275" s="21" t="s">
        <v>35</v>
      </c>
      <c r="F275" s="22">
        <v>0.63694267515923564</v>
      </c>
      <c r="G275" s="54">
        <v>1</v>
      </c>
      <c r="L275" s="54"/>
      <c r="Q275" s="56"/>
      <c r="R275" s="21" t="s">
        <v>148</v>
      </c>
      <c r="S275" s="21" t="s">
        <v>37</v>
      </c>
      <c r="T275" s="21" t="s">
        <v>35</v>
      </c>
      <c r="U275" s="22">
        <v>0.69930069930069938</v>
      </c>
      <c r="V275" s="54">
        <v>1</v>
      </c>
      <c r="W275" s="45"/>
      <c r="Z275" s="21"/>
      <c r="AA275" s="54"/>
      <c r="AB275" s="21"/>
      <c r="AF275" s="56"/>
      <c r="AG275" s="22">
        <v>0</v>
      </c>
      <c r="AH275" t="s">
        <v>40</v>
      </c>
    </row>
    <row r="276" spans="1:34">
      <c r="A276" s="9" t="s">
        <v>381</v>
      </c>
      <c r="B276" s="7" t="s">
        <v>65</v>
      </c>
      <c r="C276" s="29" t="s">
        <v>251</v>
      </c>
      <c r="D276" t="s">
        <v>34</v>
      </c>
      <c r="E276" s="21" t="s">
        <v>35</v>
      </c>
      <c r="F276" s="22">
        <v>0.63694267515923564</v>
      </c>
      <c r="G276" s="54">
        <v>1</v>
      </c>
      <c r="L276" s="54"/>
      <c r="Q276" s="56"/>
      <c r="R276" s="21" t="s">
        <v>148</v>
      </c>
      <c r="S276" s="21" t="s">
        <v>37</v>
      </c>
      <c r="T276" s="21" t="s">
        <v>35</v>
      </c>
      <c r="U276" s="22">
        <v>0.69930069930069938</v>
      </c>
      <c r="V276" s="54">
        <v>1</v>
      </c>
      <c r="W276" s="45"/>
      <c r="Z276" s="21"/>
      <c r="AA276" s="54"/>
      <c r="AB276" s="21"/>
      <c r="AF276" s="56"/>
      <c r="AG276" s="22">
        <v>0</v>
      </c>
      <c r="AH276" t="s">
        <v>40</v>
      </c>
    </row>
    <row r="277" spans="1:34">
      <c r="A277" s="9" t="s">
        <v>382</v>
      </c>
      <c r="B277" s="7" t="s">
        <v>65</v>
      </c>
      <c r="C277" s="29" t="s">
        <v>251</v>
      </c>
      <c r="D277" t="s">
        <v>34</v>
      </c>
      <c r="E277" s="21" t="s">
        <v>35</v>
      </c>
      <c r="F277" s="22">
        <v>0.63694267515923564</v>
      </c>
      <c r="G277" s="54">
        <v>1</v>
      </c>
      <c r="L277" s="54"/>
      <c r="Q277" s="56"/>
      <c r="R277" s="21" t="s">
        <v>148</v>
      </c>
      <c r="S277" s="21" t="s">
        <v>37</v>
      </c>
      <c r="T277" s="21" t="s">
        <v>35</v>
      </c>
      <c r="U277" s="22">
        <v>0.69930069930069938</v>
      </c>
      <c r="V277" s="54">
        <v>1</v>
      </c>
      <c r="W277" s="45"/>
      <c r="Z277" s="21"/>
      <c r="AA277" s="54"/>
      <c r="AB277" s="21"/>
      <c r="AF277" s="56"/>
      <c r="AG277" s="22">
        <v>0</v>
      </c>
      <c r="AH277" t="s">
        <v>40</v>
      </c>
    </row>
    <row r="278" spans="1:34">
      <c r="A278" s="9" t="s">
        <v>383</v>
      </c>
      <c r="B278" s="7" t="s">
        <v>65</v>
      </c>
      <c r="C278" s="29" t="s">
        <v>152</v>
      </c>
      <c r="D278" t="s">
        <v>34</v>
      </c>
      <c r="E278" s="21" t="s">
        <v>35</v>
      </c>
      <c r="F278" s="22">
        <v>0.84033613445378152</v>
      </c>
      <c r="G278" s="54">
        <v>1</v>
      </c>
      <c r="L278" s="54"/>
      <c r="Q278" s="56"/>
      <c r="R278" s="21" t="s">
        <v>148</v>
      </c>
      <c r="S278" s="21" t="s">
        <v>37</v>
      </c>
      <c r="T278" s="21" t="s">
        <v>35</v>
      </c>
      <c r="U278" s="22">
        <v>0.69930069930069938</v>
      </c>
      <c r="V278" s="54">
        <v>0.6</v>
      </c>
      <c r="W278" s="21" t="s">
        <v>47</v>
      </c>
      <c r="X278" s="21" t="s">
        <v>37</v>
      </c>
      <c r="Y278" s="21" t="s">
        <v>35</v>
      </c>
      <c r="Z278" s="22">
        <v>0.80645161290322587</v>
      </c>
      <c r="AA278" s="54">
        <v>0.2</v>
      </c>
      <c r="AB278" s="21" t="s">
        <v>149</v>
      </c>
      <c r="AC278" s="21" t="s">
        <v>37</v>
      </c>
      <c r="AD278" s="21" t="s">
        <v>150</v>
      </c>
      <c r="AE278" s="22">
        <v>0.68</v>
      </c>
      <c r="AF278" s="56">
        <v>0.2</v>
      </c>
      <c r="AG278" s="22">
        <v>0</v>
      </c>
      <c r="AH278" t="s">
        <v>40</v>
      </c>
    </row>
    <row r="279" spans="1:34">
      <c r="A279" s="9" t="s">
        <v>384</v>
      </c>
      <c r="B279" s="7" t="s">
        <v>65</v>
      </c>
      <c r="C279" s="29" t="s">
        <v>152</v>
      </c>
      <c r="D279" t="s">
        <v>34</v>
      </c>
      <c r="E279" s="21" t="s">
        <v>35</v>
      </c>
      <c r="F279" s="22">
        <v>0.84033613445378152</v>
      </c>
      <c r="G279" s="54">
        <v>1</v>
      </c>
      <c r="L279" s="54"/>
      <c r="Q279" s="56"/>
      <c r="R279" s="21" t="s">
        <v>47</v>
      </c>
      <c r="S279" s="21" t="s">
        <v>37</v>
      </c>
      <c r="T279" s="21" t="s">
        <v>35</v>
      </c>
      <c r="U279" s="22">
        <v>0.80645161290322587</v>
      </c>
      <c r="V279" s="54">
        <v>0.5</v>
      </c>
      <c r="W279" s="21" t="s">
        <v>149</v>
      </c>
      <c r="X279" s="21" t="s">
        <v>37</v>
      </c>
      <c r="Y279" s="21" t="s">
        <v>150</v>
      </c>
      <c r="Z279" s="22">
        <v>0.68</v>
      </c>
      <c r="AA279" s="54">
        <v>0.5</v>
      </c>
      <c r="AF279" s="62"/>
      <c r="AG279" s="22">
        <v>0</v>
      </c>
      <c r="AH279" t="s">
        <v>40</v>
      </c>
    </row>
    <row r="280" spans="1:34" s="5" customFormat="1">
      <c r="A280" s="10" t="s">
        <v>385</v>
      </c>
      <c r="B280" s="11" t="s">
        <v>66</v>
      </c>
      <c r="C280" s="28" t="s">
        <v>232</v>
      </c>
      <c r="D280" s="5" t="s">
        <v>34</v>
      </c>
      <c r="E280" s="19" t="s">
        <v>79</v>
      </c>
      <c r="F280" s="20">
        <v>0.9009009009009008</v>
      </c>
      <c r="G280" s="55">
        <v>0.75</v>
      </c>
      <c r="H280" s="28" t="s">
        <v>55</v>
      </c>
      <c r="I280" s="19" t="s">
        <v>34</v>
      </c>
      <c r="J280" s="19" t="s">
        <v>38</v>
      </c>
      <c r="K280" s="20">
        <v>3.2258064516129035</v>
      </c>
      <c r="L280" s="55">
        <v>0.25</v>
      </c>
      <c r="M280" s="46"/>
      <c r="N280" s="19"/>
      <c r="O280" s="19"/>
      <c r="P280" s="20"/>
      <c r="Q280" s="57"/>
      <c r="R280" s="35" t="s">
        <v>78</v>
      </c>
      <c r="S280" s="30" t="s">
        <v>34</v>
      </c>
      <c r="T280" s="30" t="s">
        <v>79</v>
      </c>
      <c r="U280" s="31">
        <v>0.84745762711864414</v>
      </c>
      <c r="V280" s="32">
        <v>0.4</v>
      </c>
      <c r="W280" s="30" t="s">
        <v>44</v>
      </c>
      <c r="X280" s="30" t="s">
        <v>34</v>
      </c>
      <c r="Y280" s="30" t="s">
        <v>35</v>
      </c>
      <c r="Z280" s="31">
        <v>0.90909090909090906</v>
      </c>
      <c r="AA280" s="32">
        <v>0.4</v>
      </c>
      <c r="AB280" s="30" t="s">
        <v>56</v>
      </c>
      <c r="AC280" s="30" t="s">
        <v>34</v>
      </c>
      <c r="AD280" s="30" t="s">
        <v>38</v>
      </c>
      <c r="AE280" s="31">
        <v>2.5</v>
      </c>
      <c r="AF280" s="32">
        <v>0.2</v>
      </c>
      <c r="AG280" s="71">
        <v>0</v>
      </c>
      <c r="AH280" s="5" t="s">
        <v>40</v>
      </c>
    </row>
    <row r="281" spans="1:34">
      <c r="A281" s="9" t="s">
        <v>386</v>
      </c>
      <c r="B281" s="7" t="s">
        <v>66</v>
      </c>
      <c r="C281" s="29" t="s">
        <v>232</v>
      </c>
      <c r="D281" t="s">
        <v>34</v>
      </c>
      <c r="E281" s="21" t="s">
        <v>79</v>
      </c>
      <c r="F281" s="22">
        <v>0.9009009009009008</v>
      </c>
      <c r="G281" s="54">
        <v>0.75</v>
      </c>
      <c r="H281" s="21" t="s">
        <v>55</v>
      </c>
      <c r="I281" s="21" t="s">
        <v>34</v>
      </c>
      <c r="J281" s="21" t="s">
        <v>38</v>
      </c>
      <c r="K281" s="22">
        <v>3.2258064516129035</v>
      </c>
      <c r="L281" s="54">
        <v>0.25</v>
      </c>
      <c r="Q281" s="56"/>
      <c r="R281" s="36" t="s">
        <v>78</v>
      </c>
      <c r="S281" s="17" t="s">
        <v>34</v>
      </c>
      <c r="T281" s="17" t="s">
        <v>79</v>
      </c>
      <c r="U281" s="18">
        <v>0.84745762711864414</v>
      </c>
      <c r="V281" s="23">
        <v>0.4</v>
      </c>
      <c r="W281" s="17" t="s">
        <v>44</v>
      </c>
      <c r="X281" s="17" t="s">
        <v>34</v>
      </c>
      <c r="Y281" s="17" t="s">
        <v>35</v>
      </c>
      <c r="Z281" s="18">
        <v>0.90909090909090906</v>
      </c>
      <c r="AA281" s="23">
        <v>0.4</v>
      </c>
      <c r="AB281" s="45" t="s">
        <v>56</v>
      </c>
      <c r="AC281" s="21" t="s">
        <v>34</v>
      </c>
      <c r="AD281" s="21" t="s">
        <v>38</v>
      </c>
      <c r="AE281" s="18">
        <v>2.5</v>
      </c>
      <c r="AF281" s="56">
        <v>0.2</v>
      </c>
      <c r="AG281" s="22">
        <v>0</v>
      </c>
      <c r="AH281" t="s">
        <v>40</v>
      </c>
    </row>
    <row r="282" spans="1:34">
      <c r="A282" s="9" t="s">
        <v>387</v>
      </c>
      <c r="B282" s="7" t="s">
        <v>66</v>
      </c>
      <c r="C282" s="29" t="s">
        <v>232</v>
      </c>
      <c r="D282" t="s">
        <v>34</v>
      </c>
      <c r="E282" s="21" t="s">
        <v>79</v>
      </c>
      <c r="F282" s="22">
        <v>0.9009009009009008</v>
      </c>
      <c r="G282" s="54">
        <v>0.75</v>
      </c>
      <c r="H282" s="21" t="s">
        <v>55</v>
      </c>
      <c r="I282" s="21" t="s">
        <v>34</v>
      </c>
      <c r="J282" s="21" t="s">
        <v>38</v>
      </c>
      <c r="K282" s="22">
        <v>3.2258064516129035</v>
      </c>
      <c r="L282" s="54">
        <v>0.25</v>
      </c>
      <c r="Q282" s="56"/>
      <c r="R282" s="21" t="s">
        <v>78</v>
      </c>
      <c r="S282" s="21" t="s">
        <v>34</v>
      </c>
      <c r="T282" s="21" t="s">
        <v>79</v>
      </c>
      <c r="U282" s="22">
        <v>0.84745762711864414</v>
      </c>
      <c r="V282" s="54">
        <v>0.4</v>
      </c>
      <c r="W282" s="21" t="s">
        <v>44</v>
      </c>
      <c r="X282" s="21" t="s">
        <v>34</v>
      </c>
      <c r="Y282" s="21" t="s">
        <v>35</v>
      </c>
      <c r="Z282" s="22">
        <v>0.90909090909090906</v>
      </c>
      <c r="AA282" s="54">
        <v>0.4</v>
      </c>
      <c r="AB282" s="45" t="s">
        <v>56</v>
      </c>
      <c r="AC282" s="21" t="s">
        <v>34</v>
      </c>
      <c r="AD282" s="21" t="s">
        <v>38</v>
      </c>
      <c r="AE282" s="18">
        <v>2.5</v>
      </c>
      <c r="AF282" s="56">
        <v>0.2</v>
      </c>
      <c r="AG282" s="22">
        <v>0</v>
      </c>
      <c r="AH282" t="s">
        <v>40</v>
      </c>
    </row>
    <row r="283" spans="1:34">
      <c r="A283" s="9" t="s">
        <v>388</v>
      </c>
      <c r="B283" s="7" t="s">
        <v>66</v>
      </c>
      <c r="C283" s="29" t="s">
        <v>232</v>
      </c>
      <c r="D283" t="s">
        <v>34</v>
      </c>
      <c r="E283" s="21" t="s">
        <v>79</v>
      </c>
      <c r="F283" s="22">
        <v>0.9009009009009008</v>
      </c>
      <c r="G283" s="54">
        <v>0.75</v>
      </c>
      <c r="H283" s="21" t="s">
        <v>55</v>
      </c>
      <c r="I283" s="21" t="s">
        <v>34</v>
      </c>
      <c r="J283" s="21" t="s">
        <v>38</v>
      </c>
      <c r="K283" s="22">
        <v>3.2258064516129035</v>
      </c>
      <c r="L283" s="54">
        <v>0.25</v>
      </c>
      <c r="Q283" s="56"/>
      <c r="R283" s="21" t="s">
        <v>78</v>
      </c>
      <c r="S283" s="21" t="s">
        <v>34</v>
      </c>
      <c r="T283" s="21" t="s">
        <v>79</v>
      </c>
      <c r="U283" s="22">
        <v>0.84745762711864414</v>
      </c>
      <c r="V283" s="54">
        <v>0.4</v>
      </c>
      <c r="W283" s="21" t="s">
        <v>44</v>
      </c>
      <c r="X283" s="21" t="s">
        <v>34</v>
      </c>
      <c r="Y283" s="21" t="s">
        <v>35</v>
      </c>
      <c r="Z283" s="22">
        <v>0.90909090909090906</v>
      </c>
      <c r="AA283" s="54">
        <v>0.4</v>
      </c>
      <c r="AB283" s="45" t="s">
        <v>56</v>
      </c>
      <c r="AC283" s="21" t="s">
        <v>34</v>
      </c>
      <c r="AD283" s="21" t="s">
        <v>38</v>
      </c>
      <c r="AE283" s="18">
        <v>2.5</v>
      </c>
      <c r="AF283" s="56">
        <v>0.2</v>
      </c>
      <c r="AG283" s="22">
        <v>0</v>
      </c>
      <c r="AH283" t="s">
        <v>40</v>
      </c>
    </row>
    <row r="284" spans="1:34">
      <c r="A284" s="9" t="s">
        <v>389</v>
      </c>
      <c r="B284" s="7" t="s">
        <v>66</v>
      </c>
      <c r="C284" s="29" t="s">
        <v>232</v>
      </c>
      <c r="D284" t="s">
        <v>34</v>
      </c>
      <c r="E284" s="21" t="s">
        <v>79</v>
      </c>
      <c r="F284" s="22">
        <v>0.9009009009009008</v>
      </c>
      <c r="G284" s="54">
        <v>0.75</v>
      </c>
      <c r="H284" s="21" t="s">
        <v>55</v>
      </c>
      <c r="I284" s="21" t="s">
        <v>34</v>
      </c>
      <c r="J284" s="21" t="s">
        <v>38</v>
      </c>
      <c r="K284" s="22">
        <v>3.2258064516129035</v>
      </c>
      <c r="L284" s="54">
        <v>0.25</v>
      </c>
      <c r="Q284" s="56"/>
      <c r="R284" s="21" t="s">
        <v>78</v>
      </c>
      <c r="S284" s="21" t="s">
        <v>34</v>
      </c>
      <c r="T284" s="21" t="s">
        <v>79</v>
      </c>
      <c r="U284" s="22">
        <v>0.84745762711864414</v>
      </c>
      <c r="V284" s="54">
        <v>0.4</v>
      </c>
      <c r="W284" s="21" t="s">
        <v>44</v>
      </c>
      <c r="X284" s="21" t="s">
        <v>34</v>
      </c>
      <c r="Y284" s="21" t="s">
        <v>35</v>
      </c>
      <c r="Z284" s="22">
        <v>0.90909090909090906</v>
      </c>
      <c r="AA284" s="54">
        <v>0.4</v>
      </c>
      <c r="AB284" s="45" t="s">
        <v>56</v>
      </c>
      <c r="AC284" s="21" t="s">
        <v>34</v>
      </c>
      <c r="AD284" s="21" t="s">
        <v>38</v>
      </c>
      <c r="AE284" s="18">
        <v>2.5</v>
      </c>
      <c r="AF284" s="56">
        <v>0.2</v>
      </c>
      <c r="AG284" s="22">
        <v>0</v>
      </c>
      <c r="AH284" t="s">
        <v>40</v>
      </c>
    </row>
    <row r="285" spans="1:34">
      <c r="A285" s="9" t="s">
        <v>390</v>
      </c>
      <c r="B285" s="7" t="s">
        <v>66</v>
      </c>
      <c r="C285" s="29" t="s">
        <v>232</v>
      </c>
      <c r="D285" t="s">
        <v>34</v>
      </c>
      <c r="E285" s="21" t="s">
        <v>79</v>
      </c>
      <c r="F285" s="22">
        <v>0.9009009009009008</v>
      </c>
      <c r="G285" s="54">
        <v>0.75</v>
      </c>
      <c r="H285" s="21" t="s">
        <v>55</v>
      </c>
      <c r="I285" s="21" t="s">
        <v>34</v>
      </c>
      <c r="J285" s="21" t="s">
        <v>38</v>
      </c>
      <c r="K285" s="22">
        <v>3.2258064516129035</v>
      </c>
      <c r="L285" s="54">
        <v>0.25</v>
      </c>
      <c r="Q285" s="56"/>
      <c r="R285" s="21" t="s">
        <v>78</v>
      </c>
      <c r="S285" s="21" t="s">
        <v>34</v>
      </c>
      <c r="T285" s="21" t="s">
        <v>79</v>
      </c>
      <c r="U285" s="22">
        <v>0.84745762711864414</v>
      </c>
      <c r="V285" s="54">
        <v>0.4</v>
      </c>
      <c r="W285" s="21" t="s">
        <v>44</v>
      </c>
      <c r="X285" s="21" t="s">
        <v>34</v>
      </c>
      <c r="Y285" s="21" t="s">
        <v>35</v>
      </c>
      <c r="Z285" s="22">
        <v>0.90909090909090906</v>
      </c>
      <c r="AA285" s="54">
        <v>0.4</v>
      </c>
      <c r="AB285" s="45" t="s">
        <v>56</v>
      </c>
      <c r="AC285" s="21" t="s">
        <v>34</v>
      </c>
      <c r="AD285" s="21" t="s">
        <v>38</v>
      </c>
      <c r="AE285" s="18">
        <v>2.5</v>
      </c>
      <c r="AF285" s="56">
        <v>0.2</v>
      </c>
      <c r="AG285" s="22">
        <v>0</v>
      </c>
      <c r="AH285" t="s">
        <v>40</v>
      </c>
    </row>
    <row r="286" spans="1:34">
      <c r="A286" s="9" t="s">
        <v>391</v>
      </c>
      <c r="B286" s="7" t="s">
        <v>66</v>
      </c>
      <c r="C286" s="29" t="s">
        <v>232</v>
      </c>
      <c r="D286" t="s">
        <v>34</v>
      </c>
      <c r="E286" s="21" t="s">
        <v>79</v>
      </c>
      <c r="F286" s="22">
        <v>0.9009009009009008</v>
      </c>
      <c r="G286" s="54">
        <v>0.75</v>
      </c>
      <c r="H286" s="21" t="s">
        <v>55</v>
      </c>
      <c r="I286" s="21" t="s">
        <v>34</v>
      </c>
      <c r="J286" s="21" t="s">
        <v>38</v>
      </c>
      <c r="K286" s="22">
        <v>3.2258064516129035</v>
      </c>
      <c r="L286" s="54">
        <v>0.25</v>
      </c>
      <c r="Q286" s="56"/>
      <c r="R286" s="21" t="s">
        <v>78</v>
      </c>
      <c r="S286" s="21" t="s">
        <v>34</v>
      </c>
      <c r="T286" s="21" t="s">
        <v>79</v>
      </c>
      <c r="U286" s="22">
        <v>0.84745762711864414</v>
      </c>
      <c r="V286" s="54">
        <v>0.4</v>
      </c>
      <c r="W286" s="21" t="s">
        <v>44</v>
      </c>
      <c r="X286" s="21" t="s">
        <v>34</v>
      </c>
      <c r="Y286" s="21" t="s">
        <v>35</v>
      </c>
      <c r="Z286" s="22">
        <v>0.90909090909090906</v>
      </c>
      <c r="AA286" s="54">
        <v>0.4</v>
      </c>
      <c r="AB286" s="45" t="s">
        <v>56</v>
      </c>
      <c r="AC286" s="21" t="s">
        <v>34</v>
      </c>
      <c r="AD286" s="21" t="s">
        <v>38</v>
      </c>
      <c r="AE286" s="18">
        <v>2.5</v>
      </c>
      <c r="AF286" s="56">
        <v>0.2</v>
      </c>
      <c r="AG286" s="22">
        <v>0</v>
      </c>
      <c r="AH286" t="s">
        <v>40</v>
      </c>
    </row>
    <row r="287" spans="1:34">
      <c r="A287" s="9" t="s">
        <v>392</v>
      </c>
      <c r="B287" s="7" t="s">
        <v>66</v>
      </c>
      <c r="C287" s="29" t="s">
        <v>232</v>
      </c>
      <c r="D287" t="s">
        <v>34</v>
      </c>
      <c r="E287" s="21" t="s">
        <v>79</v>
      </c>
      <c r="F287" s="22">
        <v>0.9009009009009008</v>
      </c>
      <c r="G287" s="54">
        <v>0.75</v>
      </c>
      <c r="H287" s="21" t="s">
        <v>55</v>
      </c>
      <c r="I287" s="21" t="s">
        <v>34</v>
      </c>
      <c r="J287" s="21" t="s">
        <v>38</v>
      </c>
      <c r="K287" s="22">
        <v>3.2258064516129035</v>
      </c>
      <c r="L287" s="54">
        <v>0.25</v>
      </c>
      <c r="Q287" s="56"/>
      <c r="R287" s="21" t="s">
        <v>78</v>
      </c>
      <c r="S287" s="21" t="s">
        <v>34</v>
      </c>
      <c r="T287" s="21" t="s">
        <v>79</v>
      </c>
      <c r="U287" s="22">
        <v>0.84745762711864414</v>
      </c>
      <c r="V287" s="54">
        <v>0.4</v>
      </c>
      <c r="W287" s="21" t="s">
        <v>44</v>
      </c>
      <c r="X287" s="21" t="s">
        <v>34</v>
      </c>
      <c r="Y287" s="21" t="s">
        <v>35</v>
      </c>
      <c r="Z287" s="22">
        <v>0.90909090909090906</v>
      </c>
      <c r="AA287" s="54">
        <v>0.4</v>
      </c>
      <c r="AB287" s="45" t="s">
        <v>56</v>
      </c>
      <c r="AC287" s="21" t="s">
        <v>34</v>
      </c>
      <c r="AD287" s="21" t="s">
        <v>38</v>
      </c>
      <c r="AE287" s="18">
        <v>2.5</v>
      </c>
      <c r="AF287" s="56">
        <v>0.2</v>
      </c>
      <c r="AG287" s="22">
        <v>0</v>
      </c>
      <c r="AH287" t="s">
        <v>40</v>
      </c>
    </row>
    <row r="288" spans="1:34">
      <c r="A288" s="9" t="s">
        <v>393</v>
      </c>
      <c r="B288" s="7" t="s">
        <v>66</v>
      </c>
      <c r="C288" s="29" t="s">
        <v>232</v>
      </c>
      <c r="D288" t="s">
        <v>34</v>
      </c>
      <c r="E288" s="21" t="s">
        <v>79</v>
      </c>
      <c r="F288" s="22">
        <v>0.9009009009009008</v>
      </c>
      <c r="G288" s="54">
        <v>0.75</v>
      </c>
      <c r="H288" s="21" t="s">
        <v>55</v>
      </c>
      <c r="I288" s="21" t="s">
        <v>34</v>
      </c>
      <c r="J288" s="21" t="s">
        <v>38</v>
      </c>
      <c r="K288" s="22">
        <v>3.2258064516129035</v>
      </c>
      <c r="L288" s="54">
        <v>0.25</v>
      </c>
      <c r="Q288" s="56"/>
      <c r="R288" s="21" t="s">
        <v>78</v>
      </c>
      <c r="S288" s="21" t="s">
        <v>34</v>
      </c>
      <c r="T288" s="21" t="s">
        <v>79</v>
      </c>
      <c r="U288" s="22">
        <v>0.84745762711864414</v>
      </c>
      <c r="V288" s="54">
        <v>0.4</v>
      </c>
      <c r="W288" s="21" t="s">
        <v>44</v>
      </c>
      <c r="X288" s="21" t="s">
        <v>34</v>
      </c>
      <c r="Y288" s="21" t="s">
        <v>35</v>
      </c>
      <c r="Z288" s="22">
        <v>0.90909090909090906</v>
      </c>
      <c r="AA288" s="54">
        <v>0.4</v>
      </c>
      <c r="AB288" s="45" t="s">
        <v>56</v>
      </c>
      <c r="AC288" s="21" t="s">
        <v>34</v>
      </c>
      <c r="AD288" s="21" t="s">
        <v>38</v>
      </c>
      <c r="AE288" s="18">
        <v>2.5</v>
      </c>
      <c r="AF288" s="56">
        <v>0.2</v>
      </c>
      <c r="AG288" s="70">
        <v>0</v>
      </c>
      <c r="AH288" t="s">
        <v>40</v>
      </c>
    </row>
    <row r="289" spans="1:34">
      <c r="A289" s="9" t="s">
        <v>394</v>
      </c>
      <c r="B289" s="7" t="s">
        <v>66</v>
      </c>
      <c r="C289" s="29" t="s">
        <v>232</v>
      </c>
      <c r="D289" t="s">
        <v>34</v>
      </c>
      <c r="E289" s="21" t="s">
        <v>79</v>
      </c>
      <c r="F289" s="22">
        <v>0.9009009009009008</v>
      </c>
      <c r="G289" s="54">
        <v>0.75</v>
      </c>
      <c r="H289" s="21" t="s">
        <v>55</v>
      </c>
      <c r="I289" s="21" t="s">
        <v>34</v>
      </c>
      <c r="J289" s="21" t="s">
        <v>38</v>
      </c>
      <c r="K289" s="22">
        <v>3.2258064516129035</v>
      </c>
      <c r="L289" s="54">
        <v>0.25</v>
      </c>
      <c r="Q289" s="56"/>
      <c r="R289" s="21" t="s">
        <v>78</v>
      </c>
      <c r="S289" s="21" t="s">
        <v>34</v>
      </c>
      <c r="T289" s="21" t="s">
        <v>79</v>
      </c>
      <c r="U289" s="22">
        <v>0.84745762711864414</v>
      </c>
      <c r="V289" s="54">
        <v>0.4</v>
      </c>
      <c r="W289" s="21" t="s">
        <v>44</v>
      </c>
      <c r="X289" s="21" t="s">
        <v>34</v>
      </c>
      <c r="Y289" s="21" t="s">
        <v>35</v>
      </c>
      <c r="Z289" s="22">
        <v>0.90909090909090906</v>
      </c>
      <c r="AA289" s="54">
        <v>0.4</v>
      </c>
      <c r="AB289" s="45" t="s">
        <v>56</v>
      </c>
      <c r="AC289" s="21" t="s">
        <v>34</v>
      </c>
      <c r="AD289" s="21" t="s">
        <v>38</v>
      </c>
      <c r="AE289" s="39">
        <v>2.5</v>
      </c>
      <c r="AF289" s="56">
        <v>0.2</v>
      </c>
      <c r="AG289" s="22">
        <v>0</v>
      </c>
      <c r="AH289" t="s">
        <v>40</v>
      </c>
    </row>
    <row r="290" spans="1:34" s="5" customFormat="1">
      <c r="A290" s="10" t="s">
        <v>395</v>
      </c>
      <c r="B290" s="58" t="s">
        <v>67</v>
      </c>
      <c r="C290" s="28" t="s">
        <v>105</v>
      </c>
      <c r="D290" s="5" t="s">
        <v>37</v>
      </c>
      <c r="E290" s="19" t="s">
        <v>79</v>
      </c>
      <c r="F290" s="20">
        <v>0.51020408163265307</v>
      </c>
      <c r="G290" s="55">
        <v>0.66666666666666663</v>
      </c>
      <c r="H290" s="28" t="s">
        <v>111</v>
      </c>
      <c r="I290" s="5" t="s">
        <v>37</v>
      </c>
      <c r="J290" s="19" t="s">
        <v>35</v>
      </c>
      <c r="K290" s="20">
        <v>0.77519379844961234</v>
      </c>
      <c r="L290" s="55">
        <v>0.33333333333333331</v>
      </c>
      <c r="M290" s="46"/>
      <c r="N290" s="19"/>
      <c r="O290" s="19"/>
      <c r="P290" s="20"/>
      <c r="Q290" s="57"/>
      <c r="R290" s="63" t="s">
        <v>47</v>
      </c>
      <c r="S290" s="19" t="s">
        <v>37</v>
      </c>
      <c r="T290" s="19" t="s">
        <v>35</v>
      </c>
      <c r="U290" s="20">
        <v>0.92592592592592582</v>
      </c>
      <c r="V290" s="55">
        <v>0.5</v>
      </c>
      <c r="W290" s="63" t="s">
        <v>106</v>
      </c>
      <c r="X290" s="19" t="s">
        <v>37</v>
      </c>
      <c r="Y290" s="19" t="s">
        <v>38</v>
      </c>
      <c r="Z290" s="20">
        <v>0.9009009009009008</v>
      </c>
      <c r="AA290" s="55">
        <v>0.5</v>
      </c>
      <c r="AB290" s="46"/>
      <c r="AC290" s="19"/>
      <c r="AD290" s="19"/>
      <c r="AE290" s="19"/>
      <c r="AF290" s="57"/>
      <c r="AG290" s="69">
        <v>0</v>
      </c>
      <c r="AH290" s="5" t="s">
        <v>40</v>
      </c>
    </row>
    <row r="291" spans="1:34">
      <c r="A291" s="9" t="s">
        <v>396</v>
      </c>
      <c r="B291" s="7" t="s">
        <v>67</v>
      </c>
      <c r="C291" s="29" t="s">
        <v>111</v>
      </c>
      <c r="D291" t="s">
        <v>37</v>
      </c>
      <c r="E291" s="21" t="s">
        <v>35</v>
      </c>
      <c r="F291" s="22">
        <v>0.77519379844961234</v>
      </c>
      <c r="G291" s="54">
        <v>1</v>
      </c>
      <c r="L291" s="54"/>
      <c r="Q291" s="56"/>
      <c r="R291" s="64" t="s">
        <v>106</v>
      </c>
      <c r="S291" s="21" t="s">
        <v>37</v>
      </c>
      <c r="T291" s="21" t="s">
        <v>38</v>
      </c>
      <c r="U291" s="22">
        <v>0.9009009009009008</v>
      </c>
      <c r="V291" s="54">
        <v>1</v>
      </c>
      <c r="AA291" s="54"/>
      <c r="AF291" s="56"/>
      <c r="AG291" s="22">
        <v>0</v>
      </c>
      <c r="AH291" t="s">
        <v>40</v>
      </c>
    </row>
    <row r="292" spans="1:34">
      <c r="A292" s="9" t="s">
        <v>397</v>
      </c>
      <c r="B292" s="7" t="s">
        <v>67</v>
      </c>
      <c r="C292" s="29" t="s">
        <v>116</v>
      </c>
      <c r="D292" t="s">
        <v>37</v>
      </c>
      <c r="E292" s="21" t="s">
        <v>35</v>
      </c>
      <c r="F292" s="22">
        <v>0.71942446043165476</v>
      </c>
      <c r="G292" s="54">
        <v>0.33333333333333331</v>
      </c>
      <c r="H292" s="29" t="s">
        <v>285</v>
      </c>
      <c r="I292" t="s">
        <v>37</v>
      </c>
      <c r="J292" s="21" t="s">
        <v>286</v>
      </c>
      <c r="K292" s="22">
        <v>0.58823529411764708</v>
      </c>
      <c r="L292" s="54">
        <v>0.33333333333333331</v>
      </c>
      <c r="M292" s="29" t="s">
        <v>111</v>
      </c>
      <c r="N292" t="s">
        <v>37</v>
      </c>
      <c r="O292" s="21" t="s">
        <v>35</v>
      </c>
      <c r="P292" s="22">
        <v>0.77519379844961234</v>
      </c>
      <c r="Q292" s="56">
        <v>0.33333333333333331</v>
      </c>
      <c r="R292" s="21" t="s">
        <v>106</v>
      </c>
      <c r="S292" s="21" t="s">
        <v>37</v>
      </c>
      <c r="T292" s="21" t="s">
        <v>38</v>
      </c>
      <c r="U292" s="22">
        <v>0.9009009009009008</v>
      </c>
      <c r="V292" s="54">
        <v>1</v>
      </c>
      <c r="AA292" s="54"/>
      <c r="AF292" s="56"/>
      <c r="AG292" s="22">
        <v>0</v>
      </c>
      <c r="AH292" t="s">
        <v>40</v>
      </c>
    </row>
    <row r="293" spans="1:34">
      <c r="A293" s="9" t="s">
        <v>398</v>
      </c>
      <c r="B293" s="7" t="s">
        <v>67</v>
      </c>
      <c r="C293" s="29" t="s">
        <v>285</v>
      </c>
      <c r="D293" t="s">
        <v>37</v>
      </c>
      <c r="E293" s="21" t="s">
        <v>286</v>
      </c>
      <c r="F293" s="22">
        <v>0.58823529411764708</v>
      </c>
      <c r="G293" s="54">
        <v>0.66666666666666663</v>
      </c>
      <c r="H293" s="29" t="s">
        <v>48</v>
      </c>
      <c r="I293" t="s">
        <v>37</v>
      </c>
      <c r="J293" s="21" t="s">
        <v>38</v>
      </c>
      <c r="K293" s="22">
        <v>0.94339622641509424</v>
      </c>
      <c r="L293" s="54">
        <v>0.33333333333333331</v>
      </c>
      <c r="M293" s="29"/>
      <c r="N293"/>
      <c r="Q293" s="56"/>
      <c r="R293" s="21" t="s">
        <v>288</v>
      </c>
      <c r="S293" s="21" t="s">
        <v>37</v>
      </c>
      <c r="T293" s="21" t="s">
        <v>38</v>
      </c>
      <c r="U293" s="22">
        <v>1.1904761904761905</v>
      </c>
      <c r="V293" s="54">
        <v>0.5</v>
      </c>
      <c r="W293" s="21" t="s">
        <v>106</v>
      </c>
      <c r="X293" s="21" t="s">
        <v>37</v>
      </c>
      <c r="Y293" s="21" t="s">
        <v>38</v>
      </c>
      <c r="Z293" s="22">
        <v>0.9009009009009008</v>
      </c>
      <c r="AA293" s="54">
        <v>0.25</v>
      </c>
      <c r="AB293" s="21" t="s">
        <v>108</v>
      </c>
      <c r="AC293" s="21" t="s">
        <v>37</v>
      </c>
      <c r="AD293" s="21" t="s">
        <v>35</v>
      </c>
      <c r="AE293" s="22">
        <v>0.7407407407407407</v>
      </c>
      <c r="AF293" s="56">
        <v>0.25</v>
      </c>
      <c r="AG293" s="22">
        <v>0.4</v>
      </c>
      <c r="AH293" t="s">
        <v>209</v>
      </c>
    </row>
    <row r="294" spans="1:34">
      <c r="A294" s="9" t="s">
        <v>399</v>
      </c>
      <c r="B294" s="7" t="s">
        <v>67</v>
      </c>
      <c r="C294" s="29" t="s">
        <v>354</v>
      </c>
      <c r="D294" t="s">
        <v>34</v>
      </c>
      <c r="E294" s="21" t="s">
        <v>38</v>
      </c>
      <c r="F294" s="22">
        <v>3.8461538461538458</v>
      </c>
      <c r="G294" s="54">
        <v>0.5</v>
      </c>
      <c r="H294" s="29" t="s">
        <v>48</v>
      </c>
      <c r="I294" t="s">
        <v>37</v>
      </c>
      <c r="J294" s="21" t="s">
        <v>38</v>
      </c>
      <c r="K294" s="22">
        <v>0.94339622641509424</v>
      </c>
      <c r="L294" s="54">
        <v>0.5</v>
      </c>
      <c r="Q294" s="56"/>
      <c r="R294" s="21" t="s">
        <v>288</v>
      </c>
      <c r="S294" s="21" t="s">
        <v>37</v>
      </c>
      <c r="T294" s="21" t="s">
        <v>38</v>
      </c>
      <c r="U294" s="22">
        <v>1.1904761904761905</v>
      </c>
      <c r="V294" s="54">
        <v>0.6</v>
      </c>
      <c r="W294" s="21" t="s">
        <v>106</v>
      </c>
      <c r="X294" s="21" t="s">
        <v>37</v>
      </c>
      <c r="Y294" s="21" t="s">
        <v>38</v>
      </c>
      <c r="Z294" s="22">
        <v>0.9009009009009008</v>
      </c>
      <c r="AA294" s="54">
        <v>0.2</v>
      </c>
      <c r="AB294" s="21" t="s">
        <v>47</v>
      </c>
      <c r="AC294" s="21" t="s">
        <v>37</v>
      </c>
      <c r="AD294" s="21" t="s">
        <v>35</v>
      </c>
      <c r="AE294" s="22">
        <v>0.92592592592592582</v>
      </c>
      <c r="AF294" s="56">
        <v>0.2</v>
      </c>
      <c r="AG294" s="22">
        <v>1</v>
      </c>
      <c r="AH294" t="s">
        <v>41</v>
      </c>
    </row>
    <row r="295" spans="1:34">
      <c r="A295" s="9" t="s">
        <v>400</v>
      </c>
      <c r="B295" s="7" t="s">
        <v>67</v>
      </c>
      <c r="C295" s="29" t="s">
        <v>354</v>
      </c>
      <c r="D295" t="s">
        <v>34</v>
      </c>
      <c r="E295" s="21" t="s">
        <v>38</v>
      </c>
      <c r="F295" s="22">
        <v>3.8461538461538458</v>
      </c>
      <c r="G295" s="54">
        <v>1</v>
      </c>
      <c r="L295" s="54"/>
      <c r="Q295" s="56"/>
      <c r="R295" s="21" t="s">
        <v>288</v>
      </c>
      <c r="S295" s="21" t="s">
        <v>37</v>
      </c>
      <c r="T295" s="21" t="s">
        <v>38</v>
      </c>
      <c r="U295" s="22">
        <v>1.1904761904761905</v>
      </c>
      <c r="V295" s="54">
        <v>0.6</v>
      </c>
      <c r="W295" s="21" t="s">
        <v>106</v>
      </c>
      <c r="X295" s="21" t="s">
        <v>37</v>
      </c>
      <c r="Y295" s="21" t="s">
        <v>38</v>
      </c>
      <c r="Z295" s="22">
        <v>0.9009009009009008</v>
      </c>
      <c r="AA295" s="54">
        <v>0.2</v>
      </c>
      <c r="AB295" s="21" t="s">
        <v>39</v>
      </c>
      <c r="AC295" s="21" t="s">
        <v>34</v>
      </c>
      <c r="AD295" s="21" t="s">
        <v>35</v>
      </c>
      <c r="AE295" s="22">
        <v>0.84745762711864414</v>
      </c>
      <c r="AF295" s="56">
        <v>0.2</v>
      </c>
      <c r="AG295" s="22">
        <v>1</v>
      </c>
      <c r="AH295" t="s">
        <v>41</v>
      </c>
    </row>
    <row r="296" spans="1:34">
      <c r="A296" s="9" t="s">
        <v>401</v>
      </c>
      <c r="B296" s="7" t="s">
        <v>67</v>
      </c>
      <c r="C296" s="29" t="s">
        <v>45</v>
      </c>
      <c r="D296" t="s">
        <v>34</v>
      </c>
      <c r="E296" s="21" t="s">
        <v>35</v>
      </c>
      <c r="F296" s="22">
        <v>0.81300813008130079</v>
      </c>
      <c r="G296" s="54">
        <v>1</v>
      </c>
      <c r="L296" s="54"/>
      <c r="Q296" s="56"/>
      <c r="R296" s="21" t="s">
        <v>108</v>
      </c>
      <c r="S296" s="21" t="s">
        <v>37</v>
      </c>
      <c r="T296" s="21" t="s">
        <v>35</v>
      </c>
      <c r="U296" s="22">
        <v>0.7407407407407407</v>
      </c>
      <c r="V296" s="54">
        <v>0.5</v>
      </c>
      <c r="W296" s="21" t="s">
        <v>106</v>
      </c>
      <c r="X296" s="21" t="s">
        <v>37</v>
      </c>
      <c r="Y296" s="21" t="s">
        <v>38</v>
      </c>
      <c r="Z296" s="22">
        <v>0.9009009009009008</v>
      </c>
      <c r="AA296" s="54">
        <v>0.5</v>
      </c>
      <c r="AB296" s="21"/>
      <c r="AE296" s="22"/>
      <c r="AF296" s="56"/>
      <c r="AG296" s="22">
        <v>0</v>
      </c>
      <c r="AH296" t="s">
        <v>40</v>
      </c>
    </row>
    <row r="297" spans="1:34">
      <c r="A297" s="9" t="s">
        <v>402</v>
      </c>
      <c r="B297" s="7" t="s">
        <v>67</v>
      </c>
      <c r="C297" s="29" t="s">
        <v>45</v>
      </c>
      <c r="D297" t="s">
        <v>34</v>
      </c>
      <c r="E297" s="21" t="s">
        <v>35</v>
      </c>
      <c r="F297" s="22">
        <v>0.81300813008130079</v>
      </c>
      <c r="G297" s="54">
        <v>0.5</v>
      </c>
      <c r="H297" s="29" t="s">
        <v>403</v>
      </c>
      <c r="I297" t="s">
        <v>54</v>
      </c>
      <c r="J297" s="21" t="s">
        <v>35</v>
      </c>
      <c r="K297" s="22">
        <v>0.69930069930069938</v>
      </c>
      <c r="L297" s="54">
        <v>0.5</v>
      </c>
      <c r="Q297" s="56"/>
      <c r="R297" s="21" t="s">
        <v>106</v>
      </c>
      <c r="S297" s="21" t="s">
        <v>37</v>
      </c>
      <c r="T297" s="21" t="s">
        <v>38</v>
      </c>
      <c r="U297" s="22">
        <v>0.9009009009009008</v>
      </c>
      <c r="V297" s="54">
        <v>0.75</v>
      </c>
      <c r="W297" s="21" t="s">
        <v>108</v>
      </c>
      <c r="X297" s="21" t="s">
        <v>37</v>
      </c>
      <c r="Y297" s="21" t="s">
        <v>35</v>
      </c>
      <c r="Z297" s="22">
        <v>0.7407407407407407</v>
      </c>
      <c r="AA297" s="54">
        <v>0.25</v>
      </c>
      <c r="AB297" s="21"/>
      <c r="AE297" s="22"/>
      <c r="AF297" s="56"/>
      <c r="AG297" s="22">
        <v>0</v>
      </c>
      <c r="AH297" t="s">
        <v>40</v>
      </c>
    </row>
    <row r="298" spans="1:34">
      <c r="A298" s="9" t="s">
        <v>404</v>
      </c>
      <c r="B298" s="7" t="s">
        <v>67</v>
      </c>
      <c r="C298" s="29" t="s">
        <v>33</v>
      </c>
      <c r="D298" t="s">
        <v>34</v>
      </c>
      <c r="E298" s="21" t="s">
        <v>35</v>
      </c>
      <c r="F298" s="22">
        <v>0.94339622641509424</v>
      </c>
      <c r="G298" s="54">
        <v>0.5</v>
      </c>
      <c r="H298" s="29" t="s">
        <v>45</v>
      </c>
      <c r="I298" t="s">
        <v>34</v>
      </c>
      <c r="J298" s="21" t="s">
        <v>35</v>
      </c>
      <c r="K298" s="22">
        <v>0.81300813008130079</v>
      </c>
      <c r="L298" s="54">
        <v>0.25</v>
      </c>
      <c r="M298" s="29" t="s">
        <v>403</v>
      </c>
      <c r="N298" t="s">
        <v>54</v>
      </c>
      <c r="O298" s="21" t="s">
        <v>35</v>
      </c>
      <c r="P298" s="22">
        <v>0.69930069930069938</v>
      </c>
      <c r="Q298" s="54">
        <v>0.25</v>
      </c>
      <c r="R298" s="64" t="s">
        <v>106</v>
      </c>
      <c r="S298" s="21" t="s">
        <v>37</v>
      </c>
      <c r="T298" s="21" t="s">
        <v>38</v>
      </c>
      <c r="U298" s="22">
        <v>0.9009009009009008</v>
      </c>
      <c r="V298" s="54">
        <v>1</v>
      </c>
      <c r="AA298" s="54"/>
      <c r="AF298" s="56"/>
      <c r="AG298" s="22">
        <v>0</v>
      </c>
      <c r="AH298" t="s">
        <v>40</v>
      </c>
    </row>
    <row r="299" spans="1:34">
      <c r="A299" s="9" t="s">
        <v>405</v>
      </c>
      <c r="B299" s="7" t="s">
        <v>67</v>
      </c>
      <c r="C299" s="29" t="s">
        <v>48</v>
      </c>
      <c r="D299" t="s">
        <v>37</v>
      </c>
      <c r="E299" s="21" t="s">
        <v>38</v>
      </c>
      <c r="F299" s="22">
        <v>0.94339622641509424</v>
      </c>
      <c r="G299" s="54">
        <v>0.66666666666666663</v>
      </c>
      <c r="H299" s="29" t="s">
        <v>45</v>
      </c>
      <c r="I299" t="s">
        <v>34</v>
      </c>
      <c r="J299" s="21" t="s">
        <v>35</v>
      </c>
      <c r="K299" s="22">
        <v>0.81300813008130079</v>
      </c>
      <c r="L299" s="54">
        <v>0.33333333333333331</v>
      </c>
      <c r="Q299" s="56"/>
      <c r="R299" s="64" t="s">
        <v>106</v>
      </c>
      <c r="S299" s="21" t="s">
        <v>37</v>
      </c>
      <c r="T299" s="21" t="s">
        <v>38</v>
      </c>
      <c r="U299" s="22">
        <v>0.9009009009009008</v>
      </c>
      <c r="V299" s="54">
        <v>1</v>
      </c>
      <c r="AA299" s="54"/>
      <c r="AF299" s="56"/>
      <c r="AG299" s="22">
        <v>0</v>
      </c>
      <c r="AH299" t="s">
        <v>40</v>
      </c>
    </row>
    <row r="300" spans="1:34">
      <c r="A300" s="9" t="s">
        <v>406</v>
      </c>
      <c r="B300" s="7" t="s">
        <v>67</v>
      </c>
      <c r="C300" s="29" t="s">
        <v>33</v>
      </c>
      <c r="D300" t="s">
        <v>34</v>
      </c>
      <c r="E300" s="21" t="s">
        <v>35</v>
      </c>
      <c r="F300" s="22">
        <v>0.94339622641509424</v>
      </c>
      <c r="G300" s="54">
        <v>0.5</v>
      </c>
      <c r="H300" s="29" t="s">
        <v>45</v>
      </c>
      <c r="I300" t="s">
        <v>34</v>
      </c>
      <c r="J300" s="21" t="s">
        <v>35</v>
      </c>
      <c r="K300" s="22">
        <v>0.81300813008130079</v>
      </c>
      <c r="L300" s="54">
        <v>0.5</v>
      </c>
      <c r="Q300" s="56"/>
      <c r="R300" s="64" t="s">
        <v>106</v>
      </c>
      <c r="S300" s="21" t="s">
        <v>37</v>
      </c>
      <c r="T300" s="21" t="s">
        <v>38</v>
      </c>
      <c r="U300" s="22">
        <v>0.9009009009009008</v>
      </c>
      <c r="V300" s="54">
        <v>1</v>
      </c>
      <c r="AA300" s="54"/>
      <c r="AF300" s="56"/>
      <c r="AG300" s="22">
        <v>0</v>
      </c>
      <c r="AH300" t="s">
        <v>40</v>
      </c>
    </row>
    <row r="301" spans="1:34">
      <c r="A301" s="9" t="s">
        <v>407</v>
      </c>
      <c r="B301" s="7" t="s">
        <v>67</v>
      </c>
      <c r="C301" s="29" t="s">
        <v>33</v>
      </c>
      <c r="D301" t="s">
        <v>34</v>
      </c>
      <c r="E301" s="21" t="s">
        <v>35</v>
      </c>
      <c r="F301" s="22">
        <v>0.94339622641509424</v>
      </c>
      <c r="G301" s="54">
        <v>1</v>
      </c>
      <c r="L301" s="54"/>
      <c r="Q301" s="56"/>
      <c r="R301" s="21" t="s">
        <v>106</v>
      </c>
      <c r="S301" s="21" t="s">
        <v>37</v>
      </c>
      <c r="T301" s="21" t="s">
        <v>38</v>
      </c>
      <c r="U301" s="22">
        <v>0.9009009009009008</v>
      </c>
      <c r="V301" s="54">
        <v>1</v>
      </c>
      <c r="AA301" s="54"/>
      <c r="AF301" s="56"/>
      <c r="AG301" s="22">
        <v>0</v>
      </c>
      <c r="AH301" t="s">
        <v>40</v>
      </c>
    </row>
    <row r="302" spans="1:34">
      <c r="A302" s="9" t="s">
        <v>408</v>
      </c>
      <c r="B302" s="7" t="s">
        <v>67</v>
      </c>
      <c r="C302" s="29" t="s">
        <v>111</v>
      </c>
      <c r="D302" t="s">
        <v>37</v>
      </c>
      <c r="E302" s="21" t="s">
        <v>35</v>
      </c>
      <c r="F302" s="22">
        <v>0.77519379844961234</v>
      </c>
      <c r="G302" s="54">
        <v>1</v>
      </c>
      <c r="L302" s="54"/>
      <c r="Q302" s="56"/>
      <c r="R302" s="21" t="s">
        <v>108</v>
      </c>
      <c r="S302" s="21" t="s">
        <v>37</v>
      </c>
      <c r="T302" s="21" t="s">
        <v>35</v>
      </c>
      <c r="U302" s="22">
        <v>0.7407407407407407</v>
      </c>
      <c r="V302" s="54">
        <v>1</v>
      </c>
      <c r="AA302" s="54"/>
      <c r="AF302" s="56"/>
      <c r="AG302" s="22">
        <v>0</v>
      </c>
      <c r="AH302" t="s">
        <v>40</v>
      </c>
    </row>
    <row r="303" spans="1:34">
      <c r="A303" s="9" t="s">
        <v>409</v>
      </c>
      <c r="B303" s="7" t="s">
        <v>67</v>
      </c>
      <c r="C303" s="29" t="s">
        <v>111</v>
      </c>
      <c r="D303" t="s">
        <v>37</v>
      </c>
      <c r="E303" s="21" t="s">
        <v>35</v>
      </c>
      <c r="F303" s="22">
        <v>0.77519379844961234</v>
      </c>
      <c r="G303" s="54">
        <v>0.5</v>
      </c>
      <c r="H303" s="29" t="s">
        <v>78</v>
      </c>
      <c r="I303" t="s">
        <v>34</v>
      </c>
      <c r="J303" s="21" t="s">
        <v>79</v>
      </c>
      <c r="K303" s="22">
        <v>0.81300813008130079</v>
      </c>
      <c r="L303" s="54">
        <v>0.5</v>
      </c>
      <c r="Q303" s="56"/>
      <c r="R303" s="21" t="s">
        <v>108</v>
      </c>
      <c r="S303" s="21" t="s">
        <v>37</v>
      </c>
      <c r="T303" s="21" t="s">
        <v>35</v>
      </c>
      <c r="U303" s="22">
        <v>0.7407407407407407</v>
      </c>
      <c r="V303" s="54">
        <v>0.5</v>
      </c>
      <c r="W303" s="21" t="s">
        <v>106</v>
      </c>
      <c r="X303" s="21" t="s">
        <v>37</v>
      </c>
      <c r="Y303" s="21" t="s">
        <v>38</v>
      </c>
      <c r="Z303" s="22">
        <v>0.9009009009009008</v>
      </c>
      <c r="AA303" s="54">
        <v>0.5</v>
      </c>
      <c r="AF303" s="56"/>
      <c r="AG303" s="22">
        <v>0</v>
      </c>
      <c r="AH303" t="s">
        <v>40</v>
      </c>
    </row>
    <row r="304" spans="1:34">
      <c r="A304" s="9" t="s">
        <v>410</v>
      </c>
      <c r="B304" s="7" t="s">
        <v>67</v>
      </c>
      <c r="C304" s="29" t="s">
        <v>47</v>
      </c>
      <c r="D304" t="s">
        <v>37</v>
      </c>
      <c r="E304" s="21" t="s">
        <v>35</v>
      </c>
      <c r="F304" s="22">
        <v>0.92592592592592582</v>
      </c>
      <c r="G304" s="54">
        <v>0.66666666666666663</v>
      </c>
      <c r="H304" s="29" t="s">
        <v>78</v>
      </c>
      <c r="I304" t="s">
        <v>34</v>
      </c>
      <c r="J304" s="21" t="s">
        <v>79</v>
      </c>
      <c r="K304" s="22">
        <v>0.81300813008130079</v>
      </c>
      <c r="L304" s="54">
        <v>0.33333333333333331</v>
      </c>
      <c r="Q304" s="56"/>
      <c r="R304" s="21" t="s">
        <v>108</v>
      </c>
      <c r="S304" s="21" t="s">
        <v>37</v>
      </c>
      <c r="T304" s="21" t="s">
        <v>35</v>
      </c>
      <c r="U304" s="22">
        <v>0.7407407407407407</v>
      </c>
      <c r="V304" s="54">
        <v>0.66666666666666663</v>
      </c>
      <c r="W304" s="21" t="s">
        <v>106</v>
      </c>
      <c r="X304" s="21" t="s">
        <v>37</v>
      </c>
      <c r="Y304" s="21" t="s">
        <v>38</v>
      </c>
      <c r="Z304" s="22">
        <v>0.9009009009009008</v>
      </c>
      <c r="AA304" s="54">
        <v>0.33333333333333331</v>
      </c>
      <c r="AF304" s="56"/>
      <c r="AG304" s="22">
        <v>0</v>
      </c>
      <c r="AH304" t="s">
        <v>40</v>
      </c>
    </row>
    <row r="305" spans="1:34">
      <c r="A305" s="9" t="s">
        <v>411</v>
      </c>
      <c r="B305" s="7" t="s">
        <v>67</v>
      </c>
      <c r="C305" s="29" t="s">
        <v>47</v>
      </c>
      <c r="D305" t="s">
        <v>37</v>
      </c>
      <c r="E305" s="21" t="s">
        <v>35</v>
      </c>
      <c r="F305" s="22">
        <v>0.92592592592592582</v>
      </c>
      <c r="G305" s="54">
        <v>1</v>
      </c>
      <c r="L305" s="54"/>
      <c r="Q305" s="56"/>
      <c r="R305" s="21" t="s">
        <v>108</v>
      </c>
      <c r="S305" s="21" t="s">
        <v>37</v>
      </c>
      <c r="T305" s="21" t="s">
        <v>35</v>
      </c>
      <c r="U305" s="22">
        <v>0.7407407407407407</v>
      </c>
      <c r="V305" s="54">
        <v>1</v>
      </c>
      <c r="AA305" s="54"/>
      <c r="AF305" s="56"/>
      <c r="AG305" s="22">
        <v>0</v>
      </c>
      <c r="AH305" t="s">
        <v>40</v>
      </c>
    </row>
    <row r="306" spans="1:34">
      <c r="A306" s="9" t="s">
        <v>412</v>
      </c>
      <c r="B306" s="7" t="s">
        <v>67</v>
      </c>
      <c r="C306" s="29" t="s">
        <v>47</v>
      </c>
      <c r="D306" t="s">
        <v>37</v>
      </c>
      <c r="E306" s="21" t="s">
        <v>35</v>
      </c>
      <c r="F306" s="22">
        <v>0.92592592592592582</v>
      </c>
      <c r="G306" s="54">
        <v>1</v>
      </c>
      <c r="L306" s="54"/>
      <c r="Q306" s="56"/>
      <c r="R306" s="21" t="s">
        <v>108</v>
      </c>
      <c r="S306" s="21" t="s">
        <v>37</v>
      </c>
      <c r="T306" s="21" t="s">
        <v>35</v>
      </c>
      <c r="U306" s="22">
        <v>0.7407407407407407</v>
      </c>
      <c r="V306" s="54">
        <v>0.5</v>
      </c>
      <c r="W306" s="21" t="s">
        <v>47</v>
      </c>
      <c r="X306" s="21" t="s">
        <v>37</v>
      </c>
      <c r="Y306" s="21" t="s">
        <v>35</v>
      </c>
      <c r="Z306" s="22">
        <v>0.92592592592592582</v>
      </c>
      <c r="AA306" s="54">
        <v>0.5</v>
      </c>
      <c r="AF306" s="56"/>
      <c r="AG306" s="22">
        <v>0</v>
      </c>
      <c r="AH306" t="s">
        <v>40</v>
      </c>
    </row>
    <row r="307" spans="1:34">
      <c r="A307" s="9" t="s">
        <v>413</v>
      </c>
      <c r="B307" s="7" t="s">
        <v>67</v>
      </c>
      <c r="C307" s="29" t="s">
        <v>47</v>
      </c>
      <c r="D307" t="s">
        <v>37</v>
      </c>
      <c r="E307" s="21" t="s">
        <v>35</v>
      </c>
      <c r="F307" s="22">
        <v>0.92592592592592582</v>
      </c>
      <c r="G307" s="54">
        <v>1</v>
      </c>
      <c r="L307" s="54"/>
      <c r="Q307" s="56"/>
      <c r="R307" s="21" t="s">
        <v>47</v>
      </c>
      <c r="S307" s="21" t="s">
        <v>37</v>
      </c>
      <c r="T307" s="21" t="s">
        <v>35</v>
      </c>
      <c r="U307" s="22">
        <v>0.92592592592592582</v>
      </c>
      <c r="V307" s="54">
        <v>1</v>
      </c>
      <c r="AA307" s="54"/>
      <c r="AF307" s="56"/>
      <c r="AG307" s="22">
        <v>0</v>
      </c>
      <c r="AH307" t="s">
        <v>40</v>
      </c>
    </row>
    <row r="308" spans="1:34" s="5" customFormat="1">
      <c r="A308" s="10" t="s">
        <v>414</v>
      </c>
      <c r="B308" s="11" t="s">
        <v>68</v>
      </c>
      <c r="C308" s="28" t="s">
        <v>232</v>
      </c>
      <c r="D308" s="5" t="s">
        <v>34</v>
      </c>
      <c r="E308" s="19" t="s">
        <v>79</v>
      </c>
      <c r="F308" s="20">
        <v>0.9009009009009008</v>
      </c>
      <c r="G308" s="55">
        <v>0.75</v>
      </c>
      <c r="H308" s="28" t="s">
        <v>55</v>
      </c>
      <c r="I308" s="19" t="s">
        <v>34</v>
      </c>
      <c r="J308" s="19" t="s">
        <v>38</v>
      </c>
      <c r="K308" s="20">
        <v>3.2258064516129035</v>
      </c>
      <c r="L308" s="55">
        <v>0.25</v>
      </c>
      <c r="M308" s="46"/>
      <c r="N308" s="19"/>
      <c r="O308" s="19"/>
      <c r="P308" s="20"/>
      <c r="Q308" s="57"/>
      <c r="R308" s="35" t="s">
        <v>78</v>
      </c>
      <c r="S308" s="30" t="s">
        <v>34</v>
      </c>
      <c r="T308" s="30" t="s">
        <v>79</v>
      </c>
      <c r="U308" s="31">
        <v>0.84745762711864414</v>
      </c>
      <c r="V308" s="32">
        <v>0.4</v>
      </c>
      <c r="W308" s="30" t="s">
        <v>44</v>
      </c>
      <c r="X308" s="30" t="s">
        <v>34</v>
      </c>
      <c r="Y308" s="30" t="s">
        <v>35</v>
      </c>
      <c r="Z308" s="31">
        <v>0.90909090909090906</v>
      </c>
      <c r="AA308" s="32">
        <v>0.4</v>
      </c>
      <c r="AB308" s="30" t="s">
        <v>56</v>
      </c>
      <c r="AC308" s="30" t="s">
        <v>34</v>
      </c>
      <c r="AD308" s="30" t="s">
        <v>38</v>
      </c>
      <c r="AE308" s="31">
        <v>2.5</v>
      </c>
      <c r="AF308" s="33">
        <v>0.2</v>
      </c>
      <c r="AG308" s="69">
        <v>0</v>
      </c>
      <c r="AH308" s="5" t="s">
        <v>40</v>
      </c>
    </row>
    <row r="309" spans="1:34">
      <c r="A309" s="9" t="s">
        <v>415</v>
      </c>
      <c r="B309" s="7" t="s">
        <v>68</v>
      </c>
      <c r="C309" s="29" t="s">
        <v>232</v>
      </c>
      <c r="D309" t="s">
        <v>34</v>
      </c>
      <c r="E309" s="21" t="s">
        <v>79</v>
      </c>
      <c r="F309" s="22">
        <v>0.9009009009009008</v>
      </c>
      <c r="G309" s="54">
        <v>0.75</v>
      </c>
      <c r="H309" s="21" t="s">
        <v>55</v>
      </c>
      <c r="I309" s="21" t="s">
        <v>34</v>
      </c>
      <c r="J309" s="21" t="s">
        <v>38</v>
      </c>
      <c r="K309" s="22">
        <v>3.2258064516129035</v>
      </c>
      <c r="L309" s="54">
        <v>0.25</v>
      </c>
      <c r="Q309" s="56"/>
      <c r="R309" s="36" t="s">
        <v>78</v>
      </c>
      <c r="S309" s="17" t="s">
        <v>34</v>
      </c>
      <c r="T309" s="17" t="s">
        <v>79</v>
      </c>
      <c r="U309" s="18">
        <v>0.84745762711864414</v>
      </c>
      <c r="V309" s="23">
        <v>0.4</v>
      </c>
      <c r="W309" s="17" t="s">
        <v>44</v>
      </c>
      <c r="X309" s="17" t="s">
        <v>34</v>
      </c>
      <c r="Y309" s="17" t="s">
        <v>35</v>
      </c>
      <c r="Z309" s="18">
        <v>0.90909090909090906</v>
      </c>
      <c r="AA309" s="23">
        <v>0.4</v>
      </c>
      <c r="AB309" s="45" t="s">
        <v>56</v>
      </c>
      <c r="AC309" s="21" t="s">
        <v>34</v>
      </c>
      <c r="AD309" s="21" t="s">
        <v>38</v>
      </c>
      <c r="AE309" s="18">
        <v>2.5</v>
      </c>
      <c r="AF309" s="56">
        <v>0.2</v>
      </c>
      <c r="AG309" s="22">
        <v>0</v>
      </c>
      <c r="AH309" t="s">
        <v>40</v>
      </c>
    </row>
    <row r="310" spans="1:34">
      <c r="A310" s="9" t="s">
        <v>416</v>
      </c>
      <c r="B310" s="7" t="s">
        <v>68</v>
      </c>
      <c r="C310" s="29" t="s">
        <v>232</v>
      </c>
      <c r="D310" t="s">
        <v>34</v>
      </c>
      <c r="E310" s="21" t="s">
        <v>79</v>
      </c>
      <c r="F310" s="22">
        <v>0.9009009009009008</v>
      </c>
      <c r="G310" s="54">
        <v>0.75</v>
      </c>
      <c r="H310" s="21" t="s">
        <v>55</v>
      </c>
      <c r="I310" s="21" t="s">
        <v>34</v>
      </c>
      <c r="J310" s="21" t="s">
        <v>38</v>
      </c>
      <c r="K310" s="22">
        <v>3.2258064516129035</v>
      </c>
      <c r="L310" s="54">
        <v>0.25</v>
      </c>
      <c r="Q310" s="56"/>
      <c r="R310" s="21" t="s">
        <v>78</v>
      </c>
      <c r="S310" s="21" t="s">
        <v>34</v>
      </c>
      <c r="T310" s="21" t="s">
        <v>79</v>
      </c>
      <c r="U310" s="22">
        <v>0.84745762711864414</v>
      </c>
      <c r="V310" s="54">
        <v>0.4</v>
      </c>
      <c r="W310" s="21" t="s">
        <v>44</v>
      </c>
      <c r="X310" s="21" t="s">
        <v>34</v>
      </c>
      <c r="Y310" s="21" t="s">
        <v>35</v>
      </c>
      <c r="Z310" s="22">
        <v>0.90909090909090906</v>
      </c>
      <c r="AA310" s="54">
        <v>0.4</v>
      </c>
      <c r="AB310" s="45" t="s">
        <v>56</v>
      </c>
      <c r="AC310" s="21" t="s">
        <v>34</v>
      </c>
      <c r="AD310" s="21" t="s">
        <v>38</v>
      </c>
      <c r="AE310" s="18">
        <v>2.5</v>
      </c>
      <c r="AF310" s="56">
        <v>0.2</v>
      </c>
      <c r="AG310" s="22">
        <v>0</v>
      </c>
      <c r="AH310" t="s">
        <v>40</v>
      </c>
    </row>
    <row r="311" spans="1:34">
      <c r="A311" s="9" t="s">
        <v>417</v>
      </c>
      <c r="B311" s="7" t="s">
        <v>68</v>
      </c>
      <c r="C311" s="29" t="s">
        <v>232</v>
      </c>
      <c r="D311" t="s">
        <v>34</v>
      </c>
      <c r="E311" s="21" t="s">
        <v>79</v>
      </c>
      <c r="F311" s="22">
        <v>0.9009009009009008</v>
      </c>
      <c r="G311" s="54">
        <v>0.75</v>
      </c>
      <c r="H311" s="21" t="s">
        <v>55</v>
      </c>
      <c r="I311" s="21" t="s">
        <v>34</v>
      </c>
      <c r="J311" s="21" t="s">
        <v>38</v>
      </c>
      <c r="K311" s="22">
        <v>3.2258064516129035</v>
      </c>
      <c r="L311" s="54">
        <v>0.25</v>
      </c>
      <c r="Q311" s="56"/>
      <c r="R311" s="21" t="s">
        <v>78</v>
      </c>
      <c r="S311" s="21" t="s">
        <v>34</v>
      </c>
      <c r="T311" s="21" t="s">
        <v>79</v>
      </c>
      <c r="U311" s="22">
        <v>0.84745762711864414</v>
      </c>
      <c r="V311" s="54">
        <v>0.4</v>
      </c>
      <c r="W311" s="21" t="s">
        <v>44</v>
      </c>
      <c r="X311" s="21" t="s">
        <v>34</v>
      </c>
      <c r="Y311" s="21" t="s">
        <v>35</v>
      </c>
      <c r="Z311" s="22">
        <v>0.90909090909090906</v>
      </c>
      <c r="AA311" s="54">
        <v>0.4</v>
      </c>
      <c r="AB311" s="45" t="s">
        <v>56</v>
      </c>
      <c r="AC311" s="21" t="s">
        <v>34</v>
      </c>
      <c r="AD311" s="21" t="s">
        <v>38</v>
      </c>
      <c r="AE311" s="18">
        <v>2.5</v>
      </c>
      <c r="AF311" s="56">
        <v>0.2</v>
      </c>
      <c r="AG311" s="22">
        <v>0</v>
      </c>
      <c r="AH311" t="s">
        <v>40</v>
      </c>
    </row>
    <row r="312" spans="1:34">
      <c r="A312" s="9" t="s">
        <v>418</v>
      </c>
      <c r="B312" s="7" t="s">
        <v>68</v>
      </c>
      <c r="C312" s="29" t="s">
        <v>232</v>
      </c>
      <c r="D312" t="s">
        <v>34</v>
      </c>
      <c r="E312" s="21" t="s">
        <v>79</v>
      </c>
      <c r="F312" s="22">
        <v>0.9009009009009008</v>
      </c>
      <c r="G312" s="54">
        <v>0.75</v>
      </c>
      <c r="H312" s="21" t="s">
        <v>55</v>
      </c>
      <c r="I312" s="21" t="s">
        <v>34</v>
      </c>
      <c r="J312" s="21" t="s">
        <v>38</v>
      </c>
      <c r="K312" s="22">
        <v>3.2258064516129035</v>
      </c>
      <c r="L312" s="54">
        <v>0.25</v>
      </c>
      <c r="Q312" s="56"/>
      <c r="R312" s="21" t="s">
        <v>78</v>
      </c>
      <c r="S312" s="21" t="s">
        <v>34</v>
      </c>
      <c r="T312" s="21" t="s">
        <v>79</v>
      </c>
      <c r="U312" s="22">
        <v>0.84745762711864414</v>
      </c>
      <c r="V312" s="54">
        <v>0.4</v>
      </c>
      <c r="W312" s="21" t="s">
        <v>44</v>
      </c>
      <c r="X312" s="21" t="s">
        <v>34</v>
      </c>
      <c r="Y312" s="21" t="s">
        <v>35</v>
      </c>
      <c r="Z312" s="22">
        <v>0.90909090909090906</v>
      </c>
      <c r="AA312" s="54">
        <v>0.4</v>
      </c>
      <c r="AB312" s="45" t="s">
        <v>56</v>
      </c>
      <c r="AC312" s="21" t="s">
        <v>34</v>
      </c>
      <c r="AD312" s="21" t="s">
        <v>38</v>
      </c>
      <c r="AE312" s="18">
        <v>2.5</v>
      </c>
      <c r="AF312" s="56">
        <v>0.2</v>
      </c>
      <c r="AG312" s="22">
        <v>0</v>
      </c>
      <c r="AH312" t="s">
        <v>40</v>
      </c>
    </row>
    <row r="313" spans="1:34">
      <c r="A313" s="9" t="s">
        <v>419</v>
      </c>
      <c r="B313" s="7" t="s">
        <v>68</v>
      </c>
      <c r="C313" s="29" t="s">
        <v>232</v>
      </c>
      <c r="D313" t="s">
        <v>34</v>
      </c>
      <c r="E313" s="21" t="s">
        <v>79</v>
      </c>
      <c r="F313" s="22">
        <v>0.9009009009009008</v>
      </c>
      <c r="G313" s="54">
        <v>0.75</v>
      </c>
      <c r="H313" s="21" t="s">
        <v>55</v>
      </c>
      <c r="I313" s="21" t="s">
        <v>34</v>
      </c>
      <c r="J313" s="21" t="s">
        <v>38</v>
      </c>
      <c r="K313" s="22">
        <v>3.2258064516129035</v>
      </c>
      <c r="L313" s="54">
        <v>0.25</v>
      </c>
      <c r="Q313" s="56"/>
      <c r="R313" s="21" t="s">
        <v>78</v>
      </c>
      <c r="S313" s="21" t="s">
        <v>34</v>
      </c>
      <c r="T313" s="21" t="s">
        <v>79</v>
      </c>
      <c r="U313" s="22">
        <v>0.84745762711864414</v>
      </c>
      <c r="V313" s="54">
        <v>0.4</v>
      </c>
      <c r="W313" s="21" t="s">
        <v>44</v>
      </c>
      <c r="X313" s="21" t="s">
        <v>34</v>
      </c>
      <c r="Y313" s="21" t="s">
        <v>35</v>
      </c>
      <c r="Z313" s="22">
        <v>0.90909090909090906</v>
      </c>
      <c r="AA313" s="54">
        <v>0.4</v>
      </c>
      <c r="AB313" s="45" t="s">
        <v>56</v>
      </c>
      <c r="AC313" s="21" t="s">
        <v>34</v>
      </c>
      <c r="AD313" s="21" t="s">
        <v>38</v>
      </c>
      <c r="AE313" s="18">
        <v>2.5</v>
      </c>
      <c r="AF313" s="56">
        <v>0.2</v>
      </c>
      <c r="AG313" s="22">
        <v>0</v>
      </c>
      <c r="AH313" t="s">
        <v>40</v>
      </c>
    </row>
    <row r="314" spans="1:34">
      <c r="A314" s="9" t="s">
        <v>420</v>
      </c>
      <c r="B314" s="7" t="s">
        <v>68</v>
      </c>
      <c r="C314" s="29" t="s">
        <v>232</v>
      </c>
      <c r="D314" t="s">
        <v>34</v>
      </c>
      <c r="E314" s="21" t="s">
        <v>79</v>
      </c>
      <c r="F314" s="22">
        <v>0.9009009009009008</v>
      </c>
      <c r="G314" s="54">
        <v>0.75</v>
      </c>
      <c r="H314" s="21" t="s">
        <v>55</v>
      </c>
      <c r="I314" s="21" t="s">
        <v>34</v>
      </c>
      <c r="J314" s="21" t="s">
        <v>38</v>
      </c>
      <c r="K314" s="22">
        <v>3.2258064516129035</v>
      </c>
      <c r="L314" s="54">
        <v>0.25</v>
      </c>
      <c r="Q314" s="56"/>
      <c r="R314" s="21" t="s">
        <v>78</v>
      </c>
      <c r="S314" s="21" t="s">
        <v>34</v>
      </c>
      <c r="T314" s="21" t="s">
        <v>79</v>
      </c>
      <c r="U314" s="22">
        <v>0.84745762711864414</v>
      </c>
      <c r="V314" s="54">
        <v>0.4</v>
      </c>
      <c r="W314" s="21" t="s">
        <v>44</v>
      </c>
      <c r="X314" s="21" t="s">
        <v>34</v>
      </c>
      <c r="Y314" s="21" t="s">
        <v>35</v>
      </c>
      <c r="Z314" s="22">
        <v>0.90909090909090906</v>
      </c>
      <c r="AA314" s="54">
        <v>0.4</v>
      </c>
      <c r="AB314" s="45" t="s">
        <v>56</v>
      </c>
      <c r="AC314" s="21" t="s">
        <v>34</v>
      </c>
      <c r="AD314" s="21" t="s">
        <v>38</v>
      </c>
      <c r="AE314" s="18">
        <v>2.5</v>
      </c>
      <c r="AF314" s="56">
        <v>0.2</v>
      </c>
      <c r="AG314" s="22">
        <v>0</v>
      </c>
      <c r="AH314" t="s">
        <v>40</v>
      </c>
    </row>
    <row r="315" spans="1:34">
      <c r="A315" s="9" t="s">
        <v>421</v>
      </c>
      <c r="B315" s="7" t="s">
        <v>68</v>
      </c>
      <c r="C315" s="29" t="s">
        <v>232</v>
      </c>
      <c r="D315" t="s">
        <v>34</v>
      </c>
      <c r="E315" s="21" t="s">
        <v>79</v>
      </c>
      <c r="F315" s="22">
        <v>0.9009009009009008</v>
      </c>
      <c r="G315" s="54">
        <v>0.75</v>
      </c>
      <c r="H315" s="21" t="s">
        <v>55</v>
      </c>
      <c r="I315" s="21" t="s">
        <v>34</v>
      </c>
      <c r="J315" s="21" t="s">
        <v>38</v>
      </c>
      <c r="K315" s="22">
        <v>3.2258064516129035</v>
      </c>
      <c r="L315" s="54">
        <v>0.25</v>
      </c>
      <c r="Q315" s="56"/>
      <c r="R315" s="21" t="s">
        <v>78</v>
      </c>
      <c r="S315" s="21" t="s">
        <v>34</v>
      </c>
      <c r="T315" s="21" t="s">
        <v>79</v>
      </c>
      <c r="U315" s="22">
        <v>0.84745762711864414</v>
      </c>
      <c r="V315" s="54">
        <v>0.4</v>
      </c>
      <c r="W315" s="21" t="s">
        <v>44</v>
      </c>
      <c r="X315" s="21" t="s">
        <v>34</v>
      </c>
      <c r="Y315" s="21" t="s">
        <v>35</v>
      </c>
      <c r="Z315" s="22">
        <v>0.90909090909090906</v>
      </c>
      <c r="AA315" s="54">
        <v>0.4</v>
      </c>
      <c r="AB315" s="45" t="s">
        <v>56</v>
      </c>
      <c r="AC315" s="21" t="s">
        <v>34</v>
      </c>
      <c r="AD315" s="21" t="s">
        <v>38</v>
      </c>
      <c r="AE315" s="18">
        <v>2.5</v>
      </c>
      <c r="AF315" s="56">
        <v>0.2</v>
      </c>
      <c r="AG315" s="22">
        <v>0</v>
      </c>
      <c r="AH315" t="s">
        <v>40</v>
      </c>
    </row>
    <row r="316" spans="1:34">
      <c r="A316" s="9" t="s">
        <v>422</v>
      </c>
      <c r="B316" s="7" t="s">
        <v>68</v>
      </c>
      <c r="C316" s="29" t="s">
        <v>232</v>
      </c>
      <c r="D316" t="s">
        <v>34</v>
      </c>
      <c r="E316" s="21" t="s">
        <v>79</v>
      </c>
      <c r="F316" s="22">
        <v>0.9009009009009008</v>
      </c>
      <c r="G316" s="54">
        <v>0.75</v>
      </c>
      <c r="H316" s="21" t="s">
        <v>55</v>
      </c>
      <c r="I316" s="21" t="s">
        <v>34</v>
      </c>
      <c r="J316" s="21" t="s">
        <v>38</v>
      </c>
      <c r="K316" s="22">
        <v>3.2258064516129035</v>
      </c>
      <c r="L316" s="54">
        <v>0.25</v>
      </c>
      <c r="Q316" s="56"/>
      <c r="R316" s="21" t="s">
        <v>78</v>
      </c>
      <c r="S316" s="21" t="s">
        <v>34</v>
      </c>
      <c r="T316" s="21" t="s">
        <v>79</v>
      </c>
      <c r="U316" s="22">
        <v>0.84745762711864414</v>
      </c>
      <c r="V316" s="54">
        <v>0.4</v>
      </c>
      <c r="W316" s="21" t="s">
        <v>44</v>
      </c>
      <c r="X316" s="21" t="s">
        <v>34</v>
      </c>
      <c r="Y316" s="21" t="s">
        <v>35</v>
      </c>
      <c r="Z316" s="22">
        <v>0.90909090909090906</v>
      </c>
      <c r="AA316" s="54">
        <v>0.4</v>
      </c>
      <c r="AB316" s="45" t="s">
        <v>56</v>
      </c>
      <c r="AC316" s="21" t="s">
        <v>34</v>
      </c>
      <c r="AD316" s="21" t="s">
        <v>38</v>
      </c>
      <c r="AE316" s="18">
        <v>2.5</v>
      </c>
      <c r="AF316" s="56">
        <v>0.2</v>
      </c>
      <c r="AG316" s="22">
        <v>0</v>
      </c>
      <c r="AH316" t="s">
        <v>40</v>
      </c>
    </row>
    <row r="317" spans="1:34">
      <c r="A317" s="9" t="s">
        <v>423</v>
      </c>
      <c r="B317" s="7" t="s">
        <v>68</v>
      </c>
      <c r="C317" s="29" t="s">
        <v>232</v>
      </c>
      <c r="D317" t="s">
        <v>34</v>
      </c>
      <c r="E317" s="21" t="s">
        <v>79</v>
      </c>
      <c r="F317" s="22">
        <v>0.9009009009009008</v>
      </c>
      <c r="G317" s="54">
        <v>0.75</v>
      </c>
      <c r="H317" s="21" t="s">
        <v>55</v>
      </c>
      <c r="I317" s="21" t="s">
        <v>34</v>
      </c>
      <c r="J317" s="21" t="s">
        <v>38</v>
      </c>
      <c r="K317" s="22">
        <v>3.2258064516129035</v>
      </c>
      <c r="L317" s="54">
        <v>0.25</v>
      </c>
      <c r="Q317" s="56"/>
      <c r="R317" s="21" t="s">
        <v>78</v>
      </c>
      <c r="S317" s="21" t="s">
        <v>34</v>
      </c>
      <c r="T317" s="21" t="s">
        <v>79</v>
      </c>
      <c r="U317" s="22">
        <v>0.84745762711864414</v>
      </c>
      <c r="V317" s="54">
        <v>0.4</v>
      </c>
      <c r="W317" s="21" t="s">
        <v>44</v>
      </c>
      <c r="X317" s="21" t="s">
        <v>34</v>
      </c>
      <c r="Y317" s="21" t="s">
        <v>35</v>
      </c>
      <c r="Z317" s="22">
        <v>0.90909090909090906</v>
      </c>
      <c r="AA317" s="54">
        <v>0.4</v>
      </c>
      <c r="AB317" s="45" t="s">
        <v>56</v>
      </c>
      <c r="AC317" s="21" t="s">
        <v>34</v>
      </c>
      <c r="AD317" s="21" t="s">
        <v>38</v>
      </c>
      <c r="AE317" s="39">
        <v>2.5</v>
      </c>
      <c r="AF317" s="56">
        <v>0.2</v>
      </c>
      <c r="AG317" s="22">
        <v>0</v>
      </c>
      <c r="AH317" t="s">
        <v>40</v>
      </c>
    </row>
    <row r="318" spans="1:34" s="5" customFormat="1">
      <c r="A318" s="10" t="s">
        <v>424</v>
      </c>
      <c r="B318" s="11" t="s">
        <v>69</v>
      </c>
      <c r="C318" s="28" t="s">
        <v>251</v>
      </c>
      <c r="D318" s="5" t="s">
        <v>34</v>
      </c>
      <c r="E318" s="19" t="s">
        <v>35</v>
      </c>
      <c r="F318" s="20">
        <v>0.63694267515923564</v>
      </c>
      <c r="G318" s="55">
        <v>1</v>
      </c>
      <c r="H318" s="19"/>
      <c r="I318" s="19"/>
      <c r="J318" s="19"/>
      <c r="K318" s="20"/>
      <c r="L318" s="55"/>
      <c r="M318" s="46"/>
      <c r="N318" s="19"/>
      <c r="O318" s="19"/>
      <c r="P318" s="20"/>
      <c r="Q318" s="57"/>
      <c r="R318" s="63" t="s">
        <v>44</v>
      </c>
      <c r="S318" s="19" t="s">
        <v>34</v>
      </c>
      <c r="T318" s="19" t="s">
        <v>35</v>
      </c>
      <c r="U318" s="20">
        <v>0.69930069930069938</v>
      </c>
      <c r="V318" s="55">
        <v>1</v>
      </c>
      <c r="W318" s="19"/>
      <c r="X318" s="19"/>
      <c r="Y318" s="19"/>
      <c r="Z318" s="20"/>
      <c r="AA318" s="55"/>
      <c r="AB318" s="46"/>
      <c r="AC318" s="19"/>
      <c r="AD318" s="19"/>
      <c r="AE318" s="19"/>
      <c r="AF318" s="57"/>
      <c r="AG318" s="69">
        <v>0</v>
      </c>
      <c r="AH318" s="5" t="s">
        <v>40</v>
      </c>
    </row>
    <row r="319" spans="1:34">
      <c r="A319" s="9" t="s">
        <v>425</v>
      </c>
      <c r="B319" s="7" t="s">
        <v>69</v>
      </c>
      <c r="C319" s="29" t="s">
        <v>251</v>
      </c>
      <c r="D319" t="s">
        <v>34</v>
      </c>
      <c r="E319" s="21" t="s">
        <v>35</v>
      </c>
      <c r="F319" s="22">
        <v>0.63694267515923564</v>
      </c>
      <c r="G319" s="54">
        <v>1</v>
      </c>
      <c r="L319" s="54"/>
      <c r="Q319" s="56"/>
      <c r="R319" s="64" t="s">
        <v>44</v>
      </c>
      <c r="S319" s="21" t="s">
        <v>34</v>
      </c>
      <c r="T319" s="21" t="s">
        <v>35</v>
      </c>
      <c r="U319" s="22">
        <v>0.69930069930069938</v>
      </c>
      <c r="V319" s="54">
        <v>1</v>
      </c>
      <c r="AA319" s="54"/>
      <c r="AF319" s="56"/>
      <c r="AG319" s="70">
        <v>0</v>
      </c>
      <c r="AH319" t="s">
        <v>40</v>
      </c>
    </row>
    <row r="320" spans="1:34">
      <c r="A320" s="9" t="s">
        <v>426</v>
      </c>
      <c r="B320" s="7" t="s">
        <v>69</v>
      </c>
      <c r="C320" s="29" t="s">
        <v>251</v>
      </c>
      <c r="D320" t="s">
        <v>34</v>
      </c>
      <c r="E320" s="21" t="s">
        <v>35</v>
      </c>
      <c r="F320" s="22">
        <v>0.63694267515923564</v>
      </c>
      <c r="G320" s="54">
        <v>1</v>
      </c>
      <c r="L320" s="54"/>
      <c r="Q320" s="56"/>
      <c r="R320" s="21" t="s">
        <v>44</v>
      </c>
      <c r="S320" s="21" t="s">
        <v>34</v>
      </c>
      <c r="T320" s="21" t="s">
        <v>35</v>
      </c>
      <c r="U320" s="22">
        <v>0.69930069930069938</v>
      </c>
      <c r="V320" s="54">
        <v>1</v>
      </c>
      <c r="AA320" s="54"/>
      <c r="AF320" s="56"/>
      <c r="AG320" s="22">
        <v>0</v>
      </c>
      <c r="AH320" t="s">
        <v>40</v>
      </c>
    </row>
    <row r="321" spans="1:34">
      <c r="A321" s="9" t="s">
        <v>427</v>
      </c>
      <c r="B321" s="7" t="s">
        <v>69</v>
      </c>
      <c r="C321" s="29" t="s">
        <v>251</v>
      </c>
      <c r="D321" t="s">
        <v>34</v>
      </c>
      <c r="E321" s="21" t="s">
        <v>35</v>
      </c>
      <c r="F321" s="22">
        <v>0.63694267515923564</v>
      </c>
      <c r="G321" s="54">
        <v>1</v>
      </c>
      <c r="L321" s="54"/>
      <c r="Q321" s="56"/>
      <c r="R321" s="21" t="s">
        <v>44</v>
      </c>
      <c r="S321" s="21" t="s">
        <v>34</v>
      </c>
      <c r="T321" s="21" t="s">
        <v>35</v>
      </c>
      <c r="U321" s="22">
        <v>0.69930069930069938</v>
      </c>
      <c r="V321" s="54">
        <v>1</v>
      </c>
      <c r="AA321" s="54"/>
      <c r="AF321" s="56"/>
      <c r="AG321" s="22">
        <v>0</v>
      </c>
      <c r="AH321" t="s">
        <v>40</v>
      </c>
    </row>
    <row r="322" spans="1:34">
      <c r="A322" s="9" t="s">
        <v>428</v>
      </c>
      <c r="B322" s="7" t="s">
        <v>69</v>
      </c>
      <c r="C322" s="29" t="s">
        <v>251</v>
      </c>
      <c r="D322" t="s">
        <v>34</v>
      </c>
      <c r="E322" s="21" t="s">
        <v>35</v>
      </c>
      <c r="F322" s="22">
        <v>0.63694267515923564</v>
      </c>
      <c r="G322" s="54">
        <v>0.6</v>
      </c>
      <c r="H322" s="29" t="s">
        <v>152</v>
      </c>
      <c r="I322" t="s">
        <v>34</v>
      </c>
      <c r="J322" s="21" t="s">
        <v>35</v>
      </c>
      <c r="K322" s="22">
        <v>0.84033613445378152</v>
      </c>
      <c r="L322" s="54">
        <v>0.4</v>
      </c>
      <c r="Q322" s="56"/>
      <c r="R322" s="21" t="s">
        <v>44</v>
      </c>
      <c r="S322" s="21" t="s">
        <v>34</v>
      </c>
      <c r="T322" s="21" t="s">
        <v>35</v>
      </c>
      <c r="U322" s="22">
        <v>0.69930069930069938</v>
      </c>
      <c r="V322" s="54">
        <v>1</v>
      </c>
      <c r="AA322" s="54"/>
      <c r="AF322" s="56"/>
      <c r="AG322" s="22">
        <v>0</v>
      </c>
      <c r="AH322" t="s">
        <v>40</v>
      </c>
    </row>
    <row r="323" spans="1:34">
      <c r="A323" s="9" t="s">
        <v>429</v>
      </c>
      <c r="B323" s="7" t="s">
        <v>69</v>
      </c>
      <c r="C323" s="29" t="s">
        <v>152</v>
      </c>
      <c r="D323" t="s">
        <v>34</v>
      </c>
      <c r="E323" s="21" t="s">
        <v>35</v>
      </c>
      <c r="F323" s="22">
        <v>0.84033613445378152</v>
      </c>
      <c r="G323" s="54">
        <v>1</v>
      </c>
      <c r="L323" s="54"/>
      <c r="Q323" s="56"/>
      <c r="R323" s="21" t="s">
        <v>44</v>
      </c>
      <c r="S323" s="21" t="s">
        <v>34</v>
      </c>
      <c r="T323" s="21" t="s">
        <v>35</v>
      </c>
      <c r="U323" s="22">
        <v>0.69930069930069938</v>
      </c>
      <c r="V323" s="54">
        <v>0.66666666666666663</v>
      </c>
      <c r="W323" s="21" t="s">
        <v>149</v>
      </c>
      <c r="X323" s="21" t="s">
        <v>37</v>
      </c>
      <c r="Y323" s="21" t="s">
        <v>150</v>
      </c>
      <c r="Z323" s="22">
        <v>0.68</v>
      </c>
      <c r="AA323" s="54">
        <v>0.33333333333333331</v>
      </c>
      <c r="AF323" s="56"/>
      <c r="AG323" s="22">
        <v>0</v>
      </c>
      <c r="AH323" t="s">
        <v>40</v>
      </c>
    </row>
    <row r="324" spans="1:34">
      <c r="A324" s="9" t="s">
        <v>430</v>
      </c>
      <c r="B324" s="7" t="s">
        <v>69</v>
      </c>
      <c r="C324" s="29" t="s">
        <v>251</v>
      </c>
      <c r="D324" t="s">
        <v>34</v>
      </c>
      <c r="E324" s="21" t="s">
        <v>35</v>
      </c>
      <c r="F324" s="22">
        <v>0.63694267515923564</v>
      </c>
      <c r="G324" s="54">
        <v>1</v>
      </c>
      <c r="L324" s="54"/>
      <c r="Q324" s="56"/>
      <c r="R324" s="64" t="s">
        <v>44</v>
      </c>
      <c r="S324" s="21" t="s">
        <v>34</v>
      </c>
      <c r="T324" s="21" t="s">
        <v>35</v>
      </c>
      <c r="U324" s="22">
        <v>0.69930069930069938</v>
      </c>
      <c r="V324" s="54">
        <v>0.5</v>
      </c>
      <c r="W324" s="21" t="s">
        <v>148</v>
      </c>
      <c r="X324" s="21" t="s">
        <v>37</v>
      </c>
      <c r="Y324" s="21" t="s">
        <v>35</v>
      </c>
      <c r="Z324" s="22">
        <v>0.69930069930069938</v>
      </c>
      <c r="AA324" s="54">
        <v>0.5</v>
      </c>
      <c r="AF324" s="56"/>
      <c r="AG324" s="22">
        <v>0</v>
      </c>
      <c r="AH324" t="s">
        <v>40</v>
      </c>
    </row>
    <row r="325" spans="1:34">
      <c r="A325" s="9" t="s">
        <v>431</v>
      </c>
      <c r="B325" s="7" t="s">
        <v>69</v>
      </c>
      <c r="C325" s="29" t="s">
        <v>251</v>
      </c>
      <c r="D325" t="s">
        <v>34</v>
      </c>
      <c r="E325" s="21" t="s">
        <v>35</v>
      </c>
      <c r="F325" s="22">
        <v>0.63694267515923564</v>
      </c>
      <c r="G325" s="54">
        <v>1</v>
      </c>
      <c r="L325" s="54"/>
      <c r="Q325" s="56"/>
      <c r="R325" s="21" t="s">
        <v>44</v>
      </c>
      <c r="S325" s="21" t="s">
        <v>34</v>
      </c>
      <c r="T325" s="21" t="s">
        <v>35</v>
      </c>
      <c r="U325" s="22">
        <v>0.69930069930069938</v>
      </c>
      <c r="V325" s="54">
        <v>0.5</v>
      </c>
      <c r="W325" s="21" t="s">
        <v>148</v>
      </c>
      <c r="X325" s="21" t="s">
        <v>37</v>
      </c>
      <c r="Y325" s="21" t="s">
        <v>35</v>
      </c>
      <c r="Z325" s="22">
        <v>0.69930069930069938</v>
      </c>
      <c r="AA325" s="54">
        <v>0.5</v>
      </c>
      <c r="AF325" s="56"/>
      <c r="AG325" s="22">
        <v>0</v>
      </c>
      <c r="AH325" t="s">
        <v>40</v>
      </c>
    </row>
    <row r="326" spans="1:34">
      <c r="A326" s="9" t="s">
        <v>432</v>
      </c>
      <c r="B326" s="7" t="s">
        <v>69</v>
      </c>
      <c r="C326" s="29" t="s">
        <v>251</v>
      </c>
      <c r="D326" t="s">
        <v>34</v>
      </c>
      <c r="E326" s="21" t="s">
        <v>35</v>
      </c>
      <c r="F326" s="22">
        <v>0.63694267515923564</v>
      </c>
      <c r="G326" s="54">
        <v>1</v>
      </c>
      <c r="L326" s="54"/>
      <c r="Q326" s="56"/>
      <c r="R326" s="21" t="s">
        <v>44</v>
      </c>
      <c r="S326" s="21" t="s">
        <v>34</v>
      </c>
      <c r="T326" s="21" t="s">
        <v>35</v>
      </c>
      <c r="U326" s="22">
        <v>0.69930069930069938</v>
      </c>
      <c r="V326" s="54">
        <v>0.5</v>
      </c>
      <c r="W326" s="21" t="s">
        <v>148</v>
      </c>
      <c r="X326" s="21" t="s">
        <v>37</v>
      </c>
      <c r="Y326" s="21" t="s">
        <v>35</v>
      </c>
      <c r="Z326" s="22">
        <v>0.69930069930069938</v>
      </c>
      <c r="AA326" s="54">
        <v>0.5</v>
      </c>
      <c r="AF326" s="56"/>
      <c r="AG326" s="22">
        <v>0</v>
      </c>
      <c r="AH326" t="s">
        <v>40</v>
      </c>
    </row>
    <row r="327" spans="1:34">
      <c r="A327" s="9" t="s">
        <v>433</v>
      </c>
      <c r="B327" s="7" t="s">
        <v>69</v>
      </c>
      <c r="C327" s="29" t="s">
        <v>251</v>
      </c>
      <c r="D327" t="s">
        <v>34</v>
      </c>
      <c r="E327" s="21" t="s">
        <v>35</v>
      </c>
      <c r="F327" s="22">
        <v>0.63694267515923564</v>
      </c>
      <c r="G327" s="54">
        <v>1</v>
      </c>
      <c r="L327" s="54"/>
      <c r="Q327" s="56"/>
      <c r="R327" s="21" t="s">
        <v>44</v>
      </c>
      <c r="S327" s="21" t="s">
        <v>34</v>
      </c>
      <c r="T327" s="21" t="s">
        <v>35</v>
      </c>
      <c r="U327" s="22">
        <v>0.69930069930069938</v>
      </c>
      <c r="V327" s="54">
        <v>0.5</v>
      </c>
      <c r="W327" s="21" t="s">
        <v>148</v>
      </c>
      <c r="X327" s="21" t="s">
        <v>37</v>
      </c>
      <c r="Y327" s="21" t="s">
        <v>35</v>
      </c>
      <c r="Z327" s="22">
        <v>0.69930069930069938</v>
      </c>
      <c r="AA327" s="54">
        <v>0.5</v>
      </c>
      <c r="AF327" s="56"/>
      <c r="AG327" s="22">
        <v>0</v>
      </c>
      <c r="AH327" t="s">
        <v>40</v>
      </c>
    </row>
    <row r="328" spans="1:34">
      <c r="A328" s="9" t="s">
        <v>434</v>
      </c>
      <c r="B328" s="7" t="s">
        <v>69</v>
      </c>
      <c r="C328" s="29" t="s">
        <v>251</v>
      </c>
      <c r="D328" t="s">
        <v>34</v>
      </c>
      <c r="E328" s="21" t="s">
        <v>35</v>
      </c>
      <c r="F328" s="22">
        <v>0.63694267515923564</v>
      </c>
      <c r="G328" s="54">
        <v>0.6</v>
      </c>
      <c r="H328" s="29" t="s">
        <v>152</v>
      </c>
      <c r="I328" t="s">
        <v>34</v>
      </c>
      <c r="J328" s="21" t="s">
        <v>35</v>
      </c>
      <c r="K328" s="22">
        <v>0.84033613445378152</v>
      </c>
      <c r="L328" s="54">
        <v>0.4</v>
      </c>
      <c r="Q328" s="56"/>
      <c r="R328" s="21" t="s">
        <v>44</v>
      </c>
      <c r="S328" s="21" t="s">
        <v>34</v>
      </c>
      <c r="T328" s="21" t="s">
        <v>35</v>
      </c>
      <c r="U328" s="22">
        <v>0.69930069930069938</v>
      </c>
      <c r="V328" s="54">
        <v>0.5</v>
      </c>
      <c r="W328" s="21" t="s">
        <v>148</v>
      </c>
      <c r="X328" s="21" t="s">
        <v>37</v>
      </c>
      <c r="Y328" s="21" t="s">
        <v>35</v>
      </c>
      <c r="Z328" s="22">
        <v>0.69930069930069938</v>
      </c>
      <c r="AA328" s="54">
        <v>0.5</v>
      </c>
      <c r="AF328" s="56"/>
      <c r="AG328" s="22">
        <v>0</v>
      </c>
      <c r="AH328" t="s">
        <v>40</v>
      </c>
    </row>
    <row r="329" spans="1:34">
      <c r="A329" s="9" t="s">
        <v>435</v>
      </c>
      <c r="B329" s="7" t="s">
        <v>69</v>
      </c>
      <c r="C329" s="29" t="s">
        <v>152</v>
      </c>
      <c r="D329" t="s">
        <v>34</v>
      </c>
      <c r="E329" s="21" t="s">
        <v>35</v>
      </c>
      <c r="F329" s="22">
        <v>0.84033613445378152</v>
      </c>
      <c r="G329" s="54">
        <v>1</v>
      </c>
      <c r="L329" s="54"/>
      <c r="Q329" s="56"/>
      <c r="R329" s="21" t="s">
        <v>44</v>
      </c>
      <c r="S329" s="21" t="s">
        <v>34</v>
      </c>
      <c r="T329" s="21" t="s">
        <v>35</v>
      </c>
      <c r="U329" s="22">
        <v>0.69930069930069938</v>
      </c>
      <c r="V329" s="54">
        <v>0.5</v>
      </c>
      <c r="W329" s="21" t="s">
        <v>148</v>
      </c>
      <c r="X329" s="21" t="s">
        <v>37</v>
      </c>
      <c r="Y329" s="21" t="s">
        <v>35</v>
      </c>
      <c r="Z329" s="22">
        <v>0.69930069930069938</v>
      </c>
      <c r="AA329" s="54">
        <v>0.5</v>
      </c>
      <c r="AF329" s="56"/>
      <c r="AG329" s="22">
        <v>0</v>
      </c>
      <c r="AH329" t="s">
        <v>40</v>
      </c>
    </row>
    <row r="330" spans="1:34">
      <c r="A330" s="9" t="s">
        <v>436</v>
      </c>
      <c r="B330" s="7" t="s">
        <v>69</v>
      </c>
      <c r="C330" s="29" t="s">
        <v>251</v>
      </c>
      <c r="D330" t="s">
        <v>34</v>
      </c>
      <c r="E330" s="21" t="s">
        <v>35</v>
      </c>
      <c r="F330" s="22">
        <v>0.63694267515923564</v>
      </c>
      <c r="G330" s="54">
        <v>1</v>
      </c>
      <c r="L330" s="54"/>
      <c r="Q330" s="56"/>
      <c r="R330" s="21" t="s">
        <v>148</v>
      </c>
      <c r="S330" s="21" t="s">
        <v>37</v>
      </c>
      <c r="T330" s="21" t="s">
        <v>35</v>
      </c>
      <c r="U330" s="22">
        <v>0.69930069930069938</v>
      </c>
      <c r="V330" s="54">
        <v>0.5</v>
      </c>
      <c r="AA330" s="54"/>
      <c r="AF330" s="56"/>
      <c r="AG330" s="22">
        <v>0</v>
      </c>
      <c r="AH330" t="s">
        <v>40</v>
      </c>
    </row>
    <row r="331" spans="1:34">
      <c r="A331" s="9" t="s">
        <v>437</v>
      </c>
      <c r="B331" s="7" t="s">
        <v>69</v>
      </c>
      <c r="C331" s="29" t="s">
        <v>251</v>
      </c>
      <c r="D331" t="s">
        <v>34</v>
      </c>
      <c r="E331" s="21" t="s">
        <v>35</v>
      </c>
      <c r="F331" s="22">
        <v>0.63694267515923564</v>
      </c>
      <c r="G331" s="54">
        <v>1</v>
      </c>
      <c r="L331" s="54"/>
      <c r="Q331" s="56"/>
      <c r="R331" s="21" t="s">
        <v>148</v>
      </c>
      <c r="S331" s="21" t="s">
        <v>37</v>
      </c>
      <c r="T331" s="21" t="s">
        <v>35</v>
      </c>
      <c r="U331" s="22">
        <v>0.69930069930069938</v>
      </c>
      <c r="V331" s="54">
        <v>0.5</v>
      </c>
      <c r="AA331" s="54"/>
      <c r="AF331" s="56"/>
      <c r="AG331" s="22">
        <v>0</v>
      </c>
      <c r="AH331" t="s">
        <v>40</v>
      </c>
    </row>
    <row r="332" spans="1:34">
      <c r="A332" s="9" t="s">
        <v>438</v>
      </c>
      <c r="B332" s="7" t="s">
        <v>69</v>
      </c>
      <c r="C332" s="29" t="s">
        <v>251</v>
      </c>
      <c r="D332" t="s">
        <v>34</v>
      </c>
      <c r="E332" s="21" t="s">
        <v>35</v>
      </c>
      <c r="F332" s="22">
        <v>0.63694267515923564</v>
      </c>
      <c r="G332" s="54">
        <v>1</v>
      </c>
      <c r="L332" s="54"/>
      <c r="Q332" s="56"/>
      <c r="R332" s="21" t="s">
        <v>148</v>
      </c>
      <c r="S332" s="21" t="s">
        <v>37</v>
      </c>
      <c r="T332" s="21" t="s">
        <v>35</v>
      </c>
      <c r="U332" s="22">
        <v>0.69930069930069938</v>
      </c>
      <c r="V332" s="54">
        <v>0.5</v>
      </c>
      <c r="AA332" s="54"/>
      <c r="AF332" s="56"/>
      <c r="AG332" s="22">
        <v>0</v>
      </c>
      <c r="AH332" t="s">
        <v>40</v>
      </c>
    </row>
    <row r="333" spans="1:34">
      <c r="A333" s="9" t="s">
        <v>439</v>
      </c>
      <c r="B333" s="7" t="s">
        <v>69</v>
      </c>
      <c r="C333" s="29" t="s">
        <v>251</v>
      </c>
      <c r="D333" t="s">
        <v>34</v>
      </c>
      <c r="E333" s="21" t="s">
        <v>35</v>
      </c>
      <c r="F333" s="22">
        <v>0.63694267515923564</v>
      </c>
      <c r="G333" s="54">
        <v>1</v>
      </c>
      <c r="L333" s="54"/>
      <c r="Q333" s="56"/>
      <c r="R333" s="21" t="s">
        <v>148</v>
      </c>
      <c r="S333" s="21" t="s">
        <v>37</v>
      </c>
      <c r="T333" s="21" t="s">
        <v>35</v>
      </c>
      <c r="U333" s="22">
        <v>0.69930069930069938</v>
      </c>
      <c r="V333" s="54">
        <v>0.5</v>
      </c>
      <c r="AA333" s="54"/>
      <c r="AF333" s="56"/>
      <c r="AG333" s="22">
        <v>0</v>
      </c>
      <c r="AH333" t="s">
        <v>40</v>
      </c>
    </row>
    <row r="334" spans="1:34">
      <c r="A334" s="9" t="s">
        <v>440</v>
      </c>
      <c r="B334" s="7" t="s">
        <v>69</v>
      </c>
      <c r="C334" s="29" t="s">
        <v>251</v>
      </c>
      <c r="D334" t="s">
        <v>34</v>
      </c>
      <c r="E334" s="21" t="s">
        <v>35</v>
      </c>
      <c r="F334" s="22">
        <v>0.63694267515923564</v>
      </c>
      <c r="G334" s="54">
        <v>0.6</v>
      </c>
      <c r="H334" s="29" t="s">
        <v>152</v>
      </c>
      <c r="I334" t="s">
        <v>34</v>
      </c>
      <c r="J334" s="21" t="s">
        <v>35</v>
      </c>
      <c r="K334" s="22">
        <v>0.84033613445378152</v>
      </c>
      <c r="L334" s="54">
        <v>0.4</v>
      </c>
      <c r="Q334" s="56"/>
      <c r="R334" s="21" t="s">
        <v>148</v>
      </c>
      <c r="S334" s="21" t="s">
        <v>37</v>
      </c>
      <c r="T334" s="21" t="s">
        <v>35</v>
      </c>
      <c r="U334" s="22">
        <v>0.69930069930069938</v>
      </c>
      <c r="V334" s="54">
        <v>0.75</v>
      </c>
      <c r="W334" s="21" t="s">
        <v>47</v>
      </c>
      <c r="X334" s="21" t="s">
        <v>37</v>
      </c>
      <c r="Y334" s="21" t="s">
        <v>35</v>
      </c>
      <c r="Z334" s="22">
        <v>0.80645161290322587</v>
      </c>
      <c r="AA334" s="54">
        <v>0.25</v>
      </c>
      <c r="AF334" s="56"/>
      <c r="AG334" s="22">
        <v>0</v>
      </c>
      <c r="AH334" t="s">
        <v>40</v>
      </c>
    </row>
    <row r="335" spans="1:34">
      <c r="A335" s="9" t="s">
        <v>441</v>
      </c>
      <c r="B335" s="7" t="s">
        <v>69</v>
      </c>
      <c r="C335" s="29" t="s">
        <v>152</v>
      </c>
      <c r="D335" t="s">
        <v>34</v>
      </c>
      <c r="E335" s="21" t="s">
        <v>35</v>
      </c>
      <c r="F335" s="22">
        <v>0.84033613445378152</v>
      </c>
      <c r="G335" s="54">
        <v>1</v>
      </c>
      <c r="L335" s="54"/>
      <c r="Q335" s="56"/>
      <c r="R335" s="21" t="s">
        <v>47</v>
      </c>
      <c r="S335" s="21" t="s">
        <v>37</v>
      </c>
      <c r="T335" s="21" t="s">
        <v>35</v>
      </c>
      <c r="U335" s="22">
        <v>0.80645161290322587</v>
      </c>
      <c r="V335" s="54">
        <v>0.5</v>
      </c>
      <c r="W335" s="21" t="s">
        <v>149</v>
      </c>
      <c r="X335" s="21" t="s">
        <v>37</v>
      </c>
      <c r="Y335" s="21" t="s">
        <v>150</v>
      </c>
      <c r="Z335" s="22">
        <v>0.68</v>
      </c>
      <c r="AA335" s="54">
        <v>0.5</v>
      </c>
      <c r="AF335" s="56"/>
      <c r="AG335" s="22">
        <v>0</v>
      </c>
      <c r="AH335" t="s">
        <v>40</v>
      </c>
    </row>
    <row r="336" spans="1:34" s="5" customFormat="1">
      <c r="A336" s="10" t="s">
        <v>442</v>
      </c>
      <c r="B336" s="11" t="s">
        <v>70</v>
      </c>
      <c r="C336" s="28" t="s">
        <v>111</v>
      </c>
      <c r="D336" s="5" t="s">
        <v>37</v>
      </c>
      <c r="E336" s="19" t="s">
        <v>35</v>
      </c>
      <c r="F336" s="20">
        <v>0.77519379844961234</v>
      </c>
      <c r="G336" s="55">
        <v>1</v>
      </c>
      <c r="H336" s="19"/>
      <c r="I336" s="19"/>
      <c r="J336" s="19"/>
      <c r="K336" s="20"/>
      <c r="L336" s="55"/>
      <c r="M336" s="46"/>
      <c r="N336" s="19"/>
      <c r="O336" s="19"/>
      <c r="P336" s="20"/>
      <c r="Q336" s="57"/>
      <c r="R336" s="63" t="s">
        <v>47</v>
      </c>
      <c r="S336" s="19" t="s">
        <v>37</v>
      </c>
      <c r="T336" s="19" t="s">
        <v>35</v>
      </c>
      <c r="U336" s="20">
        <v>0.92592592592592582</v>
      </c>
      <c r="V336" s="55">
        <v>1</v>
      </c>
      <c r="W336" s="19"/>
      <c r="X336" s="19"/>
      <c r="Y336" s="19"/>
      <c r="Z336" s="20"/>
      <c r="AA336" s="55"/>
      <c r="AB336" s="46"/>
      <c r="AC336" s="19"/>
      <c r="AD336" s="19"/>
      <c r="AE336" s="19"/>
      <c r="AF336" s="57"/>
      <c r="AG336" s="69">
        <v>0</v>
      </c>
      <c r="AH336" s="5" t="s">
        <v>40</v>
      </c>
    </row>
    <row r="337" spans="1:34">
      <c r="A337" s="9" t="s">
        <v>443</v>
      </c>
      <c r="B337" s="7" t="s">
        <v>70</v>
      </c>
      <c r="C337" s="29" t="s">
        <v>111</v>
      </c>
      <c r="D337" t="s">
        <v>37</v>
      </c>
      <c r="E337" s="21" t="s">
        <v>35</v>
      </c>
      <c r="F337" s="22">
        <v>0.77519379844961234</v>
      </c>
      <c r="G337" s="54">
        <v>1</v>
      </c>
      <c r="L337" s="54"/>
      <c r="Q337" s="56"/>
      <c r="R337" s="64" t="s">
        <v>47</v>
      </c>
      <c r="S337" s="21" t="s">
        <v>37</v>
      </c>
      <c r="T337" s="21" t="s">
        <v>35</v>
      </c>
      <c r="U337" s="22">
        <v>0.92592592592592582</v>
      </c>
      <c r="V337" s="54">
        <v>1</v>
      </c>
      <c r="AA337" s="54"/>
      <c r="AF337" s="56"/>
      <c r="AG337" s="22">
        <v>0</v>
      </c>
      <c r="AH337" t="s">
        <v>40</v>
      </c>
    </row>
    <row r="338" spans="1:34">
      <c r="A338" s="9" t="s">
        <v>444</v>
      </c>
      <c r="B338" s="7" t="s">
        <v>70</v>
      </c>
      <c r="C338" s="29" t="s">
        <v>111</v>
      </c>
      <c r="D338" t="s">
        <v>37</v>
      </c>
      <c r="E338" s="21" t="s">
        <v>35</v>
      </c>
      <c r="F338" s="22">
        <v>0.77519379844961234</v>
      </c>
      <c r="G338" s="54">
        <v>1</v>
      </c>
      <c r="L338" s="54"/>
      <c r="Q338" s="56"/>
      <c r="R338" s="21" t="s">
        <v>47</v>
      </c>
      <c r="S338" s="21" t="s">
        <v>37</v>
      </c>
      <c r="T338" s="21" t="s">
        <v>35</v>
      </c>
      <c r="U338" s="22">
        <v>0.92592592592592582</v>
      </c>
      <c r="V338" s="54">
        <v>1</v>
      </c>
      <c r="AA338" s="54"/>
      <c r="AF338" s="56"/>
      <c r="AG338" s="22">
        <v>0</v>
      </c>
      <c r="AH338" t="s">
        <v>40</v>
      </c>
    </row>
    <row r="339" spans="1:34">
      <c r="A339" s="9" t="s">
        <v>445</v>
      </c>
      <c r="B339" s="7" t="s">
        <v>70</v>
      </c>
      <c r="C339" s="29" t="s">
        <v>111</v>
      </c>
      <c r="D339" t="s">
        <v>37</v>
      </c>
      <c r="E339" s="21" t="s">
        <v>35</v>
      </c>
      <c r="F339" s="22">
        <v>0.77519379844961234</v>
      </c>
      <c r="G339" s="54">
        <v>1</v>
      </c>
      <c r="L339" s="54"/>
      <c r="Q339" s="56"/>
      <c r="R339" s="21" t="s">
        <v>47</v>
      </c>
      <c r="S339" s="21" t="s">
        <v>37</v>
      </c>
      <c r="T339" s="21" t="s">
        <v>35</v>
      </c>
      <c r="U339" s="22">
        <v>0.92592592592592582</v>
      </c>
      <c r="V339" s="54">
        <v>1</v>
      </c>
      <c r="AA339" s="54"/>
      <c r="AF339" s="56"/>
      <c r="AG339" s="22">
        <v>0</v>
      </c>
      <c r="AH339" t="s">
        <v>40</v>
      </c>
    </row>
    <row r="340" spans="1:34">
      <c r="A340" s="9" t="s">
        <v>446</v>
      </c>
      <c r="B340" s="7" t="s">
        <v>70</v>
      </c>
      <c r="C340" s="29" t="s">
        <v>47</v>
      </c>
      <c r="D340" t="s">
        <v>37</v>
      </c>
      <c r="E340" s="21" t="s">
        <v>35</v>
      </c>
      <c r="F340" s="22">
        <v>0.92592592592592582</v>
      </c>
      <c r="G340" s="54">
        <v>1</v>
      </c>
      <c r="L340" s="54"/>
      <c r="Q340" s="56"/>
      <c r="R340" s="21" t="s">
        <v>47</v>
      </c>
      <c r="S340" s="21" t="s">
        <v>37</v>
      </c>
      <c r="T340" s="21" t="s">
        <v>35</v>
      </c>
      <c r="U340" s="22">
        <v>0.92592592592592582</v>
      </c>
      <c r="V340" s="54">
        <v>1</v>
      </c>
      <c r="AA340" s="54"/>
      <c r="AF340" s="56"/>
      <c r="AG340" s="22">
        <v>0</v>
      </c>
      <c r="AH340" t="s">
        <v>40</v>
      </c>
    </row>
    <row r="341" spans="1:34">
      <c r="A341" s="9" t="s">
        <v>447</v>
      </c>
      <c r="B341" s="7" t="s">
        <v>70</v>
      </c>
      <c r="C341" s="29" t="s">
        <v>47</v>
      </c>
      <c r="D341" t="s">
        <v>37</v>
      </c>
      <c r="E341" s="21" t="s">
        <v>35</v>
      </c>
      <c r="F341" s="22">
        <v>0.92592592592592582</v>
      </c>
      <c r="G341" s="54">
        <v>1</v>
      </c>
      <c r="L341" s="54"/>
      <c r="Q341" s="56"/>
      <c r="R341" s="21" t="s">
        <v>47</v>
      </c>
      <c r="S341" s="21" t="s">
        <v>37</v>
      </c>
      <c r="T341" s="21" t="s">
        <v>35</v>
      </c>
      <c r="U341" s="22">
        <v>0.92592592592592582</v>
      </c>
      <c r="V341" s="54">
        <v>1</v>
      </c>
      <c r="AA341" s="54"/>
      <c r="AF341" s="56"/>
      <c r="AG341" s="22">
        <v>0</v>
      </c>
      <c r="AH341" t="s">
        <v>40</v>
      </c>
    </row>
    <row r="342" spans="1:34">
      <c r="A342" s="9" t="s">
        <v>448</v>
      </c>
      <c r="B342" s="7" t="s">
        <v>70</v>
      </c>
      <c r="C342" s="29" t="s">
        <v>111</v>
      </c>
      <c r="D342" t="s">
        <v>37</v>
      </c>
      <c r="E342" s="21" t="s">
        <v>35</v>
      </c>
      <c r="F342" s="22">
        <v>0.77519379844961234</v>
      </c>
      <c r="G342" s="54">
        <v>1</v>
      </c>
      <c r="L342" s="54"/>
      <c r="Q342" s="56"/>
      <c r="R342" s="21" t="s">
        <v>47</v>
      </c>
      <c r="S342" s="21" t="s">
        <v>37</v>
      </c>
      <c r="T342" s="21" t="s">
        <v>35</v>
      </c>
      <c r="U342" s="22">
        <v>0.92592592592592582</v>
      </c>
      <c r="V342" s="54">
        <v>1</v>
      </c>
      <c r="AA342" s="54"/>
      <c r="AF342" s="56"/>
      <c r="AG342" s="22">
        <v>0</v>
      </c>
      <c r="AH342" t="s">
        <v>40</v>
      </c>
    </row>
    <row r="343" spans="1:34">
      <c r="A343" s="9" t="s">
        <v>449</v>
      </c>
      <c r="B343" s="7" t="s">
        <v>70</v>
      </c>
      <c r="C343" s="29" t="s">
        <v>111</v>
      </c>
      <c r="D343" t="s">
        <v>37</v>
      </c>
      <c r="E343" s="21" t="s">
        <v>35</v>
      </c>
      <c r="F343" s="22">
        <v>0.77519379844961234</v>
      </c>
      <c r="G343" s="54">
        <v>1</v>
      </c>
      <c r="L343" s="54"/>
      <c r="Q343" s="56"/>
      <c r="R343" s="21" t="s">
        <v>47</v>
      </c>
      <c r="S343" s="21" t="s">
        <v>37</v>
      </c>
      <c r="T343" s="21" t="s">
        <v>35</v>
      </c>
      <c r="U343" s="22">
        <v>0.92592592592592582</v>
      </c>
      <c r="V343" s="54">
        <v>1</v>
      </c>
      <c r="AA343" s="54"/>
      <c r="AF343" s="56"/>
      <c r="AG343" s="22">
        <v>0</v>
      </c>
      <c r="AH343" t="s">
        <v>40</v>
      </c>
    </row>
    <row r="344" spans="1:34">
      <c r="A344" s="9" t="s">
        <v>450</v>
      </c>
      <c r="B344" s="7" t="s">
        <v>70</v>
      </c>
      <c r="C344" s="29" t="s">
        <v>111</v>
      </c>
      <c r="D344" t="s">
        <v>37</v>
      </c>
      <c r="E344" s="21" t="s">
        <v>35</v>
      </c>
      <c r="F344" s="22">
        <v>0.77519379844961234</v>
      </c>
      <c r="G344" s="54">
        <v>1</v>
      </c>
      <c r="L344" s="54"/>
      <c r="Q344" s="56"/>
      <c r="R344" s="21" t="s">
        <v>47</v>
      </c>
      <c r="S344" s="21" t="s">
        <v>37</v>
      </c>
      <c r="T344" s="21" t="s">
        <v>35</v>
      </c>
      <c r="U344" s="22">
        <v>0.92592592592592582</v>
      </c>
      <c r="V344" s="54">
        <v>1</v>
      </c>
      <c r="AA344" s="54"/>
      <c r="AF344" s="56"/>
      <c r="AG344" s="22">
        <v>0</v>
      </c>
      <c r="AH344" t="s">
        <v>40</v>
      </c>
    </row>
    <row r="345" spans="1:34">
      <c r="A345" s="9" t="s">
        <v>451</v>
      </c>
      <c r="B345" s="7" t="s">
        <v>70</v>
      </c>
      <c r="C345" s="29" t="s">
        <v>111</v>
      </c>
      <c r="D345" t="s">
        <v>37</v>
      </c>
      <c r="E345" s="21" t="s">
        <v>35</v>
      </c>
      <c r="F345" s="22">
        <v>0.77519379844961234</v>
      </c>
      <c r="G345" s="54">
        <v>1</v>
      </c>
      <c r="L345" s="54"/>
      <c r="Q345" s="56"/>
      <c r="R345" s="21" t="s">
        <v>47</v>
      </c>
      <c r="S345" s="21" t="s">
        <v>37</v>
      </c>
      <c r="T345" s="21" t="s">
        <v>35</v>
      </c>
      <c r="U345" s="22">
        <v>0.92592592592592582</v>
      </c>
      <c r="V345" s="54">
        <v>1</v>
      </c>
      <c r="AA345" s="54"/>
      <c r="AF345" s="56"/>
      <c r="AG345" s="22">
        <v>0</v>
      </c>
      <c r="AH345" t="s">
        <v>40</v>
      </c>
    </row>
    <row r="346" spans="1:34">
      <c r="A346" s="9" t="s">
        <v>452</v>
      </c>
      <c r="B346" s="7" t="s">
        <v>70</v>
      </c>
      <c r="C346" s="29" t="s">
        <v>47</v>
      </c>
      <c r="D346" t="s">
        <v>37</v>
      </c>
      <c r="E346" s="21" t="s">
        <v>35</v>
      </c>
      <c r="F346" s="22">
        <v>0.92592592592592582</v>
      </c>
      <c r="G346" s="54">
        <v>1</v>
      </c>
      <c r="L346" s="54"/>
      <c r="Q346" s="56"/>
      <c r="R346" s="21" t="s">
        <v>47</v>
      </c>
      <c r="S346" s="21" t="s">
        <v>37</v>
      </c>
      <c r="T346" s="21" t="s">
        <v>35</v>
      </c>
      <c r="U346" s="22">
        <v>0.92592592592592582</v>
      </c>
      <c r="V346" s="54">
        <v>1</v>
      </c>
      <c r="AA346" s="54"/>
      <c r="AF346" s="56"/>
      <c r="AG346" s="22">
        <v>0</v>
      </c>
      <c r="AH346" t="s">
        <v>40</v>
      </c>
    </row>
    <row r="347" spans="1:34">
      <c r="A347" s="9" t="s">
        <v>453</v>
      </c>
      <c r="B347" s="7" t="s">
        <v>70</v>
      </c>
      <c r="C347" s="29" t="s">
        <v>47</v>
      </c>
      <c r="D347" t="s">
        <v>37</v>
      </c>
      <c r="E347" s="21" t="s">
        <v>35</v>
      </c>
      <c r="F347" s="22">
        <v>0.92592592592592582</v>
      </c>
      <c r="G347" s="54">
        <v>1</v>
      </c>
      <c r="L347" s="54"/>
      <c r="Q347" s="56"/>
      <c r="R347" s="21" t="s">
        <v>47</v>
      </c>
      <c r="S347" s="21" t="s">
        <v>37</v>
      </c>
      <c r="T347" s="21" t="s">
        <v>35</v>
      </c>
      <c r="U347" s="22">
        <v>0.92592592592592582</v>
      </c>
      <c r="V347" s="54">
        <v>1</v>
      </c>
      <c r="AA347" s="54"/>
      <c r="AF347" s="56"/>
      <c r="AG347" s="22">
        <v>0</v>
      </c>
      <c r="AH347" t="s">
        <v>40</v>
      </c>
    </row>
    <row r="348" spans="1:34">
      <c r="A348" s="9" t="s">
        <v>454</v>
      </c>
      <c r="B348" s="7" t="s">
        <v>70</v>
      </c>
      <c r="C348" s="29" t="s">
        <v>111</v>
      </c>
      <c r="D348" t="s">
        <v>37</v>
      </c>
      <c r="E348" s="21" t="s">
        <v>35</v>
      </c>
      <c r="F348" s="22">
        <v>0.77519379844961234</v>
      </c>
      <c r="G348" s="54">
        <v>1</v>
      </c>
      <c r="L348" s="54"/>
      <c r="Q348" s="56"/>
      <c r="R348" s="21" t="s">
        <v>47</v>
      </c>
      <c r="S348" s="21" t="s">
        <v>37</v>
      </c>
      <c r="T348" s="21" t="s">
        <v>35</v>
      </c>
      <c r="U348" s="22">
        <v>0.92592592592592582</v>
      </c>
      <c r="V348" s="54">
        <v>1</v>
      </c>
      <c r="AA348" s="54"/>
      <c r="AF348" s="56"/>
      <c r="AG348" s="22">
        <v>0</v>
      </c>
      <c r="AH348" t="s">
        <v>40</v>
      </c>
    </row>
    <row r="349" spans="1:34">
      <c r="A349" s="9" t="s">
        <v>455</v>
      </c>
      <c r="B349" s="7" t="s">
        <v>70</v>
      </c>
      <c r="C349" s="29" t="s">
        <v>111</v>
      </c>
      <c r="D349" t="s">
        <v>37</v>
      </c>
      <c r="E349" s="21" t="s">
        <v>35</v>
      </c>
      <c r="F349" s="22">
        <v>0.77519379844961234</v>
      </c>
      <c r="G349" s="54">
        <v>1</v>
      </c>
      <c r="L349" s="54"/>
      <c r="Q349" s="56"/>
      <c r="R349" s="21" t="s">
        <v>47</v>
      </c>
      <c r="S349" s="21" t="s">
        <v>37</v>
      </c>
      <c r="T349" s="21" t="s">
        <v>35</v>
      </c>
      <c r="U349" s="22">
        <v>0.92592592592592582</v>
      </c>
      <c r="V349" s="54">
        <v>1</v>
      </c>
      <c r="AA349" s="54"/>
      <c r="AF349" s="56"/>
      <c r="AG349" s="22">
        <v>0</v>
      </c>
      <c r="AH349" t="s">
        <v>40</v>
      </c>
    </row>
    <row r="350" spans="1:34">
      <c r="A350" s="9" t="s">
        <v>456</v>
      </c>
      <c r="B350" s="7" t="s">
        <v>70</v>
      </c>
      <c r="C350" s="29" t="s">
        <v>111</v>
      </c>
      <c r="D350" t="s">
        <v>37</v>
      </c>
      <c r="E350" s="21" t="s">
        <v>35</v>
      </c>
      <c r="F350" s="22">
        <v>0.77519379844961234</v>
      </c>
      <c r="G350" s="54">
        <v>1</v>
      </c>
      <c r="L350" s="54"/>
      <c r="Q350" s="56"/>
      <c r="R350" s="21" t="s">
        <v>47</v>
      </c>
      <c r="S350" s="21" t="s">
        <v>37</v>
      </c>
      <c r="T350" s="21" t="s">
        <v>35</v>
      </c>
      <c r="U350" s="22">
        <v>0.92592592592592582</v>
      </c>
      <c r="V350" s="54">
        <v>1</v>
      </c>
      <c r="AA350" s="54"/>
      <c r="AF350" s="56"/>
      <c r="AG350" s="22">
        <v>0</v>
      </c>
      <c r="AH350" t="s">
        <v>40</v>
      </c>
    </row>
    <row r="351" spans="1:34">
      <c r="A351" s="9" t="s">
        <v>457</v>
      </c>
      <c r="B351" s="7" t="s">
        <v>70</v>
      </c>
      <c r="C351" s="29" t="s">
        <v>111</v>
      </c>
      <c r="D351" t="s">
        <v>37</v>
      </c>
      <c r="E351" s="21" t="s">
        <v>35</v>
      </c>
      <c r="F351" s="22">
        <v>0.77519379844961234</v>
      </c>
      <c r="G351" s="54">
        <v>1</v>
      </c>
      <c r="L351" s="54"/>
      <c r="Q351" s="56"/>
      <c r="R351" s="21" t="s">
        <v>47</v>
      </c>
      <c r="S351" s="21" t="s">
        <v>37</v>
      </c>
      <c r="T351" s="21" t="s">
        <v>35</v>
      </c>
      <c r="U351" s="22">
        <v>0.92592592592592582</v>
      </c>
      <c r="V351" s="54">
        <v>1</v>
      </c>
      <c r="AA351" s="54"/>
      <c r="AF351" s="56"/>
      <c r="AG351" s="22">
        <v>0</v>
      </c>
      <c r="AH351" t="s">
        <v>40</v>
      </c>
    </row>
    <row r="352" spans="1:34">
      <c r="A352" s="9" t="s">
        <v>458</v>
      </c>
      <c r="B352" s="7" t="s">
        <v>70</v>
      </c>
      <c r="C352" s="29" t="s">
        <v>47</v>
      </c>
      <c r="D352" t="s">
        <v>37</v>
      </c>
      <c r="E352" s="21" t="s">
        <v>35</v>
      </c>
      <c r="F352" s="22">
        <v>0.92592592592592582</v>
      </c>
      <c r="G352" s="54">
        <v>1</v>
      </c>
      <c r="L352" s="54"/>
      <c r="Q352" s="56"/>
      <c r="R352" s="21" t="s">
        <v>47</v>
      </c>
      <c r="S352" s="21" t="s">
        <v>37</v>
      </c>
      <c r="T352" s="21" t="s">
        <v>35</v>
      </c>
      <c r="U352" s="22">
        <v>0.92592592592592582</v>
      </c>
      <c r="V352" s="54">
        <v>1</v>
      </c>
      <c r="AA352" s="54"/>
      <c r="AF352" s="56"/>
      <c r="AG352" s="22">
        <v>0</v>
      </c>
      <c r="AH352" t="s">
        <v>40</v>
      </c>
    </row>
    <row r="353" spans="1:34">
      <c r="A353" s="9" t="s">
        <v>459</v>
      </c>
      <c r="B353" s="7" t="s">
        <v>70</v>
      </c>
      <c r="C353" s="29" t="s">
        <v>47</v>
      </c>
      <c r="D353" t="s">
        <v>37</v>
      </c>
      <c r="E353" s="21" t="s">
        <v>35</v>
      </c>
      <c r="F353" s="22">
        <v>0.92592592592592582</v>
      </c>
      <c r="G353" s="54">
        <v>1</v>
      </c>
      <c r="L353" s="54"/>
      <c r="Q353" s="56"/>
      <c r="R353" s="21" t="s">
        <v>47</v>
      </c>
      <c r="S353" s="21" t="s">
        <v>37</v>
      </c>
      <c r="T353" s="21" t="s">
        <v>35</v>
      </c>
      <c r="U353" s="22">
        <v>0.92592592592592582</v>
      </c>
      <c r="V353" s="54">
        <v>1</v>
      </c>
      <c r="AA353" s="54"/>
      <c r="AF353" s="56"/>
      <c r="AG353" s="22">
        <v>0</v>
      </c>
      <c r="AH353" t="s">
        <v>40</v>
      </c>
    </row>
    <row r="354" spans="1:34" s="5" customFormat="1">
      <c r="A354" s="10" t="s">
        <v>460</v>
      </c>
      <c r="B354" s="11" t="s">
        <v>71</v>
      </c>
      <c r="C354" s="28" t="s">
        <v>44</v>
      </c>
      <c r="D354" s="5" t="s">
        <v>34</v>
      </c>
      <c r="E354" s="19" t="s">
        <v>35</v>
      </c>
      <c r="F354" s="20">
        <v>0.81300813008130079</v>
      </c>
      <c r="G354" s="55">
        <v>1</v>
      </c>
      <c r="H354" s="19"/>
      <c r="I354" s="19"/>
      <c r="J354" s="19"/>
      <c r="K354" s="20"/>
      <c r="L354" s="55"/>
      <c r="M354" s="46"/>
      <c r="N354" s="19"/>
      <c r="O354" s="19"/>
      <c r="P354" s="20"/>
      <c r="Q354" s="57"/>
      <c r="R354" s="35" t="s">
        <v>45</v>
      </c>
      <c r="S354" s="19" t="s">
        <v>34</v>
      </c>
      <c r="T354" s="19" t="s">
        <v>35</v>
      </c>
      <c r="U354" s="20">
        <v>0.83333333333333337</v>
      </c>
      <c r="V354" s="55">
        <v>1</v>
      </c>
      <c r="W354" s="19"/>
      <c r="X354" s="19"/>
      <c r="Y354" s="19"/>
      <c r="Z354" s="20"/>
      <c r="AA354" s="55"/>
      <c r="AB354" s="46"/>
      <c r="AC354" s="19"/>
      <c r="AD354" s="19"/>
      <c r="AE354" s="19"/>
      <c r="AF354" s="57"/>
      <c r="AG354" s="69">
        <v>0</v>
      </c>
      <c r="AH354" s="5" t="s">
        <v>40</v>
      </c>
    </row>
    <row r="355" spans="1:34">
      <c r="A355" s="9" t="s">
        <v>461</v>
      </c>
      <c r="B355" s="7" t="s">
        <v>71</v>
      </c>
      <c r="C355" s="29" t="s">
        <v>44</v>
      </c>
      <c r="D355" t="s">
        <v>34</v>
      </c>
      <c r="E355" s="21" t="s">
        <v>35</v>
      </c>
      <c r="F355" s="22">
        <v>0.81300813008130079</v>
      </c>
      <c r="G355" s="54">
        <v>1</v>
      </c>
      <c r="L355" s="54"/>
      <c r="Q355" s="56"/>
      <c r="R355" s="21" t="s">
        <v>45</v>
      </c>
      <c r="S355" s="21" t="s">
        <v>34</v>
      </c>
      <c r="T355" s="21" t="s">
        <v>35</v>
      </c>
      <c r="U355" s="22">
        <v>0.83333333333333337</v>
      </c>
      <c r="V355" s="54">
        <v>1</v>
      </c>
      <c r="AA355" s="54"/>
      <c r="AF355" s="56"/>
      <c r="AG355" s="22">
        <v>0</v>
      </c>
      <c r="AH355" t="s">
        <v>40</v>
      </c>
    </row>
    <row r="356" spans="1:34">
      <c r="A356" s="9" t="s">
        <v>462</v>
      </c>
      <c r="B356" s="7" t="s">
        <v>71</v>
      </c>
      <c r="C356" s="29" t="s">
        <v>44</v>
      </c>
      <c r="D356" t="s">
        <v>34</v>
      </c>
      <c r="E356" s="21" t="s">
        <v>35</v>
      </c>
      <c r="F356" s="22">
        <v>0.81300813008130079</v>
      </c>
      <c r="G356" s="54">
        <v>1</v>
      </c>
      <c r="L356" s="54"/>
      <c r="Q356" s="56"/>
      <c r="R356" s="21" t="s">
        <v>45</v>
      </c>
      <c r="S356" s="21" t="s">
        <v>34</v>
      </c>
      <c r="T356" s="21" t="s">
        <v>35</v>
      </c>
      <c r="U356" s="22">
        <v>0.83333333333333337</v>
      </c>
      <c r="V356" s="54">
        <v>1</v>
      </c>
      <c r="AA356" s="54"/>
      <c r="AF356" s="56"/>
      <c r="AG356" s="22">
        <v>0</v>
      </c>
      <c r="AH356" t="s">
        <v>40</v>
      </c>
    </row>
    <row r="357" spans="1:34">
      <c r="A357" s="9" t="s">
        <v>463</v>
      </c>
      <c r="B357" s="7" t="s">
        <v>71</v>
      </c>
      <c r="C357" s="29" t="s">
        <v>44</v>
      </c>
      <c r="D357" t="s">
        <v>34</v>
      </c>
      <c r="E357" s="21" t="s">
        <v>35</v>
      </c>
      <c r="F357" s="22">
        <v>0.81300813008130079</v>
      </c>
      <c r="G357" s="54">
        <v>1</v>
      </c>
      <c r="L357" s="54"/>
      <c r="Q357" s="56"/>
      <c r="R357" s="21" t="s">
        <v>45</v>
      </c>
      <c r="S357" s="21" t="s">
        <v>34</v>
      </c>
      <c r="T357" s="21" t="s">
        <v>35</v>
      </c>
      <c r="U357" s="22">
        <v>0.83333333333333337</v>
      </c>
      <c r="V357" s="54">
        <v>1</v>
      </c>
      <c r="AA357" s="54"/>
      <c r="AF357" s="56"/>
      <c r="AG357" s="22">
        <v>0</v>
      </c>
      <c r="AH357" t="s">
        <v>40</v>
      </c>
    </row>
    <row r="358" spans="1:34">
      <c r="A358" s="9" t="s">
        <v>464</v>
      </c>
      <c r="B358" s="7" t="s">
        <v>71</v>
      </c>
      <c r="C358" s="29" t="s">
        <v>44</v>
      </c>
      <c r="D358" t="s">
        <v>34</v>
      </c>
      <c r="E358" s="21" t="s">
        <v>35</v>
      </c>
      <c r="F358" s="22">
        <v>0.81300813008130079</v>
      </c>
      <c r="G358" s="54">
        <v>1</v>
      </c>
      <c r="L358" s="54"/>
      <c r="Q358" s="56"/>
      <c r="R358" s="21" t="s">
        <v>45</v>
      </c>
      <c r="S358" s="21" t="s">
        <v>34</v>
      </c>
      <c r="T358" s="21" t="s">
        <v>35</v>
      </c>
      <c r="U358" s="22">
        <v>0.83333333333333337</v>
      </c>
      <c r="V358" s="54">
        <v>1</v>
      </c>
      <c r="AA358" s="54"/>
      <c r="AF358" s="56"/>
      <c r="AG358" s="22">
        <v>0</v>
      </c>
      <c r="AH358" t="s">
        <v>40</v>
      </c>
    </row>
    <row r="359" spans="1:34">
      <c r="A359" s="9" t="s">
        <v>465</v>
      </c>
      <c r="B359" s="7" t="s">
        <v>71</v>
      </c>
      <c r="C359" s="29" t="s">
        <v>44</v>
      </c>
      <c r="D359" t="s">
        <v>34</v>
      </c>
      <c r="E359" s="21" t="s">
        <v>35</v>
      </c>
      <c r="F359" s="22">
        <v>0.81300813008130079</v>
      </c>
      <c r="G359" s="54">
        <v>1</v>
      </c>
      <c r="L359" s="54"/>
      <c r="Q359" s="56"/>
      <c r="R359" s="21" t="s">
        <v>45</v>
      </c>
      <c r="S359" s="21" t="s">
        <v>34</v>
      </c>
      <c r="T359" s="21" t="s">
        <v>35</v>
      </c>
      <c r="U359" s="22">
        <v>0.83333333333333337</v>
      </c>
      <c r="V359" s="54">
        <v>1</v>
      </c>
      <c r="AA359" s="54"/>
      <c r="AF359" s="56"/>
      <c r="AG359" s="22">
        <v>0</v>
      </c>
      <c r="AH359" t="s">
        <v>40</v>
      </c>
    </row>
    <row r="360" spans="1:34">
      <c r="A360" s="9" t="s">
        <v>466</v>
      </c>
      <c r="B360" s="7" t="s">
        <v>71</v>
      </c>
      <c r="C360" s="29" t="s">
        <v>44</v>
      </c>
      <c r="D360" t="s">
        <v>34</v>
      </c>
      <c r="E360" s="21" t="s">
        <v>35</v>
      </c>
      <c r="F360" s="22">
        <v>0.81300813008130079</v>
      </c>
      <c r="G360" s="54">
        <v>1</v>
      </c>
      <c r="L360" s="54"/>
      <c r="Q360" s="56"/>
      <c r="R360" s="21" t="s">
        <v>45</v>
      </c>
      <c r="S360" s="21" t="s">
        <v>34</v>
      </c>
      <c r="T360" s="21" t="s">
        <v>35</v>
      </c>
      <c r="U360" s="22">
        <v>0.83333333333333337</v>
      </c>
      <c r="V360" s="54">
        <v>1</v>
      </c>
      <c r="AA360" s="54"/>
      <c r="AF360" s="56"/>
      <c r="AG360" s="22">
        <v>0</v>
      </c>
      <c r="AH360" t="s">
        <v>40</v>
      </c>
    </row>
    <row r="361" spans="1:34">
      <c r="A361" s="9" t="s">
        <v>467</v>
      </c>
      <c r="B361" s="7" t="s">
        <v>71</v>
      </c>
      <c r="C361" s="29" t="s">
        <v>468</v>
      </c>
      <c r="D361" t="s">
        <v>54</v>
      </c>
      <c r="E361" s="21" t="s">
        <v>469</v>
      </c>
      <c r="F361" s="22">
        <v>0.99009900990099009</v>
      </c>
      <c r="G361" s="54">
        <v>1</v>
      </c>
      <c r="L361" s="54"/>
      <c r="Q361" s="56"/>
      <c r="R361" s="21" t="s">
        <v>470</v>
      </c>
      <c r="S361" s="21" t="s">
        <v>54</v>
      </c>
      <c r="T361" s="21" t="s">
        <v>469</v>
      </c>
      <c r="U361" s="22">
        <v>0.86956521739130443</v>
      </c>
      <c r="V361" s="54">
        <v>1</v>
      </c>
      <c r="AA361" s="54"/>
      <c r="AF361" s="56"/>
      <c r="AG361" s="22">
        <v>0</v>
      </c>
      <c r="AH361" t="s">
        <v>40</v>
      </c>
    </row>
    <row r="362" spans="1:34">
      <c r="A362" s="9" t="s">
        <v>471</v>
      </c>
      <c r="B362" s="7" t="s">
        <v>71</v>
      </c>
      <c r="C362" s="29" t="s">
        <v>468</v>
      </c>
      <c r="D362" t="s">
        <v>54</v>
      </c>
      <c r="E362" s="21" t="s">
        <v>469</v>
      </c>
      <c r="F362" s="22">
        <v>0.99009900990099009</v>
      </c>
      <c r="G362" s="54">
        <v>1</v>
      </c>
      <c r="L362" s="54"/>
      <c r="Q362" s="56"/>
      <c r="R362" s="21" t="s">
        <v>470</v>
      </c>
      <c r="S362" s="21" t="s">
        <v>54</v>
      </c>
      <c r="T362" s="21" t="s">
        <v>469</v>
      </c>
      <c r="U362" s="22">
        <v>0.86956521739130443</v>
      </c>
      <c r="V362" s="54">
        <v>1</v>
      </c>
      <c r="AA362" s="54"/>
      <c r="AF362" s="56"/>
      <c r="AG362" s="22">
        <v>0</v>
      </c>
      <c r="AH362" t="s">
        <v>40</v>
      </c>
    </row>
    <row r="363" spans="1:34">
      <c r="A363" s="9" t="s">
        <v>472</v>
      </c>
      <c r="B363" s="7" t="s">
        <v>71</v>
      </c>
      <c r="C363" s="29" t="s">
        <v>468</v>
      </c>
      <c r="D363" t="s">
        <v>54</v>
      </c>
      <c r="E363" s="21" t="s">
        <v>469</v>
      </c>
      <c r="F363" s="22">
        <v>0.99009900990099009</v>
      </c>
      <c r="G363" s="54">
        <v>1</v>
      </c>
      <c r="L363" s="54"/>
      <c r="Q363" s="56"/>
      <c r="R363" s="21" t="s">
        <v>470</v>
      </c>
      <c r="S363" s="21" t="s">
        <v>54</v>
      </c>
      <c r="T363" s="21" t="s">
        <v>469</v>
      </c>
      <c r="U363" s="22">
        <v>0.86956521739130443</v>
      </c>
      <c r="V363" s="54">
        <v>1</v>
      </c>
      <c r="AA363" s="54"/>
      <c r="AF363" s="56"/>
      <c r="AG363" s="22">
        <v>0</v>
      </c>
      <c r="AH363" t="s">
        <v>40</v>
      </c>
    </row>
    <row r="364" spans="1:34">
      <c r="A364" s="9" t="s">
        <v>473</v>
      </c>
      <c r="B364" s="7" t="s">
        <v>71</v>
      </c>
      <c r="C364" s="29" t="s">
        <v>468</v>
      </c>
      <c r="D364" t="s">
        <v>54</v>
      </c>
      <c r="E364" s="21" t="s">
        <v>469</v>
      </c>
      <c r="F364" s="22">
        <v>0.99009900990099009</v>
      </c>
      <c r="G364" s="54">
        <v>1</v>
      </c>
      <c r="L364" s="54"/>
      <c r="Q364" s="56"/>
      <c r="R364" s="21" t="s">
        <v>470</v>
      </c>
      <c r="S364" s="21" t="s">
        <v>54</v>
      </c>
      <c r="T364" s="21" t="s">
        <v>469</v>
      </c>
      <c r="U364" s="22">
        <v>0.86956521739130443</v>
      </c>
      <c r="V364" s="54">
        <v>1</v>
      </c>
      <c r="AA364" s="54"/>
      <c r="AF364" s="56"/>
      <c r="AG364" s="22">
        <v>0</v>
      </c>
      <c r="AH364" t="s">
        <v>40</v>
      </c>
    </row>
    <row r="365" spans="1:34">
      <c r="A365" s="9" t="s">
        <v>474</v>
      </c>
      <c r="B365" s="7" t="s">
        <v>71</v>
      </c>
      <c r="C365" s="29" t="s">
        <v>468</v>
      </c>
      <c r="D365" t="s">
        <v>54</v>
      </c>
      <c r="E365" s="21" t="s">
        <v>469</v>
      </c>
      <c r="F365" s="22">
        <v>0.99009900990099009</v>
      </c>
      <c r="G365" s="54">
        <v>1</v>
      </c>
      <c r="L365" s="54"/>
      <c r="Q365" s="56"/>
      <c r="R365" s="21" t="s">
        <v>470</v>
      </c>
      <c r="S365" s="21" t="s">
        <v>54</v>
      </c>
      <c r="T365" s="21" t="s">
        <v>469</v>
      </c>
      <c r="U365" s="22">
        <v>0.86956521739130443</v>
      </c>
      <c r="V365" s="54">
        <v>1</v>
      </c>
      <c r="AA365" s="54"/>
      <c r="AF365" s="56"/>
      <c r="AG365" s="22">
        <v>0</v>
      </c>
      <c r="AH365" t="s">
        <v>40</v>
      </c>
    </row>
    <row r="366" spans="1:34">
      <c r="A366" s="9" t="s">
        <v>475</v>
      </c>
      <c r="B366" s="7" t="s">
        <v>71</v>
      </c>
      <c r="C366" s="29" t="s">
        <v>468</v>
      </c>
      <c r="D366" t="s">
        <v>54</v>
      </c>
      <c r="E366" s="21" t="s">
        <v>469</v>
      </c>
      <c r="F366" s="22">
        <v>0.99009900990099009</v>
      </c>
      <c r="G366" s="54">
        <v>1</v>
      </c>
      <c r="L366" s="54"/>
      <c r="Q366" s="56"/>
      <c r="R366" s="21" t="s">
        <v>470</v>
      </c>
      <c r="S366" s="21" t="s">
        <v>54</v>
      </c>
      <c r="T366" s="21" t="s">
        <v>469</v>
      </c>
      <c r="U366" s="22">
        <v>0.86956521739130443</v>
      </c>
      <c r="V366" s="54">
        <v>1</v>
      </c>
      <c r="AA366" s="54"/>
      <c r="AF366" s="56"/>
      <c r="AG366" s="22">
        <v>0</v>
      </c>
      <c r="AH366" t="s">
        <v>40</v>
      </c>
    </row>
    <row r="367" spans="1:34">
      <c r="A367" s="9" t="s">
        <v>476</v>
      </c>
      <c r="B367" s="7" t="s">
        <v>71</v>
      </c>
      <c r="C367" s="29" t="s">
        <v>468</v>
      </c>
      <c r="D367" t="s">
        <v>54</v>
      </c>
      <c r="E367" s="21" t="s">
        <v>469</v>
      </c>
      <c r="F367" s="22">
        <v>0.99009900990099009</v>
      </c>
      <c r="G367" s="54">
        <v>1</v>
      </c>
      <c r="L367" s="54"/>
      <c r="Q367" s="56"/>
      <c r="R367" s="21" t="s">
        <v>470</v>
      </c>
      <c r="S367" s="21" t="s">
        <v>54</v>
      </c>
      <c r="T367" s="21" t="s">
        <v>469</v>
      </c>
      <c r="U367" s="22">
        <v>0.86956521739130443</v>
      </c>
      <c r="V367" s="54">
        <v>1</v>
      </c>
      <c r="AA367" s="54"/>
      <c r="AF367" s="56"/>
      <c r="AG367" s="22">
        <v>0</v>
      </c>
      <c r="AH367" t="s">
        <v>40</v>
      </c>
    </row>
    <row r="368" spans="1:34">
      <c r="A368" s="9" t="s">
        <v>477</v>
      </c>
      <c r="B368" s="7" t="s">
        <v>71</v>
      </c>
      <c r="C368" s="29" t="s">
        <v>468</v>
      </c>
      <c r="D368" t="s">
        <v>54</v>
      </c>
      <c r="E368" s="21" t="s">
        <v>469</v>
      </c>
      <c r="F368" s="22">
        <v>0.99009900990099009</v>
      </c>
      <c r="G368" s="54">
        <v>1</v>
      </c>
      <c r="L368" s="54"/>
      <c r="Q368" s="56"/>
      <c r="R368" s="21" t="s">
        <v>470</v>
      </c>
      <c r="S368" s="21" t="s">
        <v>54</v>
      </c>
      <c r="T368" s="21" t="s">
        <v>469</v>
      </c>
      <c r="U368" s="22">
        <v>0.86956521739130443</v>
      </c>
      <c r="V368" s="54">
        <v>1</v>
      </c>
      <c r="AA368" s="54"/>
      <c r="AF368" s="56"/>
      <c r="AG368" s="22">
        <v>0</v>
      </c>
      <c r="AH368" t="s">
        <v>40</v>
      </c>
    </row>
    <row r="369" spans="1:34">
      <c r="A369" s="9" t="s">
        <v>478</v>
      </c>
      <c r="B369" s="7" t="s">
        <v>71</v>
      </c>
      <c r="C369" s="29" t="s">
        <v>468</v>
      </c>
      <c r="D369" t="s">
        <v>54</v>
      </c>
      <c r="E369" s="21" t="s">
        <v>469</v>
      </c>
      <c r="F369" s="22">
        <v>0.99009900990099009</v>
      </c>
      <c r="G369" s="54">
        <v>1</v>
      </c>
      <c r="L369" s="54"/>
      <c r="Q369" s="56"/>
      <c r="R369" s="21" t="s">
        <v>470</v>
      </c>
      <c r="S369" s="21" t="s">
        <v>54</v>
      </c>
      <c r="T369" s="21" t="s">
        <v>469</v>
      </c>
      <c r="U369" s="22">
        <v>0.86956521739130443</v>
      </c>
      <c r="V369" s="54">
        <v>1</v>
      </c>
      <c r="AA369" s="54"/>
      <c r="AF369" s="56"/>
      <c r="AG369" s="70">
        <v>0</v>
      </c>
      <c r="AH369" t="s">
        <v>40</v>
      </c>
    </row>
    <row r="370" spans="1:34">
      <c r="A370" s="9" t="s">
        <v>479</v>
      </c>
      <c r="B370" s="7" t="s">
        <v>71</v>
      </c>
      <c r="C370" s="29" t="s">
        <v>468</v>
      </c>
      <c r="D370" t="s">
        <v>54</v>
      </c>
      <c r="E370" s="21" t="s">
        <v>469</v>
      </c>
      <c r="F370" s="22">
        <v>0.99009900990099009</v>
      </c>
      <c r="G370" s="54">
        <v>1</v>
      </c>
      <c r="L370" s="54"/>
      <c r="Q370" s="56"/>
      <c r="R370" s="21" t="s">
        <v>470</v>
      </c>
      <c r="S370" s="21" t="s">
        <v>54</v>
      </c>
      <c r="T370" s="21" t="s">
        <v>469</v>
      </c>
      <c r="U370" s="22">
        <v>0.86956521739130443</v>
      </c>
      <c r="V370" s="54">
        <v>1</v>
      </c>
      <c r="AA370" s="54"/>
      <c r="AF370" s="56"/>
      <c r="AG370" s="22">
        <v>0</v>
      </c>
      <c r="AH370" t="s">
        <v>40</v>
      </c>
    </row>
    <row r="371" spans="1:34">
      <c r="A371" s="9" t="s">
        <v>480</v>
      </c>
      <c r="B371" s="7" t="s">
        <v>71</v>
      </c>
      <c r="C371" s="29" t="s">
        <v>468</v>
      </c>
      <c r="D371" t="s">
        <v>54</v>
      </c>
      <c r="E371" s="21" t="s">
        <v>469</v>
      </c>
      <c r="F371" s="22">
        <v>0.99009900990099009</v>
      </c>
      <c r="G371" s="54">
        <v>1</v>
      </c>
      <c r="L371" s="54"/>
      <c r="Q371" s="56"/>
      <c r="R371" s="21" t="s">
        <v>470</v>
      </c>
      <c r="S371" s="21" t="s">
        <v>54</v>
      </c>
      <c r="T371" s="21" t="s">
        <v>469</v>
      </c>
      <c r="U371" s="22">
        <v>0.86956521739130443</v>
      </c>
      <c r="V371" s="54">
        <v>1</v>
      </c>
      <c r="AA371" s="54"/>
      <c r="AF371" s="56"/>
      <c r="AG371" s="22">
        <v>0</v>
      </c>
      <c r="AH371" t="s">
        <v>40</v>
      </c>
    </row>
    <row r="372" spans="1:34">
      <c r="A372" s="9" t="s">
        <v>481</v>
      </c>
      <c r="B372" s="7" t="s">
        <v>71</v>
      </c>
      <c r="C372" s="29" t="s">
        <v>468</v>
      </c>
      <c r="D372" t="s">
        <v>54</v>
      </c>
      <c r="E372" s="21" t="s">
        <v>469</v>
      </c>
      <c r="F372" s="22">
        <v>0.99009900990099009</v>
      </c>
      <c r="G372" s="54">
        <v>1</v>
      </c>
      <c r="L372" s="54"/>
      <c r="Q372" s="56"/>
      <c r="R372" s="21" t="s">
        <v>470</v>
      </c>
      <c r="S372" s="21" t="s">
        <v>54</v>
      </c>
      <c r="T372" s="21" t="s">
        <v>469</v>
      </c>
      <c r="U372" s="22">
        <v>0.86956521739130443</v>
      </c>
      <c r="V372" s="54">
        <v>1</v>
      </c>
      <c r="AA372" s="54"/>
      <c r="AF372" s="56"/>
      <c r="AG372" s="22">
        <v>0</v>
      </c>
      <c r="AH372" t="s">
        <v>40</v>
      </c>
    </row>
    <row r="373" spans="1:34" s="5" customFormat="1">
      <c r="A373" s="10" t="s">
        <v>482</v>
      </c>
      <c r="B373" s="11" t="s">
        <v>72</v>
      </c>
      <c r="C373" s="28" t="s">
        <v>251</v>
      </c>
      <c r="D373" s="5" t="s">
        <v>34</v>
      </c>
      <c r="E373" s="19" t="s">
        <v>35</v>
      </c>
      <c r="F373" s="20">
        <v>0.63694267515923564</v>
      </c>
      <c r="G373" s="55">
        <v>1</v>
      </c>
      <c r="H373" s="19"/>
      <c r="I373" s="19"/>
      <c r="J373" s="19"/>
      <c r="K373" s="20"/>
      <c r="L373" s="55"/>
      <c r="M373" s="46"/>
      <c r="N373" s="19"/>
      <c r="O373" s="19"/>
      <c r="P373" s="20"/>
      <c r="Q373" s="57"/>
      <c r="R373" s="35" t="s">
        <v>44</v>
      </c>
      <c r="S373" s="30" t="s">
        <v>34</v>
      </c>
      <c r="T373" s="30" t="s">
        <v>35</v>
      </c>
      <c r="U373" s="31">
        <v>0.69930069930069938</v>
      </c>
      <c r="V373" s="32">
        <v>1</v>
      </c>
      <c r="W373" s="19"/>
      <c r="X373" s="19"/>
      <c r="Y373" s="19"/>
      <c r="Z373" s="20"/>
      <c r="AA373" s="55"/>
      <c r="AB373" s="46"/>
      <c r="AC373" s="19"/>
      <c r="AD373" s="19"/>
      <c r="AE373" s="19"/>
      <c r="AF373" s="57"/>
      <c r="AG373" s="69">
        <v>0</v>
      </c>
      <c r="AH373" s="5" t="s">
        <v>40</v>
      </c>
    </row>
    <row r="374" spans="1:34">
      <c r="A374" s="9" t="s">
        <v>483</v>
      </c>
      <c r="B374" s="7" t="s">
        <v>72</v>
      </c>
      <c r="C374" s="29" t="s">
        <v>251</v>
      </c>
      <c r="D374" t="s">
        <v>34</v>
      </c>
      <c r="E374" s="21" t="s">
        <v>35</v>
      </c>
      <c r="F374" s="22">
        <v>0.63694267515923564</v>
      </c>
      <c r="G374" s="54">
        <v>1</v>
      </c>
      <c r="L374" s="54"/>
      <c r="Q374" s="56"/>
      <c r="R374" s="36" t="s">
        <v>44</v>
      </c>
      <c r="S374" s="17" t="s">
        <v>34</v>
      </c>
      <c r="T374" s="17" t="s">
        <v>35</v>
      </c>
      <c r="U374" s="18">
        <v>0.69930069930069938</v>
      </c>
      <c r="V374" s="23">
        <v>1</v>
      </c>
      <c r="AA374" s="54"/>
      <c r="AF374" s="56"/>
      <c r="AG374" s="22">
        <v>0</v>
      </c>
      <c r="AH374" t="s">
        <v>40</v>
      </c>
    </row>
    <row r="375" spans="1:34">
      <c r="A375" s="9" t="s">
        <v>484</v>
      </c>
      <c r="B375" s="7" t="s">
        <v>72</v>
      </c>
      <c r="C375" s="29" t="s">
        <v>251</v>
      </c>
      <c r="D375" t="s">
        <v>34</v>
      </c>
      <c r="E375" s="21" t="s">
        <v>35</v>
      </c>
      <c r="F375" s="22">
        <v>0.63694267515923564</v>
      </c>
      <c r="G375" s="54">
        <v>1</v>
      </c>
      <c r="L375" s="54"/>
      <c r="Q375" s="56"/>
      <c r="R375" s="21" t="s">
        <v>44</v>
      </c>
      <c r="S375" s="21" t="s">
        <v>34</v>
      </c>
      <c r="T375" s="21" t="s">
        <v>35</v>
      </c>
      <c r="U375" s="22">
        <v>0.69930069930069938</v>
      </c>
      <c r="V375" s="54">
        <v>1</v>
      </c>
      <c r="AA375" s="54"/>
      <c r="AF375" s="56"/>
      <c r="AG375" s="22">
        <v>0</v>
      </c>
      <c r="AH375" t="s">
        <v>40</v>
      </c>
    </row>
    <row r="376" spans="1:34">
      <c r="A376" s="9" t="s">
        <v>485</v>
      </c>
      <c r="B376" s="7" t="s">
        <v>72</v>
      </c>
      <c r="C376" s="29" t="s">
        <v>251</v>
      </c>
      <c r="D376" t="s">
        <v>34</v>
      </c>
      <c r="E376" s="21" t="s">
        <v>35</v>
      </c>
      <c r="F376" s="22">
        <v>0.63694267515923564</v>
      </c>
      <c r="G376" s="54">
        <v>1</v>
      </c>
      <c r="L376" s="54"/>
      <c r="Q376" s="56"/>
      <c r="R376" s="21" t="s">
        <v>44</v>
      </c>
      <c r="S376" s="21" t="s">
        <v>34</v>
      </c>
      <c r="T376" s="21" t="s">
        <v>35</v>
      </c>
      <c r="U376" s="22">
        <v>0.69930069930069938</v>
      </c>
      <c r="V376" s="54">
        <v>1</v>
      </c>
      <c r="AA376" s="54"/>
      <c r="AF376" s="56"/>
      <c r="AG376" s="22">
        <v>0</v>
      </c>
      <c r="AH376" t="s">
        <v>40</v>
      </c>
    </row>
    <row r="377" spans="1:34">
      <c r="A377" s="9" t="s">
        <v>486</v>
      </c>
      <c r="B377" s="7" t="s">
        <v>72</v>
      </c>
      <c r="C377" s="29" t="s">
        <v>251</v>
      </c>
      <c r="D377" t="s">
        <v>34</v>
      </c>
      <c r="E377" s="21" t="s">
        <v>35</v>
      </c>
      <c r="F377" s="22">
        <v>0.63694267515923564</v>
      </c>
      <c r="G377" s="54">
        <v>0.6</v>
      </c>
      <c r="H377" s="29" t="s">
        <v>152</v>
      </c>
      <c r="I377" t="s">
        <v>34</v>
      </c>
      <c r="J377" s="21" t="s">
        <v>35</v>
      </c>
      <c r="K377" s="22">
        <v>0.84033613445378152</v>
      </c>
      <c r="L377" s="54">
        <v>0.4</v>
      </c>
      <c r="Q377" s="56"/>
      <c r="R377" s="64" t="s">
        <v>44</v>
      </c>
      <c r="S377" s="21" t="s">
        <v>34</v>
      </c>
      <c r="T377" s="21" t="s">
        <v>35</v>
      </c>
      <c r="U377" s="22">
        <v>0.69930069930069938</v>
      </c>
      <c r="V377" s="54">
        <v>1</v>
      </c>
      <c r="AA377" s="54"/>
      <c r="AF377" s="56"/>
      <c r="AG377" s="22">
        <v>0</v>
      </c>
      <c r="AH377" t="s">
        <v>40</v>
      </c>
    </row>
    <row r="378" spans="1:34">
      <c r="A378" s="9" t="s">
        <v>487</v>
      </c>
      <c r="B378" s="7" t="s">
        <v>72</v>
      </c>
      <c r="C378" s="29" t="s">
        <v>152</v>
      </c>
      <c r="D378" t="s">
        <v>34</v>
      </c>
      <c r="E378" s="21" t="s">
        <v>35</v>
      </c>
      <c r="F378" s="22">
        <v>0.84033613445378152</v>
      </c>
      <c r="G378" s="54">
        <v>1</v>
      </c>
      <c r="L378" s="54"/>
      <c r="Q378" s="56"/>
      <c r="R378" s="64" t="s">
        <v>44</v>
      </c>
      <c r="S378" s="21" t="s">
        <v>34</v>
      </c>
      <c r="T378" s="21" t="s">
        <v>35</v>
      </c>
      <c r="U378" s="22">
        <v>0.69930069930069938</v>
      </c>
      <c r="V378" s="54">
        <v>0.6</v>
      </c>
      <c r="W378" s="21" t="s">
        <v>149</v>
      </c>
      <c r="X378" s="21" t="s">
        <v>37</v>
      </c>
      <c r="Y378" s="21" t="s">
        <v>150</v>
      </c>
      <c r="Z378" s="22">
        <v>0.68</v>
      </c>
      <c r="AA378" s="54">
        <v>0.4</v>
      </c>
      <c r="AF378" s="56"/>
      <c r="AG378" s="22">
        <v>0</v>
      </c>
      <c r="AH378" t="s">
        <v>40</v>
      </c>
    </row>
    <row r="379" spans="1:34">
      <c r="A379" s="9" t="s">
        <v>488</v>
      </c>
      <c r="B379" s="7" t="s">
        <v>72</v>
      </c>
      <c r="C379" s="29" t="s">
        <v>251</v>
      </c>
      <c r="D379" t="s">
        <v>34</v>
      </c>
      <c r="E379" s="21" t="s">
        <v>35</v>
      </c>
      <c r="F379" s="22">
        <v>0.63694267515923564</v>
      </c>
      <c r="G379" s="54">
        <v>1</v>
      </c>
      <c r="L379" s="54"/>
      <c r="Q379" s="56"/>
      <c r="R379" s="36" t="s">
        <v>44</v>
      </c>
      <c r="S379" s="17" t="s">
        <v>34</v>
      </c>
      <c r="T379" s="17" t="s">
        <v>35</v>
      </c>
      <c r="U379" s="18">
        <v>0.69930069930069938</v>
      </c>
      <c r="V379" s="23">
        <v>1</v>
      </c>
      <c r="AA379" s="54"/>
      <c r="AF379" s="56"/>
      <c r="AG379" s="22">
        <v>0</v>
      </c>
      <c r="AH379" t="s">
        <v>40</v>
      </c>
    </row>
    <row r="380" spans="1:34">
      <c r="A380" s="9" t="s">
        <v>489</v>
      </c>
      <c r="B380" s="7" t="s">
        <v>72</v>
      </c>
      <c r="C380" s="29" t="s">
        <v>251</v>
      </c>
      <c r="D380" t="s">
        <v>34</v>
      </c>
      <c r="E380" s="21" t="s">
        <v>35</v>
      </c>
      <c r="F380" s="22">
        <v>0.63694267515923564</v>
      </c>
      <c r="G380" s="54">
        <v>1</v>
      </c>
      <c r="L380" s="54"/>
      <c r="Q380" s="56"/>
      <c r="R380" s="36" t="s">
        <v>44</v>
      </c>
      <c r="S380" s="17" t="s">
        <v>34</v>
      </c>
      <c r="T380" s="17" t="s">
        <v>35</v>
      </c>
      <c r="U380" s="18">
        <v>0.69930069930069938</v>
      </c>
      <c r="V380" s="23">
        <v>1</v>
      </c>
      <c r="AA380" s="54"/>
      <c r="AF380" s="56"/>
      <c r="AG380" s="22">
        <v>0</v>
      </c>
      <c r="AH380" t="s">
        <v>40</v>
      </c>
    </row>
    <row r="381" spans="1:34">
      <c r="A381" s="9" t="s">
        <v>490</v>
      </c>
      <c r="B381" s="7" t="s">
        <v>72</v>
      </c>
      <c r="C381" s="29" t="s">
        <v>251</v>
      </c>
      <c r="D381" t="s">
        <v>34</v>
      </c>
      <c r="E381" s="21" t="s">
        <v>35</v>
      </c>
      <c r="F381" s="22">
        <v>0.63694267515923564</v>
      </c>
      <c r="G381" s="54">
        <v>1</v>
      </c>
      <c r="L381" s="54"/>
      <c r="Q381" s="56"/>
      <c r="R381" s="64" t="s">
        <v>44</v>
      </c>
      <c r="S381" s="21" t="s">
        <v>34</v>
      </c>
      <c r="T381" s="21" t="s">
        <v>35</v>
      </c>
      <c r="U381" s="22">
        <v>0.69930069930069938</v>
      </c>
      <c r="V381" s="54">
        <v>1</v>
      </c>
      <c r="AA381" s="54"/>
      <c r="AF381" s="56"/>
      <c r="AG381" s="22">
        <v>0</v>
      </c>
      <c r="AH381" t="s">
        <v>40</v>
      </c>
    </row>
    <row r="382" spans="1:34">
      <c r="A382" s="9" t="s">
        <v>491</v>
      </c>
      <c r="B382" s="7" t="s">
        <v>72</v>
      </c>
      <c r="C382" s="29" t="s">
        <v>251</v>
      </c>
      <c r="D382" t="s">
        <v>34</v>
      </c>
      <c r="E382" s="21" t="s">
        <v>35</v>
      </c>
      <c r="F382" s="22">
        <v>0.63694267515923564</v>
      </c>
      <c r="G382" s="54">
        <v>1</v>
      </c>
      <c r="L382" s="54"/>
      <c r="Q382" s="56"/>
      <c r="R382" s="64" t="s">
        <v>44</v>
      </c>
      <c r="S382" s="21" t="s">
        <v>34</v>
      </c>
      <c r="T382" s="21" t="s">
        <v>35</v>
      </c>
      <c r="U382" s="22">
        <v>0.69930069930069938</v>
      </c>
      <c r="V382" s="54">
        <v>1</v>
      </c>
      <c r="AA382" s="54"/>
      <c r="AF382" s="56"/>
      <c r="AG382" s="22">
        <v>0</v>
      </c>
      <c r="AH382" t="s">
        <v>40</v>
      </c>
    </row>
    <row r="383" spans="1:34">
      <c r="A383" s="9" t="s">
        <v>492</v>
      </c>
      <c r="B383" s="7" t="s">
        <v>72</v>
      </c>
      <c r="C383" s="29" t="s">
        <v>251</v>
      </c>
      <c r="D383" t="s">
        <v>34</v>
      </c>
      <c r="E383" s="21" t="s">
        <v>35</v>
      </c>
      <c r="F383" s="22">
        <v>0.63694267515923564</v>
      </c>
      <c r="G383" s="54">
        <v>0.6</v>
      </c>
      <c r="H383" s="29" t="s">
        <v>152</v>
      </c>
      <c r="I383" t="s">
        <v>34</v>
      </c>
      <c r="J383" s="21" t="s">
        <v>35</v>
      </c>
      <c r="K383" s="22">
        <v>0.84033613445378152</v>
      </c>
      <c r="L383" s="54">
        <v>0.4</v>
      </c>
      <c r="Q383" s="56"/>
      <c r="R383" s="64" t="s">
        <v>44</v>
      </c>
      <c r="S383" s="21" t="s">
        <v>34</v>
      </c>
      <c r="T383" s="21" t="s">
        <v>35</v>
      </c>
      <c r="U383" s="22">
        <v>0.69930069930069938</v>
      </c>
      <c r="V383" s="54">
        <v>1</v>
      </c>
      <c r="AA383" s="54"/>
      <c r="AF383" s="56"/>
      <c r="AG383" s="22">
        <v>0</v>
      </c>
      <c r="AH383" t="s">
        <v>40</v>
      </c>
    </row>
    <row r="384" spans="1:34">
      <c r="A384" s="9" t="s">
        <v>493</v>
      </c>
      <c r="B384" s="7" t="s">
        <v>72</v>
      </c>
      <c r="C384" s="29" t="s">
        <v>152</v>
      </c>
      <c r="D384" t="s">
        <v>34</v>
      </c>
      <c r="E384" s="21" t="s">
        <v>35</v>
      </c>
      <c r="F384" s="22">
        <v>0.84033613445378152</v>
      </c>
      <c r="G384" s="54">
        <v>1</v>
      </c>
      <c r="L384" s="54"/>
      <c r="Q384" s="56"/>
      <c r="R384" s="64" t="s">
        <v>44</v>
      </c>
      <c r="S384" s="21" t="s">
        <v>34</v>
      </c>
      <c r="T384" s="21" t="s">
        <v>35</v>
      </c>
      <c r="U384" s="22">
        <v>0.69930069930069938</v>
      </c>
      <c r="V384" s="54">
        <v>0.6</v>
      </c>
      <c r="W384" s="21" t="s">
        <v>149</v>
      </c>
      <c r="X384" s="21" t="s">
        <v>37</v>
      </c>
      <c r="Y384" s="21" t="s">
        <v>150</v>
      </c>
      <c r="Z384" s="22">
        <v>0.68</v>
      </c>
      <c r="AA384" s="54">
        <v>0.4</v>
      </c>
      <c r="AF384" s="56"/>
      <c r="AG384" s="22">
        <v>0</v>
      </c>
      <c r="AH384" t="s">
        <v>40</v>
      </c>
    </row>
    <row r="385" spans="1:34">
      <c r="A385" s="9" t="s">
        <v>494</v>
      </c>
      <c r="B385" s="7" t="s">
        <v>72</v>
      </c>
      <c r="C385" s="29" t="s">
        <v>251</v>
      </c>
      <c r="D385" t="s">
        <v>34</v>
      </c>
      <c r="E385" s="21" t="s">
        <v>35</v>
      </c>
      <c r="F385" s="22">
        <v>0.63694267515923564</v>
      </c>
      <c r="G385" s="54">
        <v>1</v>
      </c>
      <c r="L385" s="54"/>
      <c r="Q385" s="56"/>
      <c r="R385" s="36" t="s">
        <v>44</v>
      </c>
      <c r="S385" s="17" t="s">
        <v>34</v>
      </c>
      <c r="T385" s="17" t="s">
        <v>35</v>
      </c>
      <c r="U385" s="18">
        <v>0.69930069930069938</v>
      </c>
      <c r="V385" s="23">
        <v>1</v>
      </c>
      <c r="AA385" s="54"/>
      <c r="AF385" s="56"/>
      <c r="AG385" s="22">
        <v>0</v>
      </c>
      <c r="AH385" t="s">
        <v>40</v>
      </c>
    </row>
    <row r="386" spans="1:34">
      <c r="A386" s="9" t="s">
        <v>495</v>
      </c>
      <c r="B386" s="7" t="s">
        <v>72</v>
      </c>
      <c r="C386" s="29" t="s">
        <v>251</v>
      </c>
      <c r="D386" t="s">
        <v>34</v>
      </c>
      <c r="E386" s="21" t="s">
        <v>35</v>
      </c>
      <c r="F386" s="22">
        <v>0.63694267515923564</v>
      </c>
      <c r="G386" s="54">
        <v>1</v>
      </c>
      <c r="L386" s="54"/>
      <c r="Q386" s="56"/>
      <c r="R386" s="36" t="s">
        <v>44</v>
      </c>
      <c r="S386" s="17" t="s">
        <v>34</v>
      </c>
      <c r="T386" s="17" t="s">
        <v>35</v>
      </c>
      <c r="U386" s="18">
        <v>0.69930069930069938</v>
      </c>
      <c r="V386" s="23">
        <v>1</v>
      </c>
      <c r="AA386" s="54"/>
      <c r="AF386" s="56"/>
      <c r="AG386" s="70">
        <v>0</v>
      </c>
      <c r="AH386" t="s">
        <v>40</v>
      </c>
    </row>
    <row r="387" spans="1:34">
      <c r="A387" s="9" t="s">
        <v>496</v>
      </c>
      <c r="B387" s="7" t="s">
        <v>72</v>
      </c>
      <c r="C387" s="29" t="s">
        <v>251</v>
      </c>
      <c r="D387" t="s">
        <v>34</v>
      </c>
      <c r="E387" s="21" t="s">
        <v>35</v>
      </c>
      <c r="F387" s="22">
        <v>0.63694267515923564</v>
      </c>
      <c r="G387" s="54">
        <v>1</v>
      </c>
      <c r="L387" s="54"/>
      <c r="Q387" s="56"/>
      <c r="R387" s="64" t="s">
        <v>44</v>
      </c>
      <c r="S387" s="21" t="s">
        <v>34</v>
      </c>
      <c r="T387" s="21" t="s">
        <v>35</v>
      </c>
      <c r="U387" s="22">
        <v>0.69930069930069938</v>
      </c>
      <c r="V387" s="54">
        <v>1</v>
      </c>
      <c r="AA387" s="54"/>
      <c r="AF387" s="56"/>
      <c r="AG387" s="22">
        <v>0</v>
      </c>
      <c r="AH387" t="s">
        <v>40</v>
      </c>
    </row>
    <row r="388" spans="1:34">
      <c r="A388" s="9" t="s">
        <v>497</v>
      </c>
      <c r="B388" s="7" t="s">
        <v>72</v>
      </c>
      <c r="C388" s="29" t="s">
        <v>251</v>
      </c>
      <c r="D388" t="s">
        <v>34</v>
      </c>
      <c r="E388" s="21" t="s">
        <v>35</v>
      </c>
      <c r="F388" s="22">
        <v>0.63694267515923564</v>
      </c>
      <c r="G388" s="54">
        <v>1</v>
      </c>
      <c r="L388" s="54"/>
      <c r="Q388" s="56"/>
      <c r="R388" s="64" t="s">
        <v>44</v>
      </c>
      <c r="S388" s="21" t="s">
        <v>34</v>
      </c>
      <c r="T388" s="21" t="s">
        <v>35</v>
      </c>
      <c r="U388" s="22">
        <v>0.69930069930069938</v>
      </c>
      <c r="V388" s="54">
        <v>1</v>
      </c>
      <c r="AA388" s="54"/>
      <c r="AF388" s="56"/>
      <c r="AG388" s="22">
        <v>0</v>
      </c>
      <c r="AH388" t="s">
        <v>40</v>
      </c>
    </row>
    <row r="389" spans="1:34">
      <c r="A389" s="9" t="s">
        <v>498</v>
      </c>
      <c r="B389" s="7" t="s">
        <v>72</v>
      </c>
      <c r="C389" s="29" t="s">
        <v>251</v>
      </c>
      <c r="D389" t="s">
        <v>34</v>
      </c>
      <c r="E389" s="21" t="s">
        <v>35</v>
      </c>
      <c r="F389" s="22">
        <v>0.63694267515923564</v>
      </c>
      <c r="G389" s="54">
        <v>0.6</v>
      </c>
      <c r="H389" s="29" t="s">
        <v>152</v>
      </c>
      <c r="I389" t="s">
        <v>34</v>
      </c>
      <c r="J389" s="21" t="s">
        <v>35</v>
      </c>
      <c r="K389" s="22">
        <v>0.84033613445378152</v>
      </c>
      <c r="L389" s="54">
        <v>0.4</v>
      </c>
      <c r="Q389" s="56"/>
      <c r="R389" s="64" t="s">
        <v>44</v>
      </c>
      <c r="S389" s="21" t="s">
        <v>34</v>
      </c>
      <c r="T389" s="21" t="s">
        <v>35</v>
      </c>
      <c r="U389" s="22">
        <v>0.69930069930069938</v>
      </c>
      <c r="V389" s="54">
        <v>1</v>
      </c>
      <c r="AA389" s="54"/>
      <c r="AF389" s="56"/>
      <c r="AG389" s="22">
        <v>0</v>
      </c>
      <c r="AH389" t="s">
        <v>40</v>
      </c>
    </row>
    <row r="390" spans="1:34">
      <c r="A390" s="9" t="s">
        <v>499</v>
      </c>
      <c r="B390" s="7" t="s">
        <v>72</v>
      </c>
      <c r="C390" s="29" t="s">
        <v>152</v>
      </c>
      <c r="D390" t="s">
        <v>34</v>
      </c>
      <c r="E390" s="21" t="s">
        <v>35</v>
      </c>
      <c r="F390" s="22">
        <v>0.84033613445378152</v>
      </c>
      <c r="G390" s="54">
        <v>1</v>
      </c>
      <c r="L390" s="54"/>
      <c r="Q390" s="56"/>
      <c r="R390" s="66" t="s">
        <v>44</v>
      </c>
      <c r="S390" s="41" t="s">
        <v>34</v>
      </c>
      <c r="T390" s="41" t="s">
        <v>35</v>
      </c>
      <c r="U390" s="65">
        <v>0.69930069930069938</v>
      </c>
      <c r="V390" s="67">
        <v>0.6</v>
      </c>
      <c r="W390" s="41" t="s">
        <v>149</v>
      </c>
      <c r="X390" s="41" t="s">
        <v>37</v>
      </c>
      <c r="Y390" s="41" t="s">
        <v>150</v>
      </c>
      <c r="Z390" s="65">
        <v>0.68</v>
      </c>
      <c r="AA390" s="67">
        <v>0.4</v>
      </c>
      <c r="AF390" s="56"/>
      <c r="AG390" s="22">
        <v>0</v>
      </c>
      <c r="AH390" t="s">
        <v>40</v>
      </c>
    </row>
    <row r="391" spans="1:34" s="5" customFormat="1">
      <c r="A391" s="10" t="s">
        <v>500</v>
      </c>
      <c r="B391" s="11" t="s">
        <v>73</v>
      </c>
      <c r="C391" s="28" t="s">
        <v>148</v>
      </c>
      <c r="D391" s="5" t="s">
        <v>37</v>
      </c>
      <c r="E391" s="19" t="s">
        <v>35</v>
      </c>
      <c r="F391" s="20">
        <v>0.86206896551724144</v>
      </c>
      <c r="G391" s="55">
        <v>1</v>
      </c>
      <c r="H391" s="19"/>
      <c r="I391" s="19"/>
      <c r="J391" s="19"/>
      <c r="K391" s="20"/>
      <c r="L391" s="55"/>
      <c r="M391" s="46"/>
      <c r="N391" s="19"/>
      <c r="O391" s="19"/>
      <c r="P391" s="20"/>
      <c r="Q391" s="57"/>
      <c r="R391" s="35" t="s">
        <v>334</v>
      </c>
      <c r="S391" s="19" t="s">
        <v>37</v>
      </c>
      <c r="T391" s="19" t="s">
        <v>35</v>
      </c>
      <c r="U391" s="20">
        <v>0.64935064935064934</v>
      </c>
      <c r="V391" s="55">
        <v>1</v>
      </c>
      <c r="W391" s="19"/>
      <c r="X391" s="19"/>
      <c r="Y391" s="19"/>
      <c r="Z391" s="20"/>
      <c r="AA391" s="55"/>
      <c r="AB391" s="46"/>
      <c r="AC391" s="19"/>
      <c r="AD391" s="19"/>
      <c r="AE391" s="19"/>
      <c r="AF391" s="57"/>
      <c r="AG391" s="69">
        <v>0</v>
      </c>
      <c r="AH391" s="5" t="s">
        <v>40</v>
      </c>
    </row>
    <row r="392" spans="1:34">
      <c r="A392" s="9" t="s">
        <v>501</v>
      </c>
      <c r="B392" s="7" t="s">
        <v>73</v>
      </c>
      <c r="C392" s="29" t="s">
        <v>148</v>
      </c>
      <c r="D392" t="s">
        <v>37</v>
      </c>
      <c r="E392" s="21" t="s">
        <v>35</v>
      </c>
      <c r="F392" s="22">
        <v>0.86206896551724144</v>
      </c>
      <c r="G392" s="54">
        <v>1</v>
      </c>
      <c r="L392" s="54"/>
      <c r="Q392" s="56"/>
      <c r="R392" s="21" t="s">
        <v>334</v>
      </c>
      <c r="S392" s="21" t="s">
        <v>37</v>
      </c>
      <c r="T392" s="21" t="s">
        <v>35</v>
      </c>
      <c r="U392" s="22">
        <v>0.64935064935064934</v>
      </c>
      <c r="V392" s="54">
        <v>1</v>
      </c>
      <c r="AA392" s="54"/>
      <c r="AF392" s="56"/>
      <c r="AG392" s="22">
        <v>0</v>
      </c>
      <c r="AH392" t="s">
        <v>40</v>
      </c>
    </row>
    <row r="393" spans="1:34">
      <c r="A393" s="9" t="s">
        <v>502</v>
      </c>
      <c r="B393" s="7" t="s">
        <v>73</v>
      </c>
      <c r="C393" s="29" t="s">
        <v>148</v>
      </c>
      <c r="D393" t="s">
        <v>37</v>
      </c>
      <c r="E393" s="21" t="s">
        <v>35</v>
      </c>
      <c r="F393" s="22">
        <v>0.86206896551724144</v>
      </c>
      <c r="G393" s="54">
        <v>1</v>
      </c>
      <c r="L393" s="54"/>
      <c r="Q393" s="56"/>
      <c r="R393" s="21" t="s">
        <v>334</v>
      </c>
      <c r="S393" s="21" t="s">
        <v>37</v>
      </c>
      <c r="T393" s="21" t="s">
        <v>35</v>
      </c>
      <c r="U393" s="22">
        <v>0.64935064935064934</v>
      </c>
      <c r="V393" s="54">
        <v>1</v>
      </c>
      <c r="AA393" s="54"/>
      <c r="AF393" s="56"/>
      <c r="AG393" s="22">
        <v>0</v>
      </c>
      <c r="AH393" t="s">
        <v>40</v>
      </c>
    </row>
    <row r="394" spans="1:34">
      <c r="A394" s="9" t="s">
        <v>503</v>
      </c>
      <c r="B394" s="7" t="s">
        <v>73</v>
      </c>
      <c r="C394" s="29" t="s">
        <v>148</v>
      </c>
      <c r="D394" t="s">
        <v>37</v>
      </c>
      <c r="E394" s="21" t="s">
        <v>35</v>
      </c>
      <c r="F394" s="22">
        <v>0.86206896551724144</v>
      </c>
      <c r="G394" s="54">
        <v>1</v>
      </c>
      <c r="L394" s="54"/>
      <c r="Q394" s="56"/>
      <c r="R394" s="21" t="s">
        <v>334</v>
      </c>
      <c r="S394" s="21" t="s">
        <v>37</v>
      </c>
      <c r="T394" s="21" t="s">
        <v>35</v>
      </c>
      <c r="U394" s="22">
        <v>0.64935064935064934</v>
      </c>
      <c r="V394" s="54">
        <v>1</v>
      </c>
      <c r="AA394" s="54"/>
      <c r="AF394" s="56"/>
      <c r="AG394" s="22">
        <v>0</v>
      </c>
      <c r="AH394" t="s">
        <v>40</v>
      </c>
    </row>
    <row r="395" spans="1:34">
      <c r="A395" s="9" t="s">
        <v>504</v>
      </c>
      <c r="B395" s="7" t="s">
        <v>73</v>
      </c>
      <c r="C395" s="29" t="s">
        <v>148</v>
      </c>
      <c r="D395" t="s">
        <v>37</v>
      </c>
      <c r="E395" s="21" t="s">
        <v>35</v>
      </c>
      <c r="F395" s="22">
        <v>0.86206896551724144</v>
      </c>
      <c r="G395" s="54">
        <v>1</v>
      </c>
      <c r="L395" s="54"/>
      <c r="Q395" s="56"/>
      <c r="R395" s="21" t="s">
        <v>334</v>
      </c>
      <c r="S395" s="21" t="s">
        <v>37</v>
      </c>
      <c r="T395" s="21" t="s">
        <v>35</v>
      </c>
      <c r="U395" s="22">
        <v>0.64935064935064934</v>
      </c>
      <c r="V395" s="54">
        <v>1</v>
      </c>
      <c r="AA395" s="54"/>
      <c r="AF395" s="56"/>
      <c r="AG395" s="22">
        <v>0</v>
      </c>
      <c r="AH395" t="s">
        <v>40</v>
      </c>
    </row>
    <row r="396" spans="1:34">
      <c r="A396" s="9" t="s">
        <v>505</v>
      </c>
      <c r="B396" s="7" t="s">
        <v>73</v>
      </c>
      <c r="C396" s="29" t="s">
        <v>148</v>
      </c>
      <c r="D396" t="s">
        <v>37</v>
      </c>
      <c r="E396" s="21" t="s">
        <v>35</v>
      </c>
      <c r="F396" s="22">
        <v>0.86206896551724144</v>
      </c>
      <c r="G396" s="54">
        <v>1</v>
      </c>
      <c r="L396" s="54"/>
      <c r="Q396" s="56"/>
      <c r="R396" s="21" t="s">
        <v>334</v>
      </c>
      <c r="S396" s="21" t="s">
        <v>37</v>
      </c>
      <c r="T396" s="21" t="s">
        <v>35</v>
      </c>
      <c r="U396" s="22">
        <v>0.64935064935064934</v>
      </c>
      <c r="V396" s="54">
        <v>1</v>
      </c>
      <c r="AA396" s="54"/>
      <c r="AF396" s="56"/>
      <c r="AG396" s="22">
        <v>0</v>
      </c>
      <c r="AH396" t="s">
        <v>40</v>
      </c>
    </row>
    <row r="397" spans="1:34">
      <c r="A397" s="9" t="s">
        <v>506</v>
      </c>
      <c r="B397" s="7" t="s">
        <v>73</v>
      </c>
      <c r="C397" s="29" t="s">
        <v>148</v>
      </c>
      <c r="D397" t="s">
        <v>37</v>
      </c>
      <c r="E397" s="21" t="s">
        <v>35</v>
      </c>
      <c r="F397" s="22">
        <v>0.86206896551724144</v>
      </c>
      <c r="G397" s="54">
        <v>1</v>
      </c>
      <c r="L397" s="54"/>
      <c r="Q397" s="56"/>
      <c r="R397" s="21" t="s">
        <v>334</v>
      </c>
      <c r="S397" s="21" t="s">
        <v>37</v>
      </c>
      <c r="T397" s="21" t="s">
        <v>35</v>
      </c>
      <c r="U397" s="22">
        <v>0.64935064935064934</v>
      </c>
      <c r="V397" s="54">
        <v>1</v>
      </c>
      <c r="AA397" s="54"/>
      <c r="AF397" s="56"/>
      <c r="AG397" s="22">
        <v>0</v>
      </c>
      <c r="AH397" t="s">
        <v>40</v>
      </c>
    </row>
    <row r="398" spans="1:34">
      <c r="A398" s="9" t="s">
        <v>507</v>
      </c>
      <c r="B398" s="7" t="s">
        <v>73</v>
      </c>
      <c r="C398" s="29" t="s">
        <v>148</v>
      </c>
      <c r="D398" t="s">
        <v>37</v>
      </c>
      <c r="E398" s="21" t="s">
        <v>35</v>
      </c>
      <c r="F398" s="22">
        <v>0.86206896551724144</v>
      </c>
      <c r="G398" s="54">
        <v>1</v>
      </c>
      <c r="L398" s="54"/>
      <c r="Q398" s="56"/>
      <c r="R398" s="21" t="s">
        <v>334</v>
      </c>
      <c r="S398" s="21" t="s">
        <v>37</v>
      </c>
      <c r="T398" s="21" t="s">
        <v>35</v>
      </c>
      <c r="U398" s="22">
        <v>0.64935064935064934</v>
      </c>
      <c r="V398" s="54">
        <v>1</v>
      </c>
      <c r="AA398" s="54"/>
      <c r="AF398" s="56"/>
      <c r="AG398" s="22">
        <v>0</v>
      </c>
      <c r="AH398" t="s">
        <v>40</v>
      </c>
    </row>
    <row r="399" spans="1:34">
      <c r="A399" s="9" t="s">
        <v>508</v>
      </c>
      <c r="B399" s="7" t="s">
        <v>73</v>
      </c>
      <c r="C399" s="29" t="s">
        <v>148</v>
      </c>
      <c r="D399" t="s">
        <v>37</v>
      </c>
      <c r="E399" s="21" t="s">
        <v>35</v>
      </c>
      <c r="F399" s="22">
        <v>0.86206896551724144</v>
      </c>
      <c r="G399" s="54">
        <v>1</v>
      </c>
      <c r="L399" s="54"/>
      <c r="Q399" s="56"/>
      <c r="R399" s="21" t="s">
        <v>334</v>
      </c>
      <c r="S399" s="21" t="s">
        <v>37</v>
      </c>
      <c r="T399" s="21" t="s">
        <v>35</v>
      </c>
      <c r="U399" s="22">
        <v>0.64935064935064934</v>
      </c>
      <c r="V399" s="54">
        <v>1</v>
      </c>
      <c r="AA399" s="54"/>
      <c r="AF399" s="56"/>
      <c r="AG399" s="22">
        <v>0</v>
      </c>
      <c r="AH399" t="s">
        <v>40</v>
      </c>
    </row>
    <row r="400" spans="1:34">
      <c r="A400" s="9" t="s">
        <v>509</v>
      </c>
      <c r="B400" s="7" t="s">
        <v>73</v>
      </c>
      <c r="C400" s="29" t="s">
        <v>148</v>
      </c>
      <c r="D400" t="s">
        <v>37</v>
      </c>
      <c r="E400" s="21" t="s">
        <v>35</v>
      </c>
      <c r="F400" s="22">
        <v>0.86206896551724144</v>
      </c>
      <c r="G400" s="54">
        <v>1</v>
      </c>
      <c r="L400" s="54"/>
      <c r="Q400" s="56"/>
      <c r="R400" s="21" t="s">
        <v>334</v>
      </c>
      <c r="S400" s="21" t="s">
        <v>37</v>
      </c>
      <c r="T400" s="21" t="s">
        <v>35</v>
      </c>
      <c r="U400" s="22">
        <v>0.64935064935064934</v>
      </c>
      <c r="V400" s="54">
        <v>1</v>
      </c>
      <c r="AA400" s="54"/>
      <c r="AF400" s="56"/>
      <c r="AG400" s="22">
        <v>0</v>
      </c>
      <c r="AH400" t="s">
        <v>40</v>
      </c>
    </row>
    <row r="401" spans="1:34">
      <c r="A401" s="9" t="s">
        <v>510</v>
      </c>
      <c r="B401" s="7" t="s">
        <v>73</v>
      </c>
      <c r="C401" s="29" t="s">
        <v>148</v>
      </c>
      <c r="D401" t="s">
        <v>37</v>
      </c>
      <c r="E401" s="21" t="s">
        <v>35</v>
      </c>
      <c r="F401" s="22">
        <v>0.86206896551724144</v>
      </c>
      <c r="G401" s="54">
        <v>1</v>
      </c>
      <c r="L401" s="54"/>
      <c r="Q401" s="56"/>
      <c r="R401" s="21" t="s">
        <v>334</v>
      </c>
      <c r="S401" s="21" t="s">
        <v>37</v>
      </c>
      <c r="T401" s="21" t="s">
        <v>35</v>
      </c>
      <c r="U401" s="22">
        <v>0.64935064935064934</v>
      </c>
      <c r="V401" s="54">
        <v>1</v>
      </c>
      <c r="AA401" s="54"/>
      <c r="AF401" s="56"/>
      <c r="AG401" s="22">
        <v>0</v>
      </c>
      <c r="AH401" t="s">
        <v>40</v>
      </c>
    </row>
    <row r="402" spans="1:34">
      <c r="A402" s="9" t="s">
        <v>511</v>
      </c>
      <c r="B402" s="7" t="s">
        <v>73</v>
      </c>
      <c r="C402" s="29" t="s">
        <v>148</v>
      </c>
      <c r="D402" t="s">
        <v>37</v>
      </c>
      <c r="E402" s="21" t="s">
        <v>35</v>
      </c>
      <c r="F402" s="22">
        <v>0.86206896551724144</v>
      </c>
      <c r="G402" s="54">
        <v>1</v>
      </c>
      <c r="L402" s="54"/>
      <c r="Q402" s="56"/>
      <c r="R402" s="21" t="s">
        <v>334</v>
      </c>
      <c r="S402" s="21" t="s">
        <v>37</v>
      </c>
      <c r="T402" s="21" t="s">
        <v>35</v>
      </c>
      <c r="U402" s="22">
        <v>0.64935064935064934</v>
      </c>
      <c r="V402" s="54">
        <v>1</v>
      </c>
      <c r="AA402" s="54"/>
      <c r="AF402" s="56"/>
      <c r="AG402" s="22">
        <v>0</v>
      </c>
      <c r="AH402" t="s">
        <v>40</v>
      </c>
    </row>
    <row r="403" spans="1:34">
      <c r="A403" s="9" t="s">
        <v>512</v>
      </c>
      <c r="B403" s="7" t="s">
        <v>73</v>
      </c>
      <c r="C403" s="29" t="s">
        <v>148</v>
      </c>
      <c r="D403" t="s">
        <v>37</v>
      </c>
      <c r="E403" s="21" t="s">
        <v>35</v>
      </c>
      <c r="F403" s="22">
        <v>0.86206896551724144</v>
      </c>
      <c r="G403" s="54">
        <v>1</v>
      </c>
      <c r="L403" s="54"/>
      <c r="Q403" s="56"/>
      <c r="R403" s="21" t="s">
        <v>334</v>
      </c>
      <c r="S403" s="21" t="s">
        <v>37</v>
      </c>
      <c r="T403" s="21" t="s">
        <v>35</v>
      </c>
      <c r="U403" s="22">
        <v>0.64935064935064934</v>
      </c>
      <c r="V403" s="54">
        <v>1</v>
      </c>
      <c r="AA403" s="54"/>
      <c r="AF403" s="56"/>
      <c r="AG403" s="22">
        <v>0</v>
      </c>
      <c r="AH403" t="s">
        <v>40</v>
      </c>
    </row>
    <row r="404" spans="1:34">
      <c r="A404" s="9" t="s">
        <v>513</v>
      </c>
      <c r="B404" s="7" t="s">
        <v>73</v>
      </c>
      <c r="C404" s="29" t="s">
        <v>148</v>
      </c>
      <c r="D404" t="s">
        <v>37</v>
      </c>
      <c r="E404" s="21" t="s">
        <v>35</v>
      </c>
      <c r="F404" s="22">
        <v>0.86206896551724144</v>
      </c>
      <c r="G404" s="54">
        <v>1</v>
      </c>
      <c r="L404" s="54"/>
      <c r="Q404" s="56"/>
      <c r="R404" s="21" t="s">
        <v>334</v>
      </c>
      <c r="S404" s="21" t="s">
        <v>37</v>
      </c>
      <c r="T404" s="21" t="s">
        <v>35</v>
      </c>
      <c r="U404" s="22">
        <v>0.64935064935064934</v>
      </c>
      <c r="V404" s="54">
        <v>1</v>
      </c>
      <c r="AA404" s="54"/>
      <c r="AF404" s="56"/>
      <c r="AG404" s="22">
        <v>0</v>
      </c>
      <c r="AH404" t="s">
        <v>40</v>
      </c>
    </row>
    <row r="405" spans="1:34">
      <c r="A405" s="9" t="s">
        <v>514</v>
      </c>
      <c r="B405" s="7" t="s">
        <v>73</v>
      </c>
      <c r="C405" s="29" t="s">
        <v>148</v>
      </c>
      <c r="D405" t="s">
        <v>37</v>
      </c>
      <c r="E405" s="21" t="s">
        <v>35</v>
      </c>
      <c r="F405" s="22">
        <v>0.86206896551724144</v>
      </c>
      <c r="G405" s="54">
        <v>1</v>
      </c>
      <c r="L405" s="54"/>
      <c r="Q405" s="56"/>
      <c r="R405" s="21" t="s">
        <v>334</v>
      </c>
      <c r="S405" s="21" t="s">
        <v>37</v>
      </c>
      <c r="T405" s="21" t="s">
        <v>35</v>
      </c>
      <c r="U405" s="22">
        <v>0.64935064935064934</v>
      </c>
      <c r="V405" s="54">
        <v>1</v>
      </c>
      <c r="AA405" s="54"/>
      <c r="AF405" s="56"/>
      <c r="AG405" s="22">
        <v>0</v>
      </c>
      <c r="AH405" t="s">
        <v>40</v>
      </c>
    </row>
    <row r="406" spans="1:34">
      <c r="A406" s="9" t="s">
        <v>515</v>
      </c>
      <c r="B406" s="7" t="s">
        <v>73</v>
      </c>
      <c r="C406" s="29" t="s">
        <v>148</v>
      </c>
      <c r="D406" t="s">
        <v>37</v>
      </c>
      <c r="E406" s="21" t="s">
        <v>35</v>
      </c>
      <c r="F406" s="22">
        <v>0.86206896551724144</v>
      </c>
      <c r="G406" s="54">
        <v>1</v>
      </c>
      <c r="L406" s="54"/>
      <c r="Q406" s="56"/>
      <c r="R406" s="21" t="s">
        <v>334</v>
      </c>
      <c r="S406" s="21" t="s">
        <v>37</v>
      </c>
      <c r="T406" s="21" t="s">
        <v>35</v>
      </c>
      <c r="U406" s="22">
        <v>0.64935064935064934</v>
      </c>
      <c r="V406" s="54">
        <v>1</v>
      </c>
      <c r="AA406" s="54"/>
      <c r="AF406" s="56"/>
      <c r="AG406" s="22">
        <v>0</v>
      </c>
      <c r="AH406" t="s">
        <v>40</v>
      </c>
    </row>
    <row r="407" spans="1:34" s="5" customFormat="1">
      <c r="A407" s="10" t="s">
        <v>516</v>
      </c>
      <c r="B407" s="11" t="s">
        <v>74</v>
      </c>
      <c r="C407" s="28" t="s">
        <v>55</v>
      </c>
      <c r="D407" s="5" t="s">
        <v>34</v>
      </c>
      <c r="E407" s="19" t="s">
        <v>38</v>
      </c>
      <c r="F407" s="20">
        <v>3.2258064516129035</v>
      </c>
      <c r="G407" s="55">
        <v>0.66666666666666663</v>
      </c>
      <c r="H407" s="28" t="s">
        <v>232</v>
      </c>
      <c r="I407" s="19" t="s">
        <v>34</v>
      </c>
      <c r="J407" s="19" t="s">
        <v>79</v>
      </c>
      <c r="K407" s="20">
        <v>0.9009009009009008</v>
      </c>
      <c r="L407" s="55">
        <v>0.33333333333333331</v>
      </c>
      <c r="M407" s="46"/>
      <c r="N407" s="19"/>
      <c r="O407" s="19"/>
      <c r="P407" s="20"/>
      <c r="Q407" s="57"/>
      <c r="R407" s="63" t="s">
        <v>56</v>
      </c>
      <c r="S407" s="19" t="s">
        <v>34</v>
      </c>
      <c r="T407" s="19" t="s">
        <v>38</v>
      </c>
      <c r="U407" s="20">
        <v>2.5</v>
      </c>
      <c r="V407" s="55">
        <v>0.6</v>
      </c>
      <c r="W407" s="19" t="s">
        <v>44</v>
      </c>
      <c r="X407" s="19" t="s">
        <v>34</v>
      </c>
      <c r="Y407" s="19" t="s">
        <v>35</v>
      </c>
      <c r="Z407" s="20">
        <v>0.90909090909090906</v>
      </c>
      <c r="AA407" s="55">
        <v>0.2</v>
      </c>
      <c r="AB407" s="19" t="s">
        <v>78</v>
      </c>
      <c r="AC407" s="19" t="s">
        <v>34</v>
      </c>
      <c r="AD407" s="19" t="s">
        <v>79</v>
      </c>
      <c r="AE407" s="20">
        <v>0.84745762711864414</v>
      </c>
      <c r="AF407" s="57">
        <v>0.2</v>
      </c>
      <c r="AG407" s="69">
        <v>0</v>
      </c>
      <c r="AH407" s="5" t="s">
        <v>40</v>
      </c>
    </row>
    <row r="408" spans="1:34">
      <c r="A408" s="9" t="s">
        <v>517</v>
      </c>
      <c r="B408" s="7" t="s">
        <v>74</v>
      </c>
      <c r="C408" s="29" t="s">
        <v>55</v>
      </c>
      <c r="D408" t="s">
        <v>34</v>
      </c>
      <c r="E408" s="21" t="s">
        <v>38</v>
      </c>
      <c r="F408" s="22">
        <v>3.2258064516129035</v>
      </c>
      <c r="G408" s="54">
        <v>0.66666666666666663</v>
      </c>
      <c r="H408" s="21" t="s">
        <v>232</v>
      </c>
      <c r="I408" s="21" t="s">
        <v>34</v>
      </c>
      <c r="J408" s="21" t="s">
        <v>79</v>
      </c>
      <c r="K408" s="22">
        <v>0.9009009009009008</v>
      </c>
      <c r="L408" s="54">
        <v>0.33333333333333331</v>
      </c>
      <c r="Q408" s="56"/>
      <c r="R408" s="64" t="s">
        <v>56</v>
      </c>
      <c r="S408" s="21" t="s">
        <v>34</v>
      </c>
      <c r="T408" s="21" t="s">
        <v>38</v>
      </c>
      <c r="U408" s="22">
        <v>2.5</v>
      </c>
      <c r="V408" s="54">
        <v>0.6</v>
      </c>
      <c r="W408" s="21" t="s">
        <v>44</v>
      </c>
      <c r="X408" s="21" t="s">
        <v>34</v>
      </c>
      <c r="Y408" s="21" t="s">
        <v>35</v>
      </c>
      <c r="Z408" s="22">
        <v>0.90909090909090906</v>
      </c>
      <c r="AA408" s="54">
        <v>0.2</v>
      </c>
      <c r="AB408" s="21" t="s">
        <v>78</v>
      </c>
      <c r="AC408" s="21" t="s">
        <v>34</v>
      </c>
      <c r="AD408" s="21" t="s">
        <v>79</v>
      </c>
      <c r="AE408" s="22">
        <v>0.84745762711864414</v>
      </c>
      <c r="AF408" s="56">
        <v>0.2</v>
      </c>
      <c r="AG408" s="22">
        <v>0</v>
      </c>
      <c r="AH408" t="s">
        <v>40</v>
      </c>
    </row>
    <row r="409" spans="1:34">
      <c r="A409" s="9" t="s">
        <v>518</v>
      </c>
      <c r="B409" s="7" t="s">
        <v>74</v>
      </c>
      <c r="C409" s="29" t="s">
        <v>55</v>
      </c>
      <c r="D409" t="s">
        <v>34</v>
      </c>
      <c r="E409" s="21" t="s">
        <v>38</v>
      </c>
      <c r="F409" s="22">
        <v>3.2258064516129035</v>
      </c>
      <c r="G409" s="54">
        <v>0.66666666666666663</v>
      </c>
      <c r="H409" s="21" t="s">
        <v>232</v>
      </c>
      <c r="I409" s="21" t="s">
        <v>34</v>
      </c>
      <c r="J409" s="21" t="s">
        <v>79</v>
      </c>
      <c r="K409" s="22">
        <v>0.9009009009009008</v>
      </c>
      <c r="L409" s="54">
        <v>0.33333333333333331</v>
      </c>
      <c r="Q409" s="56"/>
      <c r="R409" s="21" t="s">
        <v>56</v>
      </c>
      <c r="S409" s="21" t="s">
        <v>34</v>
      </c>
      <c r="T409" s="21" t="s">
        <v>38</v>
      </c>
      <c r="U409" s="22">
        <v>2.5</v>
      </c>
      <c r="V409" s="54">
        <v>0.6</v>
      </c>
      <c r="W409" s="21" t="s">
        <v>44</v>
      </c>
      <c r="X409" s="21" t="s">
        <v>34</v>
      </c>
      <c r="Y409" s="21" t="s">
        <v>35</v>
      </c>
      <c r="Z409" s="22">
        <v>0.90909090909090906</v>
      </c>
      <c r="AA409" s="54">
        <v>0.2</v>
      </c>
      <c r="AB409" s="45" t="s">
        <v>78</v>
      </c>
      <c r="AC409" s="21" t="s">
        <v>34</v>
      </c>
      <c r="AD409" s="21" t="s">
        <v>79</v>
      </c>
      <c r="AE409" s="21">
        <v>0.84745762711864414</v>
      </c>
      <c r="AF409" s="56">
        <v>0.2</v>
      </c>
      <c r="AG409" s="22">
        <v>0</v>
      </c>
      <c r="AH409" t="s">
        <v>40</v>
      </c>
    </row>
    <row r="410" spans="1:34">
      <c r="A410" s="9" t="s">
        <v>519</v>
      </c>
      <c r="B410" s="7" t="s">
        <v>74</v>
      </c>
      <c r="C410" s="29" t="s">
        <v>55</v>
      </c>
      <c r="D410" t="s">
        <v>34</v>
      </c>
      <c r="E410" s="21" t="s">
        <v>38</v>
      </c>
      <c r="F410" s="22">
        <v>3.2258064516129035</v>
      </c>
      <c r="G410" s="54">
        <v>0.66666666666666663</v>
      </c>
      <c r="H410" s="21" t="s">
        <v>232</v>
      </c>
      <c r="I410" s="21" t="s">
        <v>34</v>
      </c>
      <c r="J410" s="21" t="s">
        <v>79</v>
      </c>
      <c r="K410" s="22">
        <v>0.9009009009009008</v>
      </c>
      <c r="L410" s="54">
        <v>0.33333333333333331</v>
      </c>
      <c r="Q410" s="56"/>
      <c r="R410" s="21" t="s">
        <v>56</v>
      </c>
      <c r="S410" s="21" t="s">
        <v>34</v>
      </c>
      <c r="T410" s="21" t="s">
        <v>38</v>
      </c>
      <c r="U410" s="22">
        <v>2.5</v>
      </c>
      <c r="V410" s="54">
        <v>0.6</v>
      </c>
      <c r="W410" s="21" t="s">
        <v>44</v>
      </c>
      <c r="X410" s="21" t="s">
        <v>34</v>
      </c>
      <c r="Y410" s="21" t="s">
        <v>35</v>
      </c>
      <c r="Z410" s="22">
        <v>0.90909090909090906</v>
      </c>
      <c r="AA410" s="54">
        <v>0.2</v>
      </c>
      <c r="AB410" s="45" t="s">
        <v>78</v>
      </c>
      <c r="AC410" s="21" t="s">
        <v>34</v>
      </c>
      <c r="AD410" s="21" t="s">
        <v>79</v>
      </c>
      <c r="AE410" s="21">
        <v>0.84745762711864414</v>
      </c>
      <c r="AF410" s="56">
        <v>0.2</v>
      </c>
      <c r="AG410" s="22">
        <v>0</v>
      </c>
      <c r="AH410" t="s">
        <v>40</v>
      </c>
    </row>
    <row r="411" spans="1:34">
      <c r="A411" s="9" t="s">
        <v>520</v>
      </c>
      <c r="B411" s="7" t="s">
        <v>74</v>
      </c>
      <c r="C411" s="29" t="s">
        <v>55</v>
      </c>
      <c r="D411" t="s">
        <v>34</v>
      </c>
      <c r="E411" s="21" t="s">
        <v>38</v>
      </c>
      <c r="F411" s="22">
        <v>3.2258064516129035</v>
      </c>
      <c r="G411" s="54">
        <v>0.66666666666666663</v>
      </c>
      <c r="H411" s="21" t="s">
        <v>232</v>
      </c>
      <c r="I411" s="21" t="s">
        <v>34</v>
      </c>
      <c r="J411" s="21" t="s">
        <v>79</v>
      </c>
      <c r="K411" s="22">
        <v>0.9009009009009008</v>
      </c>
      <c r="L411" s="54">
        <v>0.33333333333333331</v>
      </c>
      <c r="Q411" s="56"/>
      <c r="R411" s="21" t="s">
        <v>56</v>
      </c>
      <c r="S411" s="21" t="s">
        <v>34</v>
      </c>
      <c r="T411" s="21" t="s">
        <v>38</v>
      </c>
      <c r="U411" s="22">
        <v>2.5</v>
      </c>
      <c r="V411" s="54">
        <v>0.6</v>
      </c>
      <c r="W411" s="21" t="s">
        <v>44</v>
      </c>
      <c r="X411" s="21" t="s">
        <v>34</v>
      </c>
      <c r="Y411" s="21" t="s">
        <v>35</v>
      </c>
      <c r="Z411" s="22">
        <v>0.90909090909090906</v>
      </c>
      <c r="AA411" s="54">
        <v>0.2</v>
      </c>
      <c r="AB411" s="45" t="s">
        <v>78</v>
      </c>
      <c r="AC411" s="21" t="s">
        <v>34</v>
      </c>
      <c r="AD411" s="21" t="s">
        <v>79</v>
      </c>
      <c r="AE411" s="21">
        <v>0.84745762711864414</v>
      </c>
      <c r="AF411" s="56">
        <v>0.2</v>
      </c>
      <c r="AG411" s="22">
        <v>0</v>
      </c>
      <c r="AH411" t="s">
        <v>40</v>
      </c>
    </row>
    <row r="412" spans="1:34">
      <c r="A412" s="9" t="s">
        <v>521</v>
      </c>
      <c r="B412" s="7" t="s">
        <v>74</v>
      </c>
      <c r="C412" s="29" t="s">
        <v>55</v>
      </c>
      <c r="D412" t="s">
        <v>34</v>
      </c>
      <c r="E412" s="21" t="s">
        <v>38</v>
      </c>
      <c r="F412" s="22">
        <v>3.2258064516129035</v>
      </c>
      <c r="G412" s="54">
        <v>0.66666666666666663</v>
      </c>
      <c r="H412" s="21" t="s">
        <v>232</v>
      </c>
      <c r="I412" s="21" t="s">
        <v>34</v>
      </c>
      <c r="J412" s="21" t="s">
        <v>79</v>
      </c>
      <c r="K412" s="22">
        <v>0.9009009009009008</v>
      </c>
      <c r="L412" s="54">
        <v>0.33333333333333331</v>
      </c>
      <c r="Q412" s="56"/>
      <c r="R412" s="21" t="s">
        <v>56</v>
      </c>
      <c r="S412" s="21" t="s">
        <v>34</v>
      </c>
      <c r="T412" s="21" t="s">
        <v>38</v>
      </c>
      <c r="U412" s="22">
        <v>2.5</v>
      </c>
      <c r="V412" s="54">
        <v>0.6</v>
      </c>
      <c r="W412" s="21" t="s">
        <v>44</v>
      </c>
      <c r="X412" s="21" t="s">
        <v>34</v>
      </c>
      <c r="Y412" s="21" t="s">
        <v>35</v>
      </c>
      <c r="Z412" s="22">
        <v>0.90909090909090906</v>
      </c>
      <c r="AA412" s="54">
        <v>0.2</v>
      </c>
      <c r="AB412" s="45" t="s">
        <v>78</v>
      </c>
      <c r="AC412" s="21" t="s">
        <v>34</v>
      </c>
      <c r="AD412" s="21" t="s">
        <v>79</v>
      </c>
      <c r="AE412" s="21">
        <v>0.84745762711864414</v>
      </c>
      <c r="AF412" s="56">
        <v>0.2</v>
      </c>
      <c r="AG412" s="22">
        <v>0</v>
      </c>
      <c r="AH412" t="s">
        <v>40</v>
      </c>
    </row>
    <row r="413" spans="1:34">
      <c r="A413" s="9" t="s">
        <v>522</v>
      </c>
      <c r="B413" s="7" t="s">
        <v>74</v>
      </c>
      <c r="C413" s="29" t="s">
        <v>55</v>
      </c>
      <c r="D413" t="s">
        <v>34</v>
      </c>
      <c r="E413" s="21" t="s">
        <v>38</v>
      </c>
      <c r="F413" s="22">
        <v>3.2258064516129035</v>
      </c>
      <c r="G413" s="54">
        <v>0.66666666666666663</v>
      </c>
      <c r="H413" s="21" t="s">
        <v>232</v>
      </c>
      <c r="I413" s="21" t="s">
        <v>34</v>
      </c>
      <c r="J413" s="21" t="s">
        <v>79</v>
      </c>
      <c r="K413" s="22">
        <v>0.9009009009009008</v>
      </c>
      <c r="L413" s="54">
        <v>0.33333333333333331</v>
      </c>
      <c r="Q413" s="56"/>
      <c r="R413" s="21" t="s">
        <v>56</v>
      </c>
      <c r="S413" s="21" t="s">
        <v>34</v>
      </c>
      <c r="T413" s="21" t="s">
        <v>38</v>
      </c>
      <c r="U413" s="22">
        <v>2.5</v>
      </c>
      <c r="V413" s="54">
        <v>0.6</v>
      </c>
      <c r="W413" s="21" t="s">
        <v>44</v>
      </c>
      <c r="X413" s="21" t="s">
        <v>34</v>
      </c>
      <c r="Y413" s="21" t="s">
        <v>35</v>
      </c>
      <c r="Z413" s="22">
        <v>0.90909090909090906</v>
      </c>
      <c r="AA413" s="54">
        <v>0.2</v>
      </c>
      <c r="AB413" s="45" t="s">
        <v>78</v>
      </c>
      <c r="AC413" s="21" t="s">
        <v>34</v>
      </c>
      <c r="AD413" s="21" t="s">
        <v>79</v>
      </c>
      <c r="AE413" s="21">
        <v>0.84745762711864414</v>
      </c>
      <c r="AF413" s="56">
        <v>0.2</v>
      </c>
      <c r="AG413" s="22">
        <v>0</v>
      </c>
      <c r="AH413" t="s">
        <v>40</v>
      </c>
    </row>
    <row r="414" spans="1:34">
      <c r="A414" s="9" t="s">
        <v>523</v>
      </c>
      <c r="B414" s="7" t="s">
        <v>74</v>
      </c>
      <c r="C414" s="29" t="s">
        <v>55</v>
      </c>
      <c r="D414" t="s">
        <v>34</v>
      </c>
      <c r="E414" s="21" t="s">
        <v>38</v>
      </c>
      <c r="F414" s="22">
        <v>3.2258064516129035</v>
      </c>
      <c r="G414" s="54">
        <v>0.66666666666666663</v>
      </c>
      <c r="H414" s="21" t="s">
        <v>232</v>
      </c>
      <c r="I414" s="21" t="s">
        <v>34</v>
      </c>
      <c r="J414" s="21" t="s">
        <v>79</v>
      </c>
      <c r="K414" s="22">
        <v>0.9009009009009008</v>
      </c>
      <c r="L414" s="54">
        <v>0.33333333333333331</v>
      </c>
      <c r="Q414" s="56"/>
      <c r="R414" s="21" t="s">
        <v>56</v>
      </c>
      <c r="S414" s="21" t="s">
        <v>34</v>
      </c>
      <c r="T414" s="21" t="s">
        <v>38</v>
      </c>
      <c r="U414" s="22">
        <v>2.5</v>
      </c>
      <c r="V414" s="54">
        <v>0.6</v>
      </c>
      <c r="W414" s="21" t="s">
        <v>44</v>
      </c>
      <c r="X414" s="21" t="s">
        <v>34</v>
      </c>
      <c r="Y414" s="21" t="s">
        <v>35</v>
      </c>
      <c r="Z414" s="22">
        <v>0.90909090909090906</v>
      </c>
      <c r="AA414" s="54">
        <v>0.2</v>
      </c>
      <c r="AB414" s="45" t="s">
        <v>78</v>
      </c>
      <c r="AC414" s="21" t="s">
        <v>34</v>
      </c>
      <c r="AD414" s="21" t="s">
        <v>79</v>
      </c>
      <c r="AE414" s="21">
        <v>0.84745762711864414</v>
      </c>
      <c r="AF414" s="56">
        <v>0.2</v>
      </c>
      <c r="AG414" s="22">
        <v>0</v>
      </c>
      <c r="AH414" t="s">
        <v>40</v>
      </c>
    </row>
    <row r="415" spans="1:34">
      <c r="A415" s="9" t="s">
        <v>524</v>
      </c>
      <c r="B415" s="7" t="s">
        <v>74</v>
      </c>
      <c r="C415" s="29" t="s">
        <v>55</v>
      </c>
      <c r="D415" t="s">
        <v>34</v>
      </c>
      <c r="E415" s="21" t="s">
        <v>38</v>
      </c>
      <c r="F415" s="22">
        <v>3.2258064516129035</v>
      </c>
      <c r="G415" s="54">
        <v>0.66666666666666663</v>
      </c>
      <c r="H415" s="21" t="s">
        <v>232</v>
      </c>
      <c r="I415" s="21" t="s">
        <v>34</v>
      </c>
      <c r="J415" s="21" t="s">
        <v>79</v>
      </c>
      <c r="K415" s="22">
        <v>0.9009009009009008</v>
      </c>
      <c r="L415" s="54">
        <v>0.33333333333333331</v>
      </c>
      <c r="Q415" s="56"/>
      <c r="R415" s="21" t="s">
        <v>56</v>
      </c>
      <c r="S415" s="21" t="s">
        <v>34</v>
      </c>
      <c r="T415" s="21" t="s">
        <v>38</v>
      </c>
      <c r="U415" s="22">
        <v>2.5</v>
      </c>
      <c r="V415" s="54">
        <v>0.6</v>
      </c>
      <c r="W415" s="21" t="s">
        <v>44</v>
      </c>
      <c r="X415" s="21" t="s">
        <v>34</v>
      </c>
      <c r="Y415" s="21" t="s">
        <v>35</v>
      </c>
      <c r="Z415" s="22">
        <v>0.90909090909090906</v>
      </c>
      <c r="AA415" s="54">
        <v>0.2</v>
      </c>
      <c r="AB415" s="45" t="s">
        <v>78</v>
      </c>
      <c r="AC415" s="21" t="s">
        <v>34</v>
      </c>
      <c r="AD415" s="21" t="s">
        <v>79</v>
      </c>
      <c r="AE415" s="21">
        <v>0.84745762711864414</v>
      </c>
      <c r="AF415" s="56">
        <v>0.2</v>
      </c>
      <c r="AG415" s="22">
        <v>0</v>
      </c>
      <c r="AH415" t="s">
        <v>40</v>
      </c>
    </row>
    <row r="416" spans="1:34">
      <c r="A416" s="9" t="s">
        <v>525</v>
      </c>
      <c r="B416" s="7" t="s">
        <v>74</v>
      </c>
      <c r="C416" s="29" t="s">
        <v>55</v>
      </c>
      <c r="D416" t="s">
        <v>34</v>
      </c>
      <c r="E416" s="21" t="s">
        <v>38</v>
      </c>
      <c r="F416" s="22">
        <v>3.2258064516129035</v>
      </c>
      <c r="G416" s="54">
        <v>0.66666666666666663</v>
      </c>
      <c r="H416" s="21" t="s">
        <v>232</v>
      </c>
      <c r="I416" s="21" t="s">
        <v>34</v>
      </c>
      <c r="J416" s="21" t="s">
        <v>79</v>
      </c>
      <c r="K416" s="22">
        <v>0.9009009009009008</v>
      </c>
      <c r="L416" s="54">
        <v>0.33333333333333331</v>
      </c>
      <c r="Q416" s="56"/>
      <c r="R416" s="21" t="s">
        <v>56</v>
      </c>
      <c r="S416" s="21" t="s">
        <v>34</v>
      </c>
      <c r="T416" s="21" t="s">
        <v>38</v>
      </c>
      <c r="U416" s="22">
        <v>2.5</v>
      </c>
      <c r="V416" s="54">
        <v>0.6</v>
      </c>
      <c r="W416" s="21" t="s">
        <v>44</v>
      </c>
      <c r="X416" s="21" t="s">
        <v>34</v>
      </c>
      <c r="Y416" s="21" t="s">
        <v>35</v>
      </c>
      <c r="Z416" s="22">
        <v>0.90909090909090906</v>
      </c>
      <c r="AA416" s="54">
        <v>0.2</v>
      </c>
      <c r="AB416" s="45" t="s">
        <v>78</v>
      </c>
      <c r="AC416" s="21" t="s">
        <v>34</v>
      </c>
      <c r="AD416" s="21" t="s">
        <v>79</v>
      </c>
      <c r="AE416" s="21">
        <v>0.84745762711864414</v>
      </c>
      <c r="AF416" s="56">
        <v>0.2</v>
      </c>
      <c r="AG416" s="22">
        <v>0</v>
      </c>
      <c r="AH416" t="s">
        <v>40</v>
      </c>
    </row>
    <row r="417" spans="1:34" s="5" customFormat="1">
      <c r="A417" s="10" t="s">
        <v>526</v>
      </c>
      <c r="B417" s="11" t="s">
        <v>75</v>
      </c>
      <c r="C417" s="28" t="s">
        <v>313</v>
      </c>
      <c r="D417" s="5" t="s">
        <v>34</v>
      </c>
      <c r="E417" s="19" t="s">
        <v>286</v>
      </c>
      <c r="F417" s="20">
        <v>0.5</v>
      </c>
      <c r="G417" s="55">
        <v>0.5</v>
      </c>
      <c r="H417" s="28" t="s">
        <v>321</v>
      </c>
      <c r="I417" s="5" t="s">
        <v>34</v>
      </c>
      <c r="J417" s="19" t="s">
        <v>79</v>
      </c>
      <c r="K417" s="20">
        <v>0.7407407407407407</v>
      </c>
      <c r="L417" s="55">
        <v>0.5</v>
      </c>
      <c r="M417" s="46"/>
      <c r="N417" s="19"/>
      <c r="O417" s="19"/>
      <c r="P417" s="20"/>
      <c r="Q417" s="57"/>
      <c r="R417" s="35" t="s">
        <v>129</v>
      </c>
      <c r="S417" s="19" t="s">
        <v>37</v>
      </c>
      <c r="T417" s="19" t="s">
        <v>38</v>
      </c>
      <c r="U417" s="20">
        <v>1</v>
      </c>
      <c r="V417" s="55">
        <v>1</v>
      </c>
      <c r="W417" s="19"/>
      <c r="X417" s="19"/>
      <c r="Y417" s="19"/>
      <c r="Z417" s="20"/>
      <c r="AA417" s="55"/>
      <c r="AB417" s="46"/>
      <c r="AC417" s="19"/>
      <c r="AD417" s="19"/>
      <c r="AE417" s="19"/>
      <c r="AF417" s="57"/>
      <c r="AG417" s="69">
        <v>0</v>
      </c>
      <c r="AH417" s="5" t="s">
        <v>40</v>
      </c>
    </row>
    <row r="418" spans="1:34">
      <c r="A418" s="9" t="s">
        <v>527</v>
      </c>
      <c r="B418" s="7" t="s">
        <v>75</v>
      </c>
      <c r="C418" s="29" t="s">
        <v>313</v>
      </c>
      <c r="D418" t="s">
        <v>34</v>
      </c>
      <c r="E418" s="21" t="s">
        <v>286</v>
      </c>
      <c r="F418" s="22">
        <v>0.5</v>
      </c>
      <c r="G418" s="54">
        <v>0.75</v>
      </c>
      <c r="H418" s="29" t="s">
        <v>321</v>
      </c>
      <c r="I418" t="s">
        <v>34</v>
      </c>
      <c r="J418" s="21" t="s">
        <v>79</v>
      </c>
      <c r="K418" s="22">
        <v>0.7407407407407407</v>
      </c>
      <c r="L418" s="54">
        <v>0.25</v>
      </c>
      <c r="Q418" s="56"/>
      <c r="R418" s="64" t="s">
        <v>129</v>
      </c>
      <c r="S418" s="21" t="s">
        <v>37</v>
      </c>
      <c r="T418" s="21" t="s">
        <v>38</v>
      </c>
      <c r="U418" s="22">
        <v>1</v>
      </c>
      <c r="V418" s="54">
        <v>1</v>
      </c>
      <c r="AA418" s="54"/>
      <c r="AF418" s="56"/>
      <c r="AG418" s="22">
        <v>0</v>
      </c>
      <c r="AH418" t="s">
        <v>40</v>
      </c>
    </row>
    <row r="419" spans="1:34">
      <c r="A419" s="9" t="s">
        <v>528</v>
      </c>
      <c r="B419" s="7" t="s">
        <v>75</v>
      </c>
      <c r="C419" s="29" t="s">
        <v>313</v>
      </c>
      <c r="D419" t="s">
        <v>34</v>
      </c>
      <c r="E419" s="21" t="s">
        <v>286</v>
      </c>
      <c r="F419" s="22">
        <v>0.5</v>
      </c>
      <c r="G419" s="54">
        <v>0.5</v>
      </c>
      <c r="H419" s="21" t="s">
        <v>321</v>
      </c>
      <c r="I419" s="21" t="s">
        <v>34</v>
      </c>
      <c r="J419" s="21" t="s">
        <v>79</v>
      </c>
      <c r="K419" s="22">
        <v>0.7407407407407407</v>
      </c>
      <c r="L419" s="54">
        <v>0.5</v>
      </c>
      <c r="Q419" s="56"/>
      <c r="R419" s="64" t="s">
        <v>129</v>
      </c>
      <c r="S419" s="21" t="s">
        <v>37</v>
      </c>
      <c r="T419" s="21" t="s">
        <v>38</v>
      </c>
      <c r="U419" s="22">
        <v>1</v>
      </c>
      <c r="V419" s="54">
        <v>1</v>
      </c>
      <c r="AA419" s="54"/>
      <c r="AF419" s="56"/>
      <c r="AG419" s="22">
        <v>0</v>
      </c>
      <c r="AH419" t="s">
        <v>40</v>
      </c>
    </row>
    <row r="420" spans="1:34">
      <c r="A420" s="9" t="s">
        <v>529</v>
      </c>
      <c r="B420" s="7" t="s">
        <v>75</v>
      </c>
      <c r="C420" s="29" t="s">
        <v>313</v>
      </c>
      <c r="D420" t="s">
        <v>34</v>
      </c>
      <c r="E420" s="21" t="s">
        <v>286</v>
      </c>
      <c r="F420" s="22">
        <v>0.5</v>
      </c>
      <c r="G420" s="54">
        <v>0.5</v>
      </c>
      <c r="H420" s="21" t="s">
        <v>321</v>
      </c>
      <c r="I420" s="21" t="s">
        <v>34</v>
      </c>
      <c r="J420" s="21" t="s">
        <v>79</v>
      </c>
      <c r="K420" s="22">
        <v>0.7407407407407407</v>
      </c>
      <c r="L420" s="54">
        <v>0.5</v>
      </c>
      <c r="Q420" s="56"/>
      <c r="R420" s="64" t="s">
        <v>129</v>
      </c>
      <c r="S420" s="21" t="s">
        <v>37</v>
      </c>
      <c r="T420" s="21" t="s">
        <v>38</v>
      </c>
      <c r="U420" s="22">
        <v>1</v>
      </c>
      <c r="V420" s="54">
        <v>1</v>
      </c>
      <c r="AA420" s="54"/>
      <c r="AF420" s="56"/>
      <c r="AG420" s="22">
        <v>0</v>
      </c>
      <c r="AH420" t="s">
        <v>40</v>
      </c>
    </row>
    <row r="421" spans="1:34">
      <c r="A421" s="9" t="s">
        <v>530</v>
      </c>
      <c r="B421" s="7" t="s">
        <v>75</v>
      </c>
      <c r="C421" s="29" t="s">
        <v>44</v>
      </c>
      <c r="D421" t="s">
        <v>34</v>
      </c>
      <c r="E421" s="21" t="s">
        <v>35</v>
      </c>
      <c r="F421" s="22">
        <v>0.81300813008130079</v>
      </c>
      <c r="G421" s="54">
        <v>0.5</v>
      </c>
      <c r="H421" s="21" t="s">
        <v>128</v>
      </c>
      <c r="I421" s="21" t="s">
        <v>54</v>
      </c>
      <c r="J421" s="21" t="s">
        <v>35</v>
      </c>
      <c r="K421" s="22">
        <v>0.95238095238095233</v>
      </c>
      <c r="L421" s="54">
        <v>0.5</v>
      </c>
      <c r="Q421" s="56"/>
      <c r="R421" s="64" t="s">
        <v>164</v>
      </c>
      <c r="S421" s="21" t="s">
        <v>34</v>
      </c>
      <c r="T421" s="21" t="s">
        <v>35</v>
      </c>
      <c r="U421" s="22">
        <v>0.98039215686274506</v>
      </c>
      <c r="V421" s="54">
        <v>1</v>
      </c>
      <c r="AA421" s="54"/>
      <c r="AF421" s="56"/>
      <c r="AG421" s="22">
        <v>0</v>
      </c>
      <c r="AH421" t="s">
        <v>40</v>
      </c>
    </row>
    <row r="422" spans="1:34">
      <c r="A422" s="9" t="s">
        <v>531</v>
      </c>
      <c r="B422" s="7" t="s">
        <v>75</v>
      </c>
      <c r="C422" s="29" t="s">
        <v>44</v>
      </c>
      <c r="D422" t="s">
        <v>34</v>
      </c>
      <c r="E422" s="21" t="s">
        <v>35</v>
      </c>
      <c r="F422" s="22">
        <v>0.81300813008130079</v>
      </c>
      <c r="G422" s="54">
        <v>0.5</v>
      </c>
      <c r="H422" s="21" t="s">
        <v>128</v>
      </c>
      <c r="I422" s="21" t="s">
        <v>54</v>
      </c>
      <c r="J422" s="21" t="s">
        <v>35</v>
      </c>
      <c r="K422" s="22">
        <v>0.95238095238095233</v>
      </c>
      <c r="L422" s="54">
        <v>0.5</v>
      </c>
      <c r="Q422" s="56"/>
      <c r="R422" s="64" t="s">
        <v>164</v>
      </c>
      <c r="S422" s="21" t="s">
        <v>34</v>
      </c>
      <c r="T422" s="21" t="s">
        <v>35</v>
      </c>
      <c r="U422" s="22">
        <v>0.98039215686274506</v>
      </c>
      <c r="V422" s="54">
        <v>1</v>
      </c>
      <c r="AA422" s="54"/>
      <c r="AF422" s="56"/>
      <c r="AG422" s="22">
        <v>0</v>
      </c>
      <c r="AH422" t="s">
        <v>40</v>
      </c>
    </row>
    <row r="423" spans="1:34">
      <c r="A423" s="9" t="s">
        <v>532</v>
      </c>
      <c r="B423" s="7" t="s">
        <v>75</v>
      </c>
      <c r="C423" s="29" t="s">
        <v>313</v>
      </c>
      <c r="D423" t="s">
        <v>34</v>
      </c>
      <c r="E423" s="21" t="s">
        <v>286</v>
      </c>
      <c r="F423" s="22">
        <v>0.5</v>
      </c>
      <c r="G423" s="54">
        <v>0.5</v>
      </c>
      <c r="H423" s="29" t="s">
        <v>321</v>
      </c>
      <c r="I423" t="s">
        <v>34</v>
      </c>
      <c r="J423" s="21" t="s">
        <v>79</v>
      </c>
      <c r="K423" s="22">
        <v>0.7407407407407407</v>
      </c>
      <c r="L423" s="54">
        <v>0.5</v>
      </c>
      <c r="Q423" s="56"/>
      <c r="R423" s="36" t="s">
        <v>129</v>
      </c>
      <c r="S423" s="21" t="s">
        <v>37</v>
      </c>
      <c r="T423" s="21" t="s">
        <v>38</v>
      </c>
      <c r="U423" s="22">
        <v>1</v>
      </c>
      <c r="V423" s="54">
        <v>1</v>
      </c>
      <c r="AA423" s="54"/>
      <c r="AF423" s="56"/>
      <c r="AG423" s="22">
        <v>0</v>
      </c>
      <c r="AH423" t="s">
        <v>40</v>
      </c>
    </row>
    <row r="424" spans="1:34">
      <c r="A424" s="9" t="s">
        <v>533</v>
      </c>
      <c r="B424" s="7" t="s">
        <v>75</v>
      </c>
      <c r="C424" s="29" t="s">
        <v>313</v>
      </c>
      <c r="D424" t="s">
        <v>34</v>
      </c>
      <c r="E424" s="21" t="s">
        <v>286</v>
      </c>
      <c r="F424" s="22">
        <v>0.5</v>
      </c>
      <c r="G424" s="54">
        <v>0.75</v>
      </c>
      <c r="H424" s="29" t="s">
        <v>321</v>
      </c>
      <c r="I424" t="s">
        <v>34</v>
      </c>
      <c r="J424" s="21" t="s">
        <v>79</v>
      </c>
      <c r="K424" s="22">
        <v>0.7407407407407407</v>
      </c>
      <c r="L424" s="54">
        <v>0.25</v>
      </c>
      <c r="Q424" s="56"/>
      <c r="R424" s="64" t="s">
        <v>129</v>
      </c>
      <c r="S424" s="21" t="s">
        <v>37</v>
      </c>
      <c r="T424" s="21" t="s">
        <v>38</v>
      </c>
      <c r="U424" s="22">
        <v>1</v>
      </c>
      <c r="V424" s="54">
        <v>1</v>
      </c>
      <c r="AA424" s="54"/>
      <c r="AF424" s="56"/>
      <c r="AG424" s="22">
        <v>0</v>
      </c>
      <c r="AH424" t="s">
        <v>40</v>
      </c>
    </row>
    <row r="425" spans="1:34">
      <c r="A425" s="9" t="s">
        <v>534</v>
      </c>
      <c r="B425" s="7" t="s">
        <v>75</v>
      </c>
      <c r="C425" s="29" t="s">
        <v>313</v>
      </c>
      <c r="D425" t="s">
        <v>34</v>
      </c>
      <c r="E425" s="21" t="s">
        <v>286</v>
      </c>
      <c r="F425" s="22">
        <v>0.5</v>
      </c>
      <c r="G425" s="54">
        <v>0.5</v>
      </c>
      <c r="H425" s="21" t="s">
        <v>321</v>
      </c>
      <c r="I425" s="21" t="s">
        <v>34</v>
      </c>
      <c r="J425" s="21" t="s">
        <v>79</v>
      </c>
      <c r="K425" s="22">
        <v>0.7407407407407407</v>
      </c>
      <c r="L425" s="54">
        <v>0.5</v>
      </c>
      <c r="Q425" s="56"/>
      <c r="R425" s="64" t="s">
        <v>129</v>
      </c>
      <c r="S425" s="21" t="s">
        <v>37</v>
      </c>
      <c r="T425" s="21" t="s">
        <v>38</v>
      </c>
      <c r="U425" s="22">
        <v>1</v>
      </c>
      <c r="V425" s="54">
        <v>1</v>
      </c>
      <c r="AA425" s="54"/>
      <c r="AF425" s="56"/>
      <c r="AG425" s="22">
        <v>0</v>
      </c>
      <c r="AH425" t="s">
        <v>40</v>
      </c>
    </row>
    <row r="426" spans="1:34">
      <c r="A426" s="9" t="s">
        <v>535</v>
      </c>
      <c r="B426" s="7" t="s">
        <v>75</v>
      </c>
      <c r="C426" s="29" t="s">
        <v>313</v>
      </c>
      <c r="D426" t="s">
        <v>34</v>
      </c>
      <c r="E426" s="21" t="s">
        <v>286</v>
      </c>
      <c r="F426" s="22">
        <v>0.5</v>
      </c>
      <c r="G426" s="54">
        <v>0.5</v>
      </c>
      <c r="H426" s="21" t="s">
        <v>321</v>
      </c>
      <c r="I426" s="21" t="s">
        <v>34</v>
      </c>
      <c r="J426" s="21" t="s">
        <v>79</v>
      </c>
      <c r="K426" s="22">
        <v>0.7407407407407407</v>
      </c>
      <c r="L426" s="54">
        <v>0.5</v>
      </c>
      <c r="Q426" s="56"/>
      <c r="R426" s="64" t="s">
        <v>129</v>
      </c>
      <c r="S426" s="21" t="s">
        <v>37</v>
      </c>
      <c r="T426" s="21" t="s">
        <v>38</v>
      </c>
      <c r="U426" s="22">
        <v>1</v>
      </c>
      <c r="V426" s="54">
        <v>1</v>
      </c>
      <c r="AA426" s="54"/>
      <c r="AF426" s="56"/>
      <c r="AG426" s="22">
        <v>0</v>
      </c>
      <c r="AH426" t="s">
        <v>40</v>
      </c>
    </row>
    <row r="427" spans="1:34">
      <c r="A427" s="9" t="s">
        <v>536</v>
      </c>
      <c r="B427" s="7" t="s">
        <v>75</v>
      </c>
      <c r="C427" s="29" t="s">
        <v>44</v>
      </c>
      <c r="D427" t="s">
        <v>34</v>
      </c>
      <c r="E427" s="21" t="s">
        <v>35</v>
      </c>
      <c r="F427" s="22">
        <v>0.81300813008130079</v>
      </c>
      <c r="G427" s="54">
        <v>0.5</v>
      </c>
      <c r="H427" s="21" t="s">
        <v>128</v>
      </c>
      <c r="I427" s="21" t="s">
        <v>54</v>
      </c>
      <c r="J427" s="21" t="s">
        <v>35</v>
      </c>
      <c r="K427" s="22">
        <v>0.95238095238095233</v>
      </c>
      <c r="L427" s="54">
        <v>0.5</v>
      </c>
      <c r="Q427" s="56"/>
      <c r="R427" s="64" t="s">
        <v>164</v>
      </c>
      <c r="S427" s="21" t="s">
        <v>34</v>
      </c>
      <c r="T427" s="21" t="s">
        <v>35</v>
      </c>
      <c r="U427" s="22">
        <v>0.98039215686274506</v>
      </c>
      <c r="V427" s="54">
        <v>1</v>
      </c>
      <c r="AA427" s="54"/>
      <c r="AF427" s="56"/>
      <c r="AG427" s="22">
        <v>0</v>
      </c>
      <c r="AH427" t="s">
        <v>40</v>
      </c>
    </row>
    <row r="428" spans="1:34">
      <c r="A428" s="9" t="s">
        <v>537</v>
      </c>
      <c r="B428" s="7" t="s">
        <v>75</v>
      </c>
      <c r="C428" s="29" t="s">
        <v>44</v>
      </c>
      <c r="D428" t="s">
        <v>34</v>
      </c>
      <c r="E428" s="21" t="s">
        <v>35</v>
      </c>
      <c r="F428" s="22">
        <v>0.81300813008130079</v>
      </c>
      <c r="G428" s="54">
        <v>0.5</v>
      </c>
      <c r="H428" s="21" t="s">
        <v>128</v>
      </c>
      <c r="I428" s="21" t="s">
        <v>54</v>
      </c>
      <c r="J428" s="21" t="s">
        <v>35</v>
      </c>
      <c r="K428" s="22">
        <v>0.95238095238095233</v>
      </c>
      <c r="L428" s="54">
        <v>0.5</v>
      </c>
      <c r="Q428" s="56"/>
      <c r="R428" s="64" t="s">
        <v>164</v>
      </c>
      <c r="S428" s="21" t="s">
        <v>34</v>
      </c>
      <c r="T428" s="21" t="s">
        <v>35</v>
      </c>
      <c r="U428" s="22">
        <v>0.98039215686274506</v>
      </c>
      <c r="V428" s="54">
        <v>1</v>
      </c>
      <c r="AA428" s="54"/>
      <c r="AF428" s="56"/>
      <c r="AG428" s="22">
        <v>0</v>
      </c>
      <c r="AH428" t="s">
        <v>40</v>
      </c>
    </row>
    <row r="429" spans="1:34">
      <c r="A429" s="9" t="s">
        <v>538</v>
      </c>
      <c r="B429" s="7" t="s">
        <v>75</v>
      </c>
      <c r="C429" s="29" t="s">
        <v>313</v>
      </c>
      <c r="D429" t="s">
        <v>34</v>
      </c>
      <c r="E429" s="21" t="s">
        <v>286</v>
      </c>
      <c r="F429" s="22">
        <v>0.5</v>
      </c>
      <c r="G429" s="54">
        <v>0.5</v>
      </c>
      <c r="H429" s="29" t="s">
        <v>321</v>
      </c>
      <c r="I429" t="s">
        <v>34</v>
      </c>
      <c r="J429" s="21" t="s">
        <v>79</v>
      </c>
      <c r="K429" s="22">
        <v>0.7407407407407407</v>
      </c>
      <c r="L429" s="54">
        <v>0.5</v>
      </c>
      <c r="Q429" s="56"/>
      <c r="R429" s="36" t="s">
        <v>129</v>
      </c>
      <c r="S429" s="21" t="s">
        <v>37</v>
      </c>
      <c r="T429" s="21" t="s">
        <v>38</v>
      </c>
      <c r="U429" s="22">
        <v>1</v>
      </c>
      <c r="V429" s="54">
        <v>1</v>
      </c>
      <c r="AA429" s="54"/>
      <c r="AF429" s="56"/>
      <c r="AG429" s="22">
        <v>0</v>
      </c>
      <c r="AH429" t="s">
        <v>40</v>
      </c>
    </row>
    <row r="430" spans="1:34">
      <c r="A430" s="9" t="s">
        <v>539</v>
      </c>
      <c r="B430" s="7" t="s">
        <v>75</v>
      </c>
      <c r="C430" s="29" t="s">
        <v>313</v>
      </c>
      <c r="D430" t="s">
        <v>34</v>
      </c>
      <c r="E430" s="21" t="s">
        <v>286</v>
      </c>
      <c r="F430" s="22">
        <v>0.5</v>
      </c>
      <c r="G430" s="54">
        <v>0.75</v>
      </c>
      <c r="H430" s="29" t="s">
        <v>321</v>
      </c>
      <c r="I430" t="s">
        <v>34</v>
      </c>
      <c r="J430" s="21" t="s">
        <v>79</v>
      </c>
      <c r="K430" s="22">
        <v>0.7407407407407407</v>
      </c>
      <c r="L430" s="54">
        <v>0.25</v>
      </c>
      <c r="Q430" s="56"/>
      <c r="R430" s="64" t="s">
        <v>129</v>
      </c>
      <c r="S430" s="21" t="s">
        <v>37</v>
      </c>
      <c r="T430" s="21" t="s">
        <v>38</v>
      </c>
      <c r="U430" s="22">
        <v>1</v>
      </c>
      <c r="V430" s="54">
        <v>1</v>
      </c>
      <c r="AA430" s="54"/>
      <c r="AF430" s="56"/>
      <c r="AG430" s="22">
        <v>0</v>
      </c>
      <c r="AH430" t="s">
        <v>40</v>
      </c>
    </row>
    <row r="431" spans="1:34">
      <c r="A431" s="9" t="s">
        <v>540</v>
      </c>
      <c r="B431" s="7" t="s">
        <v>75</v>
      </c>
      <c r="C431" s="29" t="s">
        <v>313</v>
      </c>
      <c r="D431" t="s">
        <v>34</v>
      </c>
      <c r="E431" s="21" t="s">
        <v>286</v>
      </c>
      <c r="F431" s="22">
        <v>0.5</v>
      </c>
      <c r="G431" s="54">
        <v>0.5</v>
      </c>
      <c r="H431" s="21" t="s">
        <v>321</v>
      </c>
      <c r="I431" s="21" t="s">
        <v>34</v>
      </c>
      <c r="J431" s="21" t="s">
        <v>79</v>
      </c>
      <c r="K431" s="22">
        <v>0.7407407407407407</v>
      </c>
      <c r="L431" s="54">
        <v>0.5</v>
      </c>
      <c r="Q431" s="56"/>
      <c r="R431" s="64" t="s">
        <v>129</v>
      </c>
      <c r="S431" s="21" t="s">
        <v>37</v>
      </c>
      <c r="T431" s="21" t="s">
        <v>38</v>
      </c>
      <c r="U431" s="22">
        <v>1</v>
      </c>
      <c r="V431" s="54">
        <v>1</v>
      </c>
      <c r="AA431" s="54"/>
      <c r="AF431" s="56"/>
      <c r="AG431" s="22">
        <v>0</v>
      </c>
      <c r="AH431" t="s">
        <v>40</v>
      </c>
    </row>
    <row r="432" spans="1:34">
      <c r="A432" s="9" t="s">
        <v>541</v>
      </c>
      <c r="B432" s="7" t="s">
        <v>75</v>
      </c>
      <c r="C432" s="29" t="s">
        <v>313</v>
      </c>
      <c r="D432" t="s">
        <v>34</v>
      </c>
      <c r="E432" s="21" t="s">
        <v>286</v>
      </c>
      <c r="F432" s="22">
        <v>0.5</v>
      </c>
      <c r="G432" s="54">
        <v>0.5</v>
      </c>
      <c r="H432" s="21" t="s">
        <v>321</v>
      </c>
      <c r="I432" s="21" t="s">
        <v>34</v>
      </c>
      <c r="J432" s="21" t="s">
        <v>79</v>
      </c>
      <c r="K432" s="22">
        <v>0.7407407407407407</v>
      </c>
      <c r="L432" s="54">
        <v>0.5</v>
      </c>
      <c r="Q432" s="56"/>
      <c r="R432" s="21" t="s">
        <v>129</v>
      </c>
      <c r="S432" s="21" t="s">
        <v>37</v>
      </c>
      <c r="T432" s="21" t="s">
        <v>38</v>
      </c>
      <c r="U432" s="22">
        <v>1</v>
      </c>
      <c r="V432" s="54">
        <v>1</v>
      </c>
      <c r="AA432" s="54"/>
      <c r="AF432" s="56"/>
      <c r="AG432" s="22">
        <v>0</v>
      </c>
      <c r="AH432" t="s">
        <v>40</v>
      </c>
    </row>
    <row r="433" spans="1:34">
      <c r="A433" s="9" t="s">
        <v>542</v>
      </c>
      <c r="B433" s="7" t="s">
        <v>75</v>
      </c>
      <c r="C433" s="29" t="s">
        <v>44</v>
      </c>
      <c r="D433" t="s">
        <v>34</v>
      </c>
      <c r="E433" s="21" t="s">
        <v>35</v>
      </c>
      <c r="F433" s="22">
        <v>0.81300813008130079</v>
      </c>
      <c r="G433" s="54">
        <v>0.5</v>
      </c>
      <c r="H433" s="21" t="s">
        <v>128</v>
      </c>
      <c r="I433" s="21" t="s">
        <v>54</v>
      </c>
      <c r="J433" s="21" t="s">
        <v>35</v>
      </c>
      <c r="K433" s="22">
        <v>0.95238095238095233</v>
      </c>
      <c r="L433" s="54">
        <v>0.5</v>
      </c>
      <c r="Q433" s="56"/>
      <c r="R433" s="21" t="s">
        <v>164</v>
      </c>
      <c r="S433" s="21" t="s">
        <v>34</v>
      </c>
      <c r="T433" s="21" t="s">
        <v>35</v>
      </c>
      <c r="U433" s="22">
        <v>0.98039215686274506</v>
      </c>
      <c r="V433" s="54">
        <v>1</v>
      </c>
      <c r="AA433" s="54"/>
      <c r="AF433" s="56"/>
      <c r="AG433" s="22">
        <v>0</v>
      </c>
      <c r="AH433" t="s">
        <v>40</v>
      </c>
    </row>
    <row r="434" spans="1:34">
      <c r="A434" s="9" t="s">
        <v>543</v>
      </c>
      <c r="B434" s="7" t="s">
        <v>75</v>
      </c>
      <c r="C434" s="29" t="s">
        <v>44</v>
      </c>
      <c r="D434" t="s">
        <v>34</v>
      </c>
      <c r="E434" s="21" t="s">
        <v>35</v>
      </c>
      <c r="F434" s="22">
        <v>0.81300813008130079</v>
      </c>
      <c r="G434" s="54">
        <v>0.5</v>
      </c>
      <c r="H434" s="21" t="s">
        <v>128</v>
      </c>
      <c r="I434" s="21" t="s">
        <v>54</v>
      </c>
      <c r="J434" s="21" t="s">
        <v>35</v>
      </c>
      <c r="K434" s="22">
        <v>0.95238095238095233</v>
      </c>
      <c r="L434" s="54">
        <v>0.5</v>
      </c>
      <c r="Q434" s="56"/>
      <c r="R434" s="21" t="s">
        <v>164</v>
      </c>
      <c r="S434" s="21" t="s">
        <v>34</v>
      </c>
      <c r="T434" s="21" t="s">
        <v>35</v>
      </c>
      <c r="U434" s="22">
        <v>0.98039215686274506</v>
      </c>
      <c r="V434" s="54">
        <v>1</v>
      </c>
      <c r="AA434" s="54"/>
      <c r="AF434" s="56"/>
      <c r="AG434" s="22">
        <v>0</v>
      </c>
      <c r="AH434" t="s">
        <v>40</v>
      </c>
    </row>
    <row r="435" spans="1:34" s="5" customFormat="1">
      <c r="A435" s="10" t="s">
        <v>544</v>
      </c>
      <c r="B435" s="11" t="s">
        <v>76</v>
      </c>
      <c r="C435" s="28" t="s">
        <v>158</v>
      </c>
      <c r="D435" s="5" t="s">
        <v>37</v>
      </c>
      <c r="E435" s="19" t="s">
        <v>38</v>
      </c>
      <c r="F435" s="20">
        <v>1</v>
      </c>
      <c r="G435" s="55">
        <v>1</v>
      </c>
      <c r="H435" s="19"/>
      <c r="I435" s="19"/>
      <c r="J435" s="19"/>
      <c r="K435" s="20"/>
      <c r="L435" s="55"/>
      <c r="M435" s="46"/>
      <c r="N435" s="19"/>
      <c r="O435" s="19"/>
      <c r="P435" s="20"/>
      <c r="Q435" s="57"/>
      <c r="R435" s="35" t="s">
        <v>129</v>
      </c>
      <c r="S435" s="19" t="s">
        <v>37</v>
      </c>
      <c r="T435" s="19" t="s">
        <v>38</v>
      </c>
      <c r="U435" s="20">
        <v>1</v>
      </c>
      <c r="V435" s="55">
        <v>1</v>
      </c>
      <c r="W435" s="19"/>
      <c r="X435" s="19"/>
      <c r="Y435" s="19"/>
      <c r="Z435" s="20"/>
      <c r="AA435" s="55"/>
      <c r="AB435" s="46"/>
      <c r="AC435" s="19"/>
      <c r="AD435" s="19"/>
      <c r="AE435" s="19"/>
      <c r="AF435" s="57"/>
      <c r="AG435" s="20">
        <v>0</v>
      </c>
      <c r="AH435" s="5" t="s">
        <v>40</v>
      </c>
    </row>
    <row r="436" spans="1:34">
      <c r="A436" s="9" t="s">
        <v>545</v>
      </c>
      <c r="B436" s="7" t="s">
        <v>76</v>
      </c>
      <c r="C436" s="29" t="s">
        <v>158</v>
      </c>
      <c r="D436" t="s">
        <v>37</v>
      </c>
      <c r="E436" s="21" t="s">
        <v>38</v>
      </c>
      <c r="F436" s="22">
        <v>1</v>
      </c>
      <c r="G436" s="54">
        <v>1</v>
      </c>
      <c r="L436" s="54"/>
      <c r="Q436" s="56"/>
      <c r="R436" s="21" t="s">
        <v>129</v>
      </c>
      <c r="S436" s="21" t="s">
        <v>37</v>
      </c>
      <c r="T436" s="21" t="s">
        <v>38</v>
      </c>
      <c r="U436" s="22">
        <v>1</v>
      </c>
      <c r="V436" s="54">
        <v>1</v>
      </c>
      <c r="AA436" s="54"/>
      <c r="AF436" s="56"/>
      <c r="AG436" s="22">
        <v>0</v>
      </c>
      <c r="AH436" t="s">
        <v>40</v>
      </c>
    </row>
    <row r="437" spans="1:34">
      <c r="A437" s="9" t="s">
        <v>546</v>
      </c>
      <c r="B437" s="7" t="s">
        <v>76</v>
      </c>
      <c r="C437" s="29" t="s">
        <v>158</v>
      </c>
      <c r="D437" t="s">
        <v>37</v>
      </c>
      <c r="E437" s="21" t="s">
        <v>38</v>
      </c>
      <c r="F437" s="22">
        <v>1</v>
      </c>
      <c r="G437" s="54">
        <v>1</v>
      </c>
      <c r="L437" s="54"/>
      <c r="Q437" s="56"/>
      <c r="R437" s="21" t="s">
        <v>129</v>
      </c>
      <c r="S437" s="21" t="s">
        <v>37</v>
      </c>
      <c r="T437" s="21" t="s">
        <v>38</v>
      </c>
      <c r="U437" s="22">
        <v>1</v>
      </c>
      <c r="V437" s="54">
        <v>1</v>
      </c>
      <c r="AA437" s="54"/>
      <c r="AF437" s="56"/>
      <c r="AG437" s="22">
        <v>0</v>
      </c>
      <c r="AH437" t="s">
        <v>40</v>
      </c>
    </row>
    <row r="438" spans="1:34">
      <c r="A438" s="9" t="s">
        <v>547</v>
      </c>
      <c r="B438" s="7" t="s">
        <v>76</v>
      </c>
      <c r="C438" s="29" t="s">
        <v>158</v>
      </c>
      <c r="D438" t="s">
        <v>37</v>
      </c>
      <c r="E438" s="21" t="s">
        <v>38</v>
      </c>
      <c r="F438" s="22">
        <v>1</v>
      </c>
      <c r="G438" s="54">
        <v>1</v>
      </c>
      <c r="L438" s="54"/>
      <c r="Q438" s="56"/>
      <c r="R438" s="21" t="s">
        <v>129</v>
      </c>
      <c r="S438" s="21" t="s">
        <v>37</v>
      </c>
      <c r="T438" s="21" t="s">
        <v>38</v>
      </c>
      <c r="U438" s="22">
        <v>1</v>
      </c>
      <c r="V438" s="54">
        <v>1</v>
      </c>
      <c r="AA438" s="54"/>
      <c r="AF438" s="56"/>
      <c r="AG438" s="22">
        <v>0</v>
      </c>
      <c r="AH438" t="s">
        <v>40</v>
      </c>
    </row>
    <row r="439" spans="1:34">
      <c r="A439" s="9" t="s">
        <v>548</v>
      </c>
      <c r="B439" s="7" t="s">
        <v>76</v>
      </c>
      <c r="C439" s="29" t="s">
        <v>158</v>
      </c>
      <c r="D439" t="s">
        <v>37</v>
      </c>
      <c r="E439" s="21" t="s">
        <v>38</v>
      </c>
      <c r="F439" s="22">
        <v>1</v>
      </c>
      <c r="G439" s="54">
        <v>1</v>
      </c>
      <c r="L439" s="54"/>
      <c r="Q439" s="56"/>
      <c r="R439" s="21" t="s">
        <v>129</v>
      </c>
      <c r="S439" s="21" t="s">
        <v>37</v>
      </c>
      <c r="T439" s="21" t="s">
        <v>38</v>
      </c>
      <c r="U439" s="22">
        <v>1</v>
      </c>
      <c r="V439" s="54">
        <v>0.66666666666666663</v>
      </c>
      <c r="W439" s="21" t="s">
        <v>45</v>
      </c>
      <c r="X439" s="21" t="s">
        <v>34</v>
      </c>
      <c r="Y439" s="21" t="s">
        <v>35</v>
      </c>
      <c r="Z439" s="22">
        <v>0.83333333333333337</v>
      </c>
      <c r="AA439" s="54">
        <v>0.33333333333333331</v>
      </c>
      <c r="AF439" s="56"/>
      <c r="AG439" s="22">
        <v>0</v>
      </c>
      <c r="AH439" t="s">
        <v>40</v>
      </c>
    </row>
    <row r="440" spans="1:34">
      <c r="A440" s="9" t="s">
        <v>549</v>
      </c>
      <c r="B440" s="7" t="s">
        <v>76</v>
      </c>
      <c r="C440" s="29" t="s">
        <v>33</v>
      </c>
      <c r="D440" t="s">
        <v>34</v>
      </c>
      <c r="E440" s="21" t="s">
        <v>35</v>
      </c>
      <c r="F440" s="22">
        <v>0.970873786407767</v>
      </c>
      <c r="G440" s="54">
        <v>1</v>
      </c>
      <c r="L440" s="54"/>
      <c r="Q440" s="56"/>
      <c r="R440" s="21" t="s">
        <v>45</v>
      </c>
      <c r="S440" s="21" t="s">
        <v>34</v>
      </c>
      <c r="T440" s="21" t="s">
        <v>35</v>
      </c>
      <c r="U440" s="22">
        <v>0.83333333333333337</v>
      </c>
      <c r="V440" s="54">
        <v>0.75</v>
      </c>
      <c r="W440" s="21" t="s">
        <v>164</v>
      </c>
      <c r="X440" s="21" t="s">
        <v>34</v>
      </c>
      <c r="Y440" s="21" t="s">
        <v>35</v>
      </c>
      <c r="Z440" s="22">
        <v>0.98039215686274506</v>
      </c>
      <c r="AA440" s="54">
        <v>0.25</v>
      </c>
      <c r="AF440" s="56"/>
      <c r="AG440" s="22">
        <v>0</v>
      </c>
      <c r="AH440" t="s">
        <v>40</v>
      </c>
    </row>
    <row r="441" spans="1:34">
      <c r="A441" s="9" t="s">
        <v>550</v>
      </c>
      <c r="B441" s="7" t="s">
        <v>76</v>
      </c>
      <c r="C441" s="29" t="s">
        <v>33</v>
      </c>
      <c r="D441" t="s">
        <v>34</v>
      </c>
      <c r="E441" s="21" t="s">
        <v>35</v>
      </c>
      <c r="F441" s="22">
        <v>0.970873786407767</v>
      </c>
      <c r="G441" s="54">
        <v>1</v>
      </c>
      <c r="L441" s="54"/>
      <c r="Q441" s="56"/>
      <c r="R441" s="21" t="s">
        <v>45</v>
      </c>
      <c r="S441" s="21" t="s">
        <v>34</v>
      </c>
      <c r="T441" s="21" t="s">
        <v>35</v>
      </c>
      <c r="U441" s="22">
        <v>0.83333333333333337</v>
      </c>
      <c r="V441" s="54">
        <v>0.5</v>
      </c>
      <c r="W441" s="21" t="s">
        <v>164</v>
      </c>
      <c r="X441" s="21" t="s">
        <v>34</v>
      </c>
      <c r="Y441" s="21" t="s">
        <v>35</v>
      </c>
      <c r="Z441" s="22">
        <v>0.98039215686274506</v>
      </c>
      <c r="AA441" s="54">
        <v>0.5</v>
      </c>
      <c r="AF441" s="56"/>
      <c r="AG441" s="22">
        <v>0</v>
      </c>
      <c r="AH441" t="s">
        <v>40</v>
      </c>
    </row>
    <row r="442" spans="1:34">
      <c r="A442" s="9" t="s">
        <v>551</v>
      </c>
      <c r="B442" s="7" t="s">
        <v>76</v>
      </c>
      <c r="C442" s="29" t="s">
        <v>158</v>
      </c>
      <c r="D442" t="s">
        <v>37</v>
      </c>
      <c r="E442" s="21" t="s">
        <v>38</v>
      </c>
      <c r="F442" s="22">
        <v>1</v>
      </c>
      <c r="G442" s="54">
        <v>1</v>
      </c>
      <c r="L442" s="54"/>
      <c r="Q442" s="56"/>
      <c r="R442" s="21" t="s">
        <v>167</v>
      </c>
      <c r="S442" s="21" t="s">
        <v>54</v>
      </c>
      <c r="T442" s="21" t="s">
        <v>35</v>
      </c>
      <c r="U442" s="22">
        <v>0.95238095238095233</v>
      </c>
      <c r="V442" s="54">
        <v>1</v>
      </c>
      <c r="AA442" s="54"/>
      <c r="AF442" s="56"/>
      <c r="AG442" s="22">
        <v>0</v>
      </c>
      <c r="AH442" t="s">
        <v>40</v>
      </c>
    </row>
    <row r="443" spans="1:34">
      <c r="A443" s="9" t="s">
        <v>552</v>
      </c>
      <c r="B443" s="7" t="s">
        <v>76</v>
      </c>
      <c r="C443" s="29" t="s">
        <v>158</v>
      </c>
      <c r="D443" t="s">
        <v>37</v>
      </c>
      <c r="E443" s="21" t="s">
        <v>38</v>
      </c>
      <c r="F443" s="22">
        <v>1</v>
      </c>
      <c r="G443" s="54">
        <v>1</v>
      </c>
      <c r="L443" s="54"/>
      <c r="Q443" s="56"/>
      <c r="R443" s="21" t="s">
        <v>167</v>
      </c>
      <c r="S443" s="21" t="s">
        <v>54</v>
      </c>
      <c r="T443" s="21" t="s">
        <v>35</v>
      </c>
      <c r="U443" s="22">
        <v>0.95238095238095233</v>
      </c>
      <c r="V443" s="54">
        <v>1</v>
      </c>
      <c r="AA443" s="54"/>
      <c r="AF443" s="56"/>
      <c r="AG443" s="22">
        <v>0</v>
      </c>
      <c r="AH443" t="s">
        <v>40</v>
      </c>
    </row>
    <row r="444" spans="1:34">
      <c r="A444" s="9" t="s">
        <v>553</v>
      </c>
      <c r="B444" s="7" t="s">
        <v>76</v>
      </c>
      <c r="C444" s="29" t="s">
        <v>158</v>
      </c>
      <c r="D444" t="s">
        <v>37</v>
      </c>
      <c r="E444" s="21" t="s">
        <v>38</v>
      </c>
      <c r="F444" s="22">
        <v>1</v>
      </c>
      <c r="G444" s="54">
        <v>1</v>
      </c>
      <c r="L444" s="54"/>
      <c r="Q444" s="56"/>
      <c r="R444" s="21" t="s">
        <v>167</v>
      </c>
      <c r="S444" s="21" t="s">
        <v>54</v>
      </c>
      <c r="T444" s="21" t="s">
        <v>35</v>
      </c>
      <c r="U444" s="22">
        <v>0.95238095238095233</v>
      </c>
      <c r="V444" s="54">
        <v>1</v>
      </c>
      <c r="AA444" s="54"/>
      <c r="AF444" s="56"/>
      <c r="AG444" s="22">
        <v>0</v>
      </c>
      <c r="AH444" t="s">
        <v>40</v>
      </c>
    </row>
    <row r="445" spans="1:34">
      <c r="A445" s="9" t="s">
        <v>554</v>
      </c>
      <c r="B445" s="7" t="s">
        <v>76</v>
      </c>
      <c r="C445" s="29" t="s">
        <v>158</v>
      </c>
      <c r="D445" t="s">
        <v>37</v>
      </c>
      <c r="E445" s="21" t="s">
        <v>38</v>
      </c>
      <c r="F445" s="22">
        <v>1</v>
      </c>
      <c r="G445" s="54">
        <v>1</v>
      </c>
      <c r="L445" s="54"/>
      <c r="Q445" s="56"/>
      <c r="R445" s="21" t="s">
        <v>167</v>
      </c>
      <c r="S445" s="21" t="s">
        <v>54</v>
      </c>
      <c r="T445" s="21" t="s">
        <v>35</v>
      </c>
      <c r="U445" s="22">
        <v>0.95238095238095233</v>
      </c>
      <c r="V445" s="54">
        <v>1</v>
      </c>
      <c r="AA445" s="54"/>
      <c r="AF445" s="56"/>
      <c r="AG445" s="22">
        <v>0</v>
      </c>
      <c r="AH445" t="s">
        <v>40</v>
      </c>
    </row>
    <row r="446" spans="1:34">
      <c r="A446" s="9" t="s">
        <v>555</v>
      </c>
      <c r="B446" s="7" t="s">
        <v>76</v>
      </c>
      <c r="C446" s="29" t="s">
        <v>158</v>
      </c>
      <c r="D446" t="s">
        <v>37</v>
      </c>
      <c r="E446" s="21" t="s">
        <v>38</v>
      </c>
      <c r="F446" s="22">
        <v>1</v>
      </c>
      <c r="G446" s="54">
        <v>1</v>
      </c>
      <c r="L446" s="54"/>
      <c r="Q446" s="56"/>
      <c r="R446" s="21" t="s">
        <v>167</v>
      </c>
      <c r="S446" s="21" t="s">
        <v>54</v>
      </c>
      <c r="T446" s="21" t="s">
        <v>35</v>
      </c>
      <c r="U446" s="22">
        <v>0.95238095238095233</v>
      </c>
      <c r="V446" s="54">
        <v>0.66</v>
      </c>
      <c r="W446" s="21" t="s">
        <v>45</v>
      </c>
      <c r="X446" s="21" t="s">
        <v>34</v>
      </c>
      <c r="Y446" s="21" t="s">
        <v>35</v>
      </c>
      <c r="Z446" s="22">
        <v>0.83333333333333337</v>
      </c>
      <c r="AA446" s="54">
        <v>0.33333333333333331</v>
      </c>
      <c r="AF446" s="56"/>
      <c r="AG446" s="22">
        <v>0</v>
      </c>
      <c r="AH446" t="s">
        <v>40</v>
      </c>
    </row>
    <row r="447" spans="1:34">
      <c r="A447" s="9" t="s">
        <v>556</v>
      </c>
      <c r="B447" s="7" t="s">
        <v>76</v>
      </c>
      <c r="C447" s="29" t="s">
        <v>33</v>
      </c>
      <c r="D447" t="s">
        <v>34</v>
      </c>
      <c r="E447" s="21" t="s">
        <v>35</v>
      </c>
      <c r="F447" s="22">
        <v>0.970873786407767</v>
      </c>
      <c r="G447" s="54">
        <v>1</v>
      </c>
      <c r="L447" s="54"/>
      <c r="Q447" s="56"/>
      <c r="R447" s="21" t="s">
        <v>45</v>
      </c>
      <c r="S447" s="21" t="s">
        <v>34</v>
      </c>
      <c r="T447" s="21" t="s">
        <v>35</v>
      </c>
      <c r="U447" s="22">
        <v>0.83333333333333337</v>
      </c>
      <c r="V447" s="54">
        <v>0.75</v>
      </c>
      <c r="W447" s="21" t="s">
        <v>164</v>
      </c>
      <c r="X447" s="21" t="s">
        <v>34</v>
      </c>
      <c r="Y447" s="21" t="s">
        <v>35</v>
      </c>
      <c r="Z447" s="22">
        <v>0.98039215686274506</v>
      </c>
      <c r="AA447" s="54">
        <v>0.25</v>
      </c>
      <c r="AF447" s="56"/>
      <c r="AG447" s="22">
        <v>0</v>
      </c>
      <c r="AH447" t="s">
        <v>40</v>
      </c>
    </row>
    <row r="448" spans="1:34">
      <c r="A448" s="9" t="s">
        <v>557</v>
      </c>
      <c r="B448" s="7" t="s">
        <v>76</v>
      </c>
      <c r="C448" s="29" t="s">
        <v>33</v>
      </c>
      <c r="D448" t="s">
        <v>34</v>
      </c>
      <c r="E448" s="21" t="s">
        <v>35</v>
      </c>
      <c r="F448" s="22">
        <v>0.970873786407767</v>
      </c>
      <c r="G448" s="54">
        <v>1</v>
      </c>
      <c r="L448" s="54"/>
      <c r="Q448" s="56"/>
      <c r="R448" s="21" t="s">
        <v>45</v>
      </c>
      <c r="S448" s="21" t="s">
        <v>34</v>
      </c>
      <c r="T448" s="21" t="s">
        <v>35</v>
      </c>
      <c r="U448" s="22">
        <v>0.83333333333333337</v>
      </c>
      <c r="V448" s="54">
        <v>0.5</v>
      </c>
      <c r="W448" s="21" t="s">
        <v>164</v>
      </c>
      <c r="X448" s="21" t="s">
        <v>34</v>
      </c>
      <c r="Y448" s="21" t="s">
        <v>35</v>
      </c>
      <c r="Z448" s="22">
        <v>0.98039215686274506</v>
      </c>
      <c r="AA448" s="54">
        <v>0.5</v>
      </c>
      <c r="AF448" s="56"/>
      <c r="AG448" s="22">
        <v>0</v>
      </c>
      <c r="AH448" t="s">
        <v>40</v>
      </c>
    </row>
    <row r="449" spans="1:34">
      <c r="A449" s="9" t="s">
        <v>558</v>
      </c>
      <c r="B449" s="7" t="s">
        <v>76</v>
      </c>
      <c r="C449" s="29" t="s">
        <v>158</v>
      </c>
      <c r="D449" t="s">
        <v>37</v>
      </c>
      <c r="E449" s="21" t="s">
        <v>38</v>
      </c>
      <c r="F449" s="22">
        <v>1</v>
      </c>
      <c r="G449" s="54">
        <v>1</v>
      </c>
      <c r="L449" s="54"/>
      <c r="Q449" s="56"/>
      <c r="R449" s="21" t="s">
        <v>167</v>
      </c>
      <c r="S449" s="21" t="s">
        <v>54</v>
      </c>
      <c r="T449" s="21" t="s">
        <v>35</v>
      </c>
      <c r="U449" s="22">
        <v>0.95238095238095233</v>
      </c>
      <c r="V449" s="54">
        <v>1</v>
      </c>
      <c r="AA449" s="54"/>
      <c r="AF449" s="56"/>
      <c r="AG449" s="22">
        <v>0</v>
      </c>
      <c r="AH449" t="s">
        <v>40</v>
      </c>
    </row>
    <row r="450" spans="1:34">
      <c r="A450" s="9" t="s">
        <v>559</v>
      </c>
      <c r="B450" s="7" t="s">
        <v>76</v>
      </c>
      <c r="C450" s="29" t="s">
        <v>158</v>
      </c>
      <c r="D450" t="s">
        <v>37</v>
      </c>
      <c r="E450" s="21" t="s">
        <v>38</v>
      </c>
      <c r="F450" s="22">
        <v>1</v>
      </c>
      <c r="G450" s="54">
        <v>1</v>
      </c>
      <c r="L450" s="54"/>
      <c r="Q450" s="56"/>
      <c r="R450" s="21" t="s">
        <v>167</v>
      </c>
      <c r="S450" s="21" t="s">
        <v>54</v>
      </c>
      <c r="T450" s="21" t="s">
        <v>35</v>
      </c>
      <c r="U450" s="22">
        <v>0.95238095238095233</v>
      </c>
      <c r="V450" s="54">
        <v>1</v>
      </c>
      <c r="AA450" s="54"/>
      <c r="AF450" s="56"/>
      <c r="AG450" s="22">
        <v>0</v>
      </c>
      <c r="AH450" t="s">
        <v>40</v>
      </c>
    </row>
    <row r="451" spans="1:34">
      <c r="A451" s="9" t="s">
        <v>560</v>
      </c>
      <c r="B451" s="7" t="s">
        <v>76</v>
      </c>
      <c r="C451" s="29" t="s">
        <v>158</v>
      </c>
      <c r="D451" t="s">
        <v>37</v>
      </c>
      <c r="E451" s="21" t="s">
        <v>38</v>
      </c>
      <c r="F451" s="22">
        <v>1</v>
      </c>
      <c r="G451" s="54">
        <v>1</v>
      </c>
      <c r="L451" s="54"/>
      <c r="Q451" s="56"/>
      <c r="R451" s="21" t="s">
        <v>167</v>
      </c>
      <c r="S451" s="21" t="s">
        <v>54</v>
      </c>
      <c r="T451" s="21" t="s">
        <v>35</v>
      </c>
      <c r="U451" s="22">
        <v>0.95238095238095233</v>
      </c>
      <c r="V451" s="54">
        <v>1</v>
      </c>
      <c r="AA451" s="54"/>
      <c r="AF451" s="56"/>
      <c r="AG451" s="22">
        <v>0</v>
      </c>
      <c r="AH451" t="s">
        <v>40</v>
      </c>
    </row>
    <row r="452" spans="1:34">
      <c r="A452" s="9" t="s">
        <v>561</v>
      </c>
      <c r="B452" s="7" t="s">
        <v>76</v>
      </c>
      <c r="C452" s="29" t="s">
        <v>158</v>
      </c>
      <c r="D452" t="s">
        <v>37</v>
      </c>
      <c r="E452" s="21" t="s">
        <v>38</v>
      </c>
      <c r="F452" s="22">
        <v>1</v>
      </c>
      <c r="G452" s="54">
        <v>1</v>
      </c>
      <c r="L452" s="54"/>
      <c r="Q452" s="56"/>
      <c r="R452" s="21" t="s">
        <v>167</v>
      </c>
      <c r="S452" s="21" t="s">
        <v>54</v>
      </c>
      <c r="T452" s="21" t="s">
        <v>35</v>
      </c>
      <c r="U452" s="22">
        <v>0.95238095238095233</v>
      </c>
      <c r="V452" s="54">
        <v>1</v>
      </c>
      <c r="AA452" s="54"/>
      <c r="AF452" s="56"/>
      <c r="AG452" s="22">
        <v>0</v>
      </c>
      <c r="AH452" t="s">
        <v>40</v>
      </c>
    </row>
    <row r="453" spans="1:34">
      <c r="A453" s="9" t="s">
        <v>562</v>
      </c>
      <c r="B453" s="7" t="s">
        <v>76</v>
      </c>
      <c r="C453" s="29" t="s">
        <v>158</v>
      </c>
      <c r="D453" t="s">
        <v>37</v>
      </c>
      <c r="E453" s="21" t="s">
        <v>38</v>
      </c>
      <c r="F453" s="22">
        <v>1</v>
      </c>
      <c r="G453" s="54">
        <v>1</v>
      </c>
      <c r="L453" s="54"/>
      <c r="Q453" s="56"/>
      <c r="R453" s="21" t="s">
        <v>167</v>
      </c>
      <c r="S453" s="21" t="s">
        <v>54</v>
      </c>
      <c r="T453" s="21" t="s">
        <v>35</v>
      </c>
      <c r="U453" s="22">
        <v>0.95238095238095233</v>
      </c>
      <c r="V453" s="54">
        <v>0.8</v>
      </c>
      <c r="W453" s="21" t="s">
        <v>45</v>
      </c>
      <c r="X453" s="21" t="s">
        <v>34</v>
      </c>
      <c r="Y453" s="21" t="s">
        <v>35</v>
      </c>
      <c r="Z453" s="22">
        <v>0.83333333333333337</v>
      </c>
      <c r="AA453" s="54">
        <v>0.2</v>
      </c>
      <c r="AF453" s="56"/>
      <c r="AG453" s="22">
        <v>0</v>
      </c>
      <c r="AH453" t="s">
        <v>40</v>
      </c>
    </row>
    <row r="454" spans="1:34">
      <c r="A454" s="9" t="s">
        <v>563</v>
      </c>
      <c r="B454" s="7" t="s">
        <v>76</v>
      </c>
      <c r="C454" s="29" t="s">
        <v>33</v>
      </c>
      <c r="D454" t="s">
        <v>34</v>
      </c>
      <c r="E454" s="21" t="s">
        <v>35</v>
      </c>
      <c r="F454" s="22">
        <v>0.970873786407767</v>
      </c>
      <c r="G454" s="54">
        <v>1</v>
      </c>
      <c r="L454" s="54"/>
      <c r="Q454" s="56"/>
      <c r="R454" s="21" t="s">
        <v>45</v>
      </c>
      <c r="S454" s="21" t="s">
        <v>34</v>
      </c>
      <c r="T454" s="21" t="s">
        <v>35</v>
      </c>
      <c r="U454" s="22">
        <v>0.83333333333333337</v>
      </c>
      <c r="V454" s="54">
        <v>0.66666666666666663</v>
      </c>
      <c r="W454" s="21" t="s">
        <v>164</v>
      </c>
      <c r="X454" s="21" t="s">
        <v>34</v>
      </c>
      <c r="Y454" s="21" t="s">
        <v>35</v>
      </c>
      <c r="Z454" s="22">
        <v>0.98039215686274506</v>
      </c>
      <c r="AA454" s="54">
        <v>0.33333333333333331</v>
      </c>
      <c r="AF454" s="56"/>
      <c r="AG454" s="22">
        <v>0</v>
      </c>
      <c r="AH454" t="s">
        <v>40</v>
      </c>
    </row>
    <row r="455" spans="1:34">
      <c r="A455" s="9" t="s">
        <v>594</v>
      </c>
      <c r="B455" s="7" t="s">
        <v>595</v>
      </c>
      <c r="C455" s="29" t="s">
        <v>33</v>
      </c>
      <c r="D455" t="s">
        <v>34</v>
      </c>
      <c r="E455" s="21" t="s">
        <v>35</v>
      </c>
      <c r="F455" s="22">
        <v>0.94339622641509424</v>
      </c>
      <c r="G455" s="54">
        <v>1</v>
      </c>
      <c r="R455" s="17" t="s">
        <v>45</v>
      </c>
      <c r="S455" s="17" t="s">
        <v>34</v>
      </c>
      <c r="T455" s="17" t="s">
        <v>35</v>
      </c>
      <c r="U455" s="18">
        <v>0.83333333333333337</v>
      </c>
      <c r="V455" s="23">
        <v>1</v>
      </c>
      <c r="AG455" s="22">
        <v>0</v>
      </c>
      <c r="AH455" t="s">
        <v>40</v>
      </c>
    </row>
    <row r="456" spans="1:34">
      <c r="A456" s="9" t="s">
        <v>596</v>
      </c>
      <c r="B456" s="7" t="s">
        <v>595</v>
      </c>
      <c r="C456" s="29" t="s">
        <v>33</v>
      </c>
      <c r="D456" t="s">
        <v>34</v>
      </c>
      <c r="E456" s="21" t="s">
        <v>35</v>
      </c>
      <c r="F456" s="22">
        <v>0.94339622641509424</v>
      </c>
      <c r="G456" s="54">
        <v>1</v>
      </c>
      <c r="R456" s="17" t="s">
        <v>39</v>
      </c>
      <c r="S456" s="17" t="s">
        <v>34</v>
      </c>
      <c r="T456" s="17" t="s">
        <v>35</v>
      </c>
      <c r="U456" s="18">
        <v>0.84745762711864414</v>
      </c>
      <c r="V456" s="23">
        <v>1</v>
      </c>
      <c r="AG456" s="22">
        <v>0</v>
      </c>
      <c r="AH456" t="s">
        <v>40</v>
      </c>
    </row>
    <row r="457" spans="1:34">
      <c r="A457" s="9" t="s">
        <v>597</v>
      </c>
      <c r="B457" s="7" t="s">
        <v>595</v>
      </c>
      <c r="C457" s="29" t="s">
        <v>33</v>
      </c>
      <c r="D457" t="s">
        <v>34</v>
      </c>
      <c r="E457" s="21" t="s">
        <v>35</v>
      </c>
      <c r="F457" s="22">
        <v>0.94339622641509424</v>
      </c>
      <c r="G457" s="54">
        <v>1</v>
      </c>
      <c r="R457" s="17" t="s">
        <v>39</v>
      </c>
      <c r="S457" s="17" t="s">
        <v>34</v>
      </c>
      <c r="T457" s="17" t="s">
        <v>35</v>
      </c>
      <c r="U457" s="18">
        <v>0.84745762711864414</v>
      </c>
      <c r="V457" s="23">
        <v>1</v>
      </c>
      <c r="AG457" s="22">
        <v>0</v>
      </c>
      <c r="AH457" t="s">
        <v>40</v>
      </c>
    </row>
    <row r="458" spans="1:34">
      <c r="A458" s="9" t="s">
        <v>598</v>
      </c>
      <c r="B458" s="7" t="s">
        <v>595</v>
      </c>
      <c r="C458" s="29" t="s">
        <v>33</v>
      </c>
      <c r="D458" t="s">
        <v>34</v>
      </c>
      <c r="E458" s="21" t="s">
        <v>35</v>
      </c>
      <c r="F458" s="22">
        <v>0.94339622641509424</v>
      </c>
      <c r="G458" s="54">
        <v>1</v>
      </c>
      <c r="R458" s="17" t="s">
        <v>39</v>
      </c>
      <c r="S458" s="17" t="s">
        <v>34</v>
      </c>
      <c r="T458" s="17" t="s">
        <v>35</v>
      </c>
      <c r="U458" s="18">
        <v>0.84745762711864414</v>
      </c>
      <c r="V458" s="23">
        <v>1</v>
      </c>
      <c r="AG458" s="22">
        <v>0</v>
      </c>
      <c r="AH458" t="s">
        <v>40</v>
      </c>
    </row>
    <row r="459" spans="1:34">
      <c r="A459" s="9" t="s">
        <v>599</v>
      </c>
      <c r="B459" s="7" t="s">
        <v>595</v>
      </c>
      <c r="C459" s="29" t="s">
        <v>33</v>
      </c>
      <c r="D459" t="s">
        <v>34</v>
      </c>
      <c r="E459" s="21" t="s">
        <v>35</v>
      </c>
      <c r="F459" s="22">
        <v>0.94339622641509402</v>
      </c>
      <c r="G459" s="54">
        <v>1</v>
      </c>
      <c r="R459" s="17" t="s">
        <v>45</v>
      </c>
      <c r="S459" s="17" t="s">
        <v>34</v>
      </c>
      <c r="T459" s="17" t="s">
        <v>35</v>
      </c>
      <c r="U459" s="18">
        <v>0.85451977401129997</v>
      </c>
      <c r="V459" s="23">
        <v>1</v>
      </c>
      <c r="AG459" s="22">
        <v>0</v>
      </c>
      <c r="AH459" t="s">
        <v>40</v>
      </c>
    </row>
    <row r="460" spans="1:34">
      <c r="A460" s="9" t="s">
        <v>600</v>
      </c>
      <c r="B460" s="7" t="s">
        <v>595</v>
      </c>
      <c r="C460" s="29" t="s">
        <v>33</v>
      </c>
      <c r="D460" t="s">
        <v>34</v>
      </c>
      <c r="E460" s="21" t="s">
        <v>35</v>
      </c>
      <c r="F460" s="22">
        <v>0.94339622641509402</v>
      </c>
      <c r="G460" s="54">
        <v>1</v>
      </c>
      <c r="R460" s="17" t="s">
        <v>39</v>
      </c>
      <c r="S460" s="17" t="s">
        <v>34</v>
      </c>
      <c r="T460" s="17" t="s">
        <v>35</v>
      </c>
      <c r="U460" s="18">
        <v>0.85875706214689296</v>
      </c>
      <c r="V460" s="23">
        <v>1</v>
      </c>
      <c r="AG460" s="22">
        <v>0</v>
      </c>
      <c r="AH460" t="s">
        <v>40</v>
      </c>
    </row>
    <row r="461" spans="1:34">
      <c r="A461" s="9" t="s">
        <v>601</v>
      </c>
      <c r="B461" s="7" t="s">
        <v>595</v>
      </c>
      <c r="C461" s="29" t="s">
        <v>33</v>
      </c>
      <c r="D461" t="s">
        <v>34</v>
      </c>
      <c r="E461" s="21" t="s">
        <v>35</v>
      </c>
      <c r="F461" s="22">
        <v>0.94339622641509402</v>
      </c>
      <c r="G461" s="54">
        <v>1</v>
      </c>
      <c r="R461" s="17" t="s">
        <v>39</v>
      </c>
      <c r="S461" s="17" t="s">
        <v>34</v>
      </c>
      <c r="T461" s="17" t="s">
        <v>35</v>
      </c>
      <c r="U461" s="18">
        <v>0.86299435028248594</v>
      </c>
      <c r="V461" s="23">
        <v>1</v>
      </c>
      <c r="AG461" s="22">
        <v>0</v>
      </c>
      <c r="AH461" t="s">
        <v>40</v>
      </c>
    </row>
    <row r="462" spans="1:34">
      <c r="A462" s="9" t="s">
        <v>602</v>
      </c>
      <c r="B462" s="7" t="s">
        <v>595</v>
      </c>
      <c r="C462" s="29" t="s">
        <v>33</v>
      </c>
      <c r="D462" t="s">
        <v>34</v>
      </c>
      <c r="E462" s="21" t="s">
        <v>35</v>
      </c>
      <c r="F462" s="22">
        <v>0.94339622641509402</v>
      </c>
      <c r="G462" s="54">
        <v>1</v>
      </c>
      <c r="R462" s="17" t="s">
        <v>39</v>
      </c>
      <c r="S462" s="17" t="s">
        <v>34</v>
      </c>
      <c r="T462" s="17" t="s">
        <v>35</v>
      </c>
      <c r="U462" s="18">
        <v>0.86723163841807904</v>
      </c>
      <c r="V462" s="23">
        <v>1</v>
      </c>
      <c r="AG462" s="22">
        <v>0</v>
      </c>
      <c r="AH462" t="s">
        <v>40</v>
      </c>
    </row>
    <row r="463" spans="1:34">
      <c r="A463" s="9" t="s">
        <v>603</v>
      </c>
      <c r="B463" s="7" t="s">
        <v>595</v>
      </c>
      <c r="C463" s="29" t="s">
        <v>33</v>
      </c>
      <c r="D463" t="s">
        <v>34</v>
      </c>
      <c r="E463" s="21" t="s">
        <v>35</v>
      </c>
      <c r="F463" s="22">
        <v>0.94339622641509402</v>
      </c>
      <c r="G463" s="54">
        <v>1</v>
      </c>
      <c r="R463" s="17" t="s">
        <v>45</v>
      </c>
      <c r="S463" s="17" t="s">
        <v>34</v>
      </c>
      <c r="T463" s="17" t="s">
        <v>35</v>
      </c>
      <c r="U463" s="18">
        <v>0.87146892655367203</v>
      </c>
      <c r="V463" s="23">
        <v>1</v>
      </c>
      <c r="AG463" s="22">
        <v>0</v>
      </c>
      <c r="AH463" t="s">
        <v>40</v>
      </c>
    </row>
    <row r="464" spans="1:34">
      <c r="A464" s="9" t="s">
        <v>604</v>
      </c>
      <c r="B464" s="7" t="s">
        <v>595</v>
      </c>
      <c r="C464" s="29" t="s">
        <v>33</v>
      </c>
      <c r="D464" t="s">
        <v>34</v>
      </c>
      <c r="E464" s="21" t="s">
        <v>35</v>
      </c>
      <c r="F464" s="22">
        <v>0.94339622641509402</v>
      </c>
      <c r="G464" s="54">
        <v>1</v>
      </c>
      <c r="R464" s="17" t="s">
        <v>39</v>
      </c>
      <c r="S464" s="17" t="s">
        <v>34</v>
      </c>
      <c r="T464" s="17" t="s">
        <v>35</v>
      </c>
      <c r="U464" s="18">
        <v>0.87570621468926602</v>
      </c>
      <c r="V464" s="23">
        <v>1</v>
      </c>
      <c r="AG464" s="22">
        <v>0</v>
      </c>
      <c r="AH464" t="s">
        <v>40</v>
      </c>
    </row>
    <row r="465" spans="1:34">
      <c r="A465" s="9" t="s">
        <v>605</v>
      </c>
      <c r="B465" s="7" t="s">
        <v>595</v>
      </c>
      <c r="C465" s="29" t="s">
        <v>33</v>
      </c>
      <c r="D465" t="s">
        <v>34</v>
      </c>
      <c r="E465" s="21" t="s">
        <v>35</v>
      </c>
      <c r="F465" s="22">
        <v>0.94339622641509402</v>
      </c>
      <c r="G465" s="54">
        <v>1</v>
      </c>
      <c r="R465" s="17" t="s">
        <v>39</v>
      </c>
      <c r="S465" s="17" t="s">
        <v>34</v>
      </c>
      <c r="T465" s="17" t="s">
        <v>35</v>
      </c>
      <c r="U465" s="18">
        <v>0.879943502824859</v>
      </c>
      <c r="V465" s="23">
        <v>1</v>
      </c>
      <c r="AG465" s="22">
        <v>0</v>
      </c>
      <c r="AH465" t="s">
        <v>40</v>
      </c>
    </row>
    <row r="466" spans="1:34">
      <c r="A466" s="9" t="s">
        <v>606</v>
      </c>
      <c r="B466" s="7" t="s">
        <v>595</v>
      </c>
      <c r="C466" s="29" t="s">
        <v>33</v>
      </c>
      <c r="D466" t="s">
        <v>34</v>
      </c>
      <c r="E466" s="21" t="s">
        <v>35</v>
      </c>
      <c r="F466" s="22">
        <v>0.94339622641509402</v>
      </c>
      <c r="G466" s="54">
        <v>1</v>
      </c>
      <c r="R466" s="17" t="s">
        <v>39</v>
      </c>
      <c r="S466" s="17" t="s">
        <v>34</v>
      </c>
      <c r="T466" s="17" t="s">
        <v>35</v>
      </c>
      <c r="U466" s="18">
        <v>0.88418079096045199</v>
      </c>
      <c r="V466" s="23">
        <v>1</v>
      </c>
      <c r="AG466" s="22">
        <v>0</v>
      </c>
      <c r="AH466" t="s">
        <v>40</v>
      </c>
    </row>
    <row r="467" spans="1:34">
      <c r="A467" s="9" t="s">
        <v>607</v>
      </c>
      <c r="B467" s="7" t="s">
        <v>595</v>
      </c>
      <c r="C467" s="29" t="s">
        <v>33</v>
      </c>
      <c r="D467" t="s">
        <v>34</v>
      </c>
      <c r="E467" s="21" t="s">
        <v>35</v>
      </c>
      <c r="F467" s="22">
        <v>0.94339622641509402</v>
      </c>
      <c r="G467" s="54">
        <v>1</v>
      </c>
      <c r="R467" s="17" t="s">
        <v>45</v>
      </c>
      <c r="S467" s="17" t="s">
        <v>34</v>
      </c>
      <c r="T467" s="17" t="s">
        <v>35</v>
      </c>
      <c r="U467" s="18">
        <v>0.88841807909604498</v>
      </c>
      <c r="V467" s="23">
        <v>1</v>
      </c>
      <c r="AG467" s="22">
        <v>0</v>
      </c>
      <c r="AH467" t="s">
        <v>40</v>
      </c>
    </row>
    <row r="468" spans="1:34">
      <c r="A468" s="9" t="s">
        <v>608</v>
      </c>
      <c r="B468" s="7" t="s">
        <v>595</v>
      </c>
      <c r="C468" s="29" t="s">
        <v>33</v>
      </c>
      <c r="D468" t="s">
        <v>34</v>
      </c>
      <c r="E468" s="21" t="s">
        <v>35</v>
      </c>
      <c r="F468" s="22">
        <v>0.94339622641509402</v>
      </c>
      <c r="G468" s="54">
        <v>1</v>
      </c>
      <c r="R468" s="17" t="s">
        <v>39</v>
      </c>
      <c r="S468" s="17" t="s">
        <v>34</v>
      </c>
      <c r="T468" s="17" t="s">
        <v>35</v>
      </c>
      <c r="U468" s="18">
        <v>0.89265536723163896</v>
      </c>
      <c r="V468" s="23">
        <v>1</v>
      </c>
      <c r="AG468" s="22">
        <v>0</v>
      </c>
      <c r="AH468" t="s">
        <v>40</v>
      </c>
    </row>
    <row r="469" spans="1:34">
      <c r="A469" s="9" t="s">
        <v>609</v>
      </c>
      <c r="B469" s="7" t="s">
        <v>595</v>
      </c>
      <c r="C469" s="29" t="s">
        <v>33</v>
      </c>
      <c r="D469" t="s">
        <v>34</v>
      </c>
      <c r="E469" s="21" t="s">
        <v>35</v>
      </c>
      <c r="F469" s="22">
        <v>0.94339622641509402</v>
      </c>
      <c r="G469" s="54">
        <v>1</v>
      </c>
      <c r="R469" s="17" t="s">
        <v>39</v>
      </c>
      <c r="S469" s="17" t="s">
        <v>34</v>
      </c>
      <c r="T469" s="17" t="s">
        <v>35</v>
      </c>
      <c r="U469" s="18">
        <v>0.89689265536723195</v>
      </c>
      <c r="V469" s="23">
        <v>1</v>
      </c>
      <c r="AG469" s="22">
        <v>0</v>
      </c>
      <c r="AH469" t="s">
        <v>40</v>
      </c>
    </row>
    <row r="470" spans="1:34">
      <c r="A470" s="9" t="s">
        <v>610</v>
      </c>
      <c r="B470" s="7" t="s">
        <v>595</v>
      </c>
      <c r="C470" s="29" t="s">
        <v>33</v>
      </c>
      <c r="D470" t="s">
        <v>34</v>
      </c>
      <c r="E470" s="21" t="s">
        <v>35</v>
      </c>
      <c r="F470" s="22">
        <v>0.94339622641509402</v>
      </c>
      <c r="G470" s="54">
        <v>1</v>
      </c>
      <c r="R470" s="17" t="s">
        <v>39</v>
      </c>
      <c r="S470" s="17" t="s">
        <v>34</v>
      </c>
      <c r="T470" s="17" t="s">
        <v>35</v>
      </c>
      <c r="U470" s="18">
        <v>0.90112994350282505</v>
      </c>
      <c r="V470" s="23">
        <v>1</v>
      </c>
      <c r="AG470" s="22">
        <v>0</v>
      </c>
      <c r="AH470" t="s">
        <v>40</v>
      </c>
    </row>
    <row r="471" spans="1:34">
      <c r="A471" s="9" t="s">
        <v>611</v>
      </c>
      <c r="B471" s="7" t="s">
        <v>595</v>
      </c>
      <c r="C471" s="29" t="s">
        <v>33</v>
      </c>
      <c r="D471" t="s">
        <v>34</v>
      </c>
      <c r="E471" s="21" t="s">
        <v>35</v>
      </c>
      <c r="F471" s="22">
        <v>0.94339622641509402</v>
      </c>
      <c r="G471" s="54">
        <v>1</v>
      </c>
      <c r="R471" s="17" t="s">
        <v>45</v>
      </c>
      <c r="S471" s="17" t="s">
        <v>34</v>
      </c>
      <c r="T471" s="17" t="s">
        <v>35</v>
      </c>
      <c r="U471" s="18">
        <v>0.90536723163841804</v>
      </c>
      <c r="V471" s="23">
        <v>1</v>
      </c>
      <c r="AG471" s="22">
        <v>0</v>
      </c>
      <c r="AH471" t="s">
        <v>40</v>
      </c>
    </row>
    <row r="472" spans="1:34">
      <c r="A472" s="9" t="s">
        <v>612</v>
      </c>
      <c r="B472" s="7" t="s">
        <v>595</v>
      </c>
      <c r="C472" s="29" t="s">
        <v>33</v>
      </c>
      <c r="D472" t="s">
        <v>34</v>
      </c>
      <c r="E472" s="21" t="s">
        <v>35</v>
      </c>
      <c r="F472" s="22">
        <v>0.94339622641509402</v>
      </c>
      <c r="G472" s="54">
        <v>1</v>
      </c>
      <c r="R472" s="17" t="s">
        <v>39</v>
      </c>
      <c r="S472" s="17" t="s">
        <v>34</v>
      </c>
      <c r="T472" s="17" t="s">
        <v>35</v>
      </c>
      <c r="U472" s="18">
        <v>0.90960451977401102</v>
      </c>
      <c r="V472" s="23">
        <v>1</v>
      </c>
      <c r="AG472" s="22">
        <v>0</v>
      </c>
      <c r="AH472" t="s">
        <v>40</v>
      </c>
    </row>
    <row r="473" spans="1:34">
      <c r="A473" s="9" t="s">
        <v>613</v>
      </c>
      <c r="B473" s="7" t="s">
        <v>595</v>
      </c>
      <c r="C473" s="29" t="s">
        <v>33</v>
      </c>
      <c r="D473" t="s">
        <v>34</v>
      </c>
      <c r="E473" s="21" t="s">
        <v>35</v>
      </c>
      <c r="F473" s="22">
        <v>0.94339622641509402</v>
      </c>
      <c r="G473" s="54">
        <v>1</v>
      </c>
      <c r="R473" s="17" t="s">
        <v>39</v>
      </c>
      <c r="S473" s="17" t="s">
        <v>34</v>
      </c>
      <c r="T473" s="17" t="s">
        <v>35</v>
      </c>
      <c r="U473" s="18">
        <v>0.91384180790960501</v>
      </c>
      <c r="V473" s="23">
        <v>1</v>
      </c>
      <c r="AG473" s="22">
        <v>0</v>
      </c>
      <c r="AH473" t="s">
        <v>40</v>
      </c>
    </row>
    <row r="474" spans="1:34">
      <c r="A474" s="9" t="s">
        <v>614</v>
      </c>
      <c r="B474" s="7" t="s">
        <v>595</v>
      </c>
      <c r="C474" s="29" t="s">
        <v>33</v>
      </c>
      <c r="D474" t="s">
        <v>34</v>
      </c>
      <c r="E474" s="21" t="s">
        <v>35</v>
      </c>
      <c r="F474" s="22">
        <v>0.94339622641509402</v>
      </c>
      <c r="G474" s="54">
        <v>1</v>
      </c>
      <c r="R474" s="17" t="s">
        <v>39</v>
      </c>
      <c r="S474" s="17" t="s">
        <v>34</v>
      </c>
      <c r="T474" s="17" t="s">
        <v>35</v>
      </c>
      <c r="U474" s="18">
        <v>0.918079096045198</v>
      </c>
      <c r="V474" s="23">
        <v>1</v>
      </c>
      <c r="AG474" s="22">
        <v>0</v>
      </c>
      <c r="AH474" t="s">
        <v>40</v>
      </c>
    </row>
    <row r="475" spans="1:34">
      <c r="A475" s="9" t="s">
        <v>615</v>
      </c>
      <c r="B475" s="7" t="s">
        <v>595</v>
      </c>
      <c r="C475" s="29" t="s">
        <v>33</v>
      </c>
      <c r="D475" t="s">
        <v>34</v>
      </c>
      <c r="E475" s="21" t="s">
        <v>35</v>
      </c>
      <c r="F475" s="22">
        <v>0.94339622641509402</v>
      </c>
      <c r="G475" s="54">
        <v>1</v>
      </c>
      <c r="R475" s="17" t="s">
        <v>45</v>
      </c>
      <c r="S475" s="17" t="s">
        <v>34</v>
      </c>
      <c r="T475" s="17" t="s">
        <v>35</v>
      </c>
      <c r="U475" s="18">
        <v>0.92231638418079098</v>
      </c>
      <c r="V475" s="23">
        <v>1</v>
      </c>
      <c r="AG475" s="22">
        <v>0</v>
      </c>
      <c r="AH475" t="s">
        <v>40</v>
      </c>
    </row>
    <row r="476" spans="1:34">
      <c r="A476" s="9" t="s">
        <v>616</v>
      </c>
      <c r="B476" s="7" t="s">
        <v>595</v>
      </c>
      <c r="C476" s="29" t="s">
        <v>33</v>
      </c>
      <c r="D476" t="s">
        <v>34</v>
      </c>
      <c r="E476" s="21" t="s">
        <v>35</v>
      </c>
      <c r="F476" s="22">
        <v>0.94339622641509402</v>
      </c>
      <c r="G476" s="54">
        <v>1</v>
      </c>
      <c r="R476" s="17" t="s">
        <v>39</v>
      </c>
      <c r="S476" s="17" t="s">
        <v>34</v>
      </c>
      <c r="T476" s="17" t="s">
        <v>35</v>
      </c>
      <c r="U476" s="18">
        <v>0.92655367231638397</v>
      </c>
      <c r="V476" s="23">
        <v>1</v>
      </c>
      <c r="AG476" s="22">
        <v>0</v>
      </c>
      <c r="AH476" t="s">
        <v>40</v>
      </c>
    </row>
    <row r="477" spans="1:34">
      <c r="A477" s="9" t="s">
        <v>617</v>
      </c>
      <c r="B477" s="7" t="s">
        <v>595</v>
      </c>
      <c r="C477" s="29" t="s">
        <v>33</v>
      </c>
      <c r="D477" t="s">
        <v>34</v>
      </c>
      <c r="E477" s="21" t="s">
        <v>35</v>
      </c>
      <c r="F477" s="22">
        <v>0.94339622641509402</v>
      </c>
      <c r="G477" s="54">
        <v>1</v>
      </c>
      <c r="R477" s="17" t="s">
        <v>39</v>
      </c>
      <c r="S477" s="17" t="s">
        <v>34</v>
      </c>
      <c r="T477" s="17" t="s">
        <v>35</v>
      </c>
      <c r="U477" s="18">
        <v>0.93079096045197796</v>
      </c>
      <c r="V477" s="23">
        <v>1</v>
      </c>
      <c r="AG477" s="22">
        <v>0</v>
      </c>
      <c r="AH477" t="s">
        <v>40</v>
      </c>
    </row>
    <row r="478" spans="1:34">
      <c r="A478" s="9" t="s">
        <v>618</v>
      </c>
      <c r="B478" s="7" t="s">
        <v>595</v>
      </c>
      <c r="C478" s="29" t="s">
        <v>33</v>
      </c>
      <c r="D478" t="s">
        <v>34</v>
      </c>
      <c r="E478" s="21" t="s">
        <v>35</v>
      </c>
      <c r="F478" s="22">
        <v>0.94339622641509402</v>
      </c>
      <c r="G478" s="54">
        <v>1</v>
      </c>
      <c r="R478" s="17" t="s">
        <v>39</v>
      </c>
      <c r="S478" s="17" t="s">
        <v>34</v>
      </c>
      <c r="T478" s="17" t="s">
        <v>35</v>
      </c>
      <c r="U478" s="18">
        <v>0.93502824858757105</v>
      </c>
      <c r="V478" s="23">
        <v>1</v>
      </c>
      <c r="AG478" s="22">
        <v>0</v>
      </c>
      <c r="AH478" t="s">
        <v>40</v>
      </c>
    </row>
    <row r="479" spans="1:34">
      <c r="A479" s="9" t="s">
        <v>619</v>
      </c>
      <c r="B479" s="7" t="s">
        <v>595</v>
      </c>
      <c r="C479" s="29" t="s">
        <v>33</v>
      </c>
      <c r="D479" t="s">
        <v>34</v>
      </c>
      <c r="E479" s="21" t="s">
        <v>35</v>
      </c>
      <c r="F479" s="22">
        <v>0.94339622641509402</v>
      </c>
      <c r="G479" s="54">
        <v>1</v>
      </c>
      <c r="R479" s="17" t="s">
        <v>45</v>
      </c>
      <c r="S479" s="17" t="s">
        <v>34</v>
      </c>
      <c r="T479" s="17" t="s">
        <v>35</v>
      </c>
      <c r="U479" s="18">
        <v>0.93926553672316504</v>
      </c>
      <c r="V479" s="23">
        <v>1</v>
      </c>
      <c r="AG479" s="22">
        <v>0</v>
      </c>
      <c r="AH479" t="s">
        <v>40</v>
      </c>
    </row>
    <row r="480" spans="1:34">
      <c r="A480" s="9" t="s">
        <v>620</v>
      </c>
      <c r="B480" s="7" t="s">
        <v>595</v>
      </c>
      <c r="C480" s="29" t="s">
        <v>33</v>
      </c>
      <c r="D480" t="s">
        <v>34</v>
      </c>
      <c r="E480" s="21" t="s">
        <v>35</v>
      </c>
      <c r="F480" s="22">
        <v>0.94339622641509402</v>
      </c>
      <c r="G480" s="54">
        <v>1</v>
      </c>
      <c r="R480" s="17" t="s">
        <v>39</v>
      </c>
      <c r="S480" s="17" t="s">
        <v>34</v>
      </c>
      <c r="T480" s="17" t="s">
        <v>35</v>
      </c>
      <c r="U480" s="18">
        <v>0.94350282485875803</v>
      </c>
      <c r="V480" s="23">
        <v>1</v>
      </c>
      <c r="AG480" s="22">
        <v>0</v>
      </c>
      <c r="AH480" t="s">
        <v>40</v>
      </c>
    </row>
    <row r="481" spans="1:34">
      <c r="A481" s="9" t="s">
        <v>621</v>
      </c>
      <c r="B481" s="7" t="s">
        <v>595</v>
      </c>
      <c r="C481" s="29" t="s">
        <v>33</v>
      </c>
      <c r="D481" t="s">
        <v>34</v>
      </c>
      <c r="E481" s="21" t="s">
        <v>35</v>
      </c>
      <c r="F481" s="22">
        <v>0.94339622641509402</v>
      </c>
      <c r="G481" s="54">
        <v>1</v>
      </c>
      <c r="R481" s="17" t="s">
        <v>39</v>
      </c>
      <c r="S481" s="17" t="s">
        <v>34</v>
      </c>
      <c r="T481" s="17" t="s">
        <v>35</v>
      </c>
      <c r="U481" s="18">
        <v>0.94774011299435101</v>
      </c>
      <c r="V481" s="23">
        <v>1</v>
      </c>
      <c r="AG481" s="22">
        <v>0</v>
      </c>
      <c r="AH481" t="s">
        <v>40</v>
      </c>
    </row>
  </sheetData>
  <autoFilter ref="A1:AH454" xr:uid="{BA10DADA-E9A6-4EB7-8DC7-3456389684FE}"/>
  <dataValidations count="8">
    <dataValidation type="list" allowBlank="1" showInputMessage="1" showErrorMessage="1" sqref="R43:R58 W71:W73 W78:W80 W76 W85:W86 R67:R86 W216 R212:R239 R354:R372 R391:R406 R417:R454 W439:W441 W446:W448 W444 W453:W454" xr:uid="{CFC2E83C-DEDD-414B-8FBE-BCB62D2C081C}">
      <formula1>DHW_systems_G2</formula1>
    </dataValidation>
    <dataValidation type="list" allowBlank="1" showInputMessage="1" showErrorMessage="1" sqref="R136:R145 W116:W145 R116:R125 AB116:AB145 W172:W181 R172:R181 R280:R289 AB308:AB317 AB280:AB289 R308:R317 W308:W317 W280:W289 R407:R416 AB407:AB416 W407:W416" xr:uid="{2B97D7F0-5308-49A5-8960-C23FEA3AA1E1}">
      <formula1>DHW_systems_G4</formula1>
    </dataValidation>
    <dataValidation type="list" allowBlank="1" showInputMessage="1" showErrorMessage="1" sqref="H116:H145 C172:C181 C116:C145 H172:H181 H280:H289 C280:C289 H308:H317 C308:C317 C407:C416 H407:H416" xr:uid="{7AABB955-2AE0-42B8-88D8-BA5B13579C26}">
      <formula1>Heating_systems_G4</formula1>
    </dataValidation>
    <dataValidation type="list" allowBlank="1" showInputMessage="1" showErrorMessage="1" sqref="AB61 W61:W62 R59:R66 AB65 W65:W66 W151:W153 W149 W159 W165 R146:R171 W171 AB263 R256:R279 W263:W271 AB271 W278:W279 AB278 R318:R335 W323:W329 W334:W335 W378 W384 R373:R390 W390" xr:uid="{6D35FE33-2B1D-43B7-8287-3F02E9535EDA}">
      <formula1>DHW_systems_G3</formula1>
    </dataValidation>
    <dataValidation type="list" allowBlank="1" showInputMessage="1" showErrorMessage="1" sqref="C59:C66 H170 H158 C146:C171 H164 C256:C279 H322 H328 C318:C335 H334 H377 H383 C373:C390 H389" xr:uid="{15DA28FB-76C8-4AD5-AFED-EAB1D5485A40}">
      <formula1>Heating_systems_G3</formula1>
    </dataValidation>
    <dataValidation type="list" allowBlank="1" showInputMessage="1" showErrorMessage="1" sqref="C43:C58 C67:C86 H215 C212:C239 C354:C372 C391:C406 C417:C454 H417:H434" xr:uid="{ED8D2A29-C67D-4910-A279-38F058E453C4}">
      <formula1>Heating_systems_G2</formula1>
    </dataValidation>
    <dataValidation type="list" allowBlank="1" showInputMessage="1" showErrorMessage="1" sqref="W15:W17 W7:W9 AB28:AB42 W26:W42 R2:R42 R87:R98 W87:W98 R111:R115 W111:W115 AB115 W210 R182:R211 W205 R240:R255 W290 AB293:AB297 W293:W297 W302:W304 R290:R307 W306 R336:R353 R455:R481" xr:uid="{7EDC4B4E-02A1-4D41-B77E-19433E2EF6FF}">
      <formula1>DHW_systems_G1</formula1>
    </dataValidation>
    <dataValidation type="list" allowBlank="1" showInputMessage="1" showErrorMessage="1" sqref="H18:H25 C2:C42 M39 H34:H41 H94 C87:C115 H106 H115 H182 H187 H197:H198 C182:C211 H249 C240:C255 H255 M292:M293 H290 C290:C307 H292:H294 H297:H300 M298 H303:H304 C336:C353 C455:C481" xr:uid="{F616C8DF-C841-47DA-9DB0-35C730DE3092}">
      <formula1>Heating_systems_G1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0AFD-DA3D-4F20-9B04-C8D7270EF51B}">
  <dimension ref="A1:W50"/>
  <sheetViews>
    <sheetView workbookViewId="0">
      <selection activeCell="D36" sqref="D36"/>
    </sheetView>
  </sheetViews>
  <sheetFormatPr baseColWidth="10" defaultColWidth="8.83203125" defaultRowHeight="15"/>
  <cols>
    <col min="3" max="3" width="56.83203125" customWidth="1"/>
    <col min="4" max="4" width="12.83203125" customWidth="1"/>
    <col min="5" max="5" width="8.1640625" customWidth="1"/>
    <col min="6" max="6" width="11" customWidth="1"/>
    <col min="8" max="8" width="36.83203125" bestFit="1" customWidth="1"/>
    <col min="9" max="9" width="14.6640625" bestFit="1" customWidth="1"/>
    <col min="10" max="10" width="9.5" bestFit="1" customWidth="1"/>
    <col min="11" max="11" width="11" customWidth="1"/>
    <col min="13" max="13" width="42.5" bestFit="1" customWidth="1"/>
    <col min="14" max="14" width="12.83203125" customWidth="1"/>
    <col min="16" max="16" width="11" customWidth="1"/>
    <col min="18" max="18" width="43.1640625" bestFit="1" customWidth="1"/>
    <col min="19" max="19" width="12.83203125" customWidth="1"/>
    <col min="21" max="21" width="11" customWidth="1"/>
  </cols>
  <sheetData>
    <row r="1" spans="1:21">
      <c r="C1" t="s">
        <v>564</v>
      </c>
    </row>
    <row r="2" spans="1:21">
      <c r="I2" s="16" t="s">
        <v>565</v>
      </c>
      <c r="J2" s="16" t="s">
        <v>566</v>
      </c>
    </row>
    <row r="3" spans="1:21">
      <c r="A3" t="s">
        <v>567</v>
      </c>
      <c r="I3" t="s">
        <v>37</v>
      </c>
      <c r="J3" t="s">
        <v>35</v>
      </c>
    </row>
    <row r="4" spans="1:21">
      <c r="A4" t="s">
        <v>568</v>
      </c>
      <c r="I4" t="s">
        <v>34</v>
      </c>
      <c r="J4" t="s">
        <v>79</v>
      </c>
    </row>
    <row r="5" spans="1:21">
      <c r="A5" t="s">
        <v>569</v>
      </c>
      <c r="I5" t="s">
        <v>54</v>
      </c>
      <c r="J5" t="s">
        <v>469</v>
      </c>
    </row>
    <row r="6" spans="1:21">
      <c r="A6" t="s">
        <v>570</v>
      </c>
      <c r="J6" t="s">
        <v>38</v>
      </c>
    </row>
    <row r="7" spans="1:21">
      <c r="J7" t="s">
        <v>286</v>
      </c>
    </row>
    <row r="8" spans="1:21">
      <c r="J8" t="s">
        <v>150</v>
      </c>
    </row>
    <row r="9" spans="1:21">
      <c r="C9" s="72" t="s">
        <v>571</v>
      </c>
      <c r="D9" s="72"/>
      <c r="E9" s="72"/>
      <c r="F9" s="72"/>
      <c r="H9" s="72" t="s">
        <v>572</v>
      </c>
      <c r="I9" s="72"/>
      <c r="J9" s="72"/>
      <c r="K9" s="72"/>
      <c r="M9" s="72" t="s">
        <v>573</v>
      </c>
      <c r="N9" s="72"/>
      <c r="O9" s="72"/>
      <c r="P9" s="72"/>
      <c r="R9" s="72" t="s">
        <v>574</v>
      </c>
      <c r="S9" s="72"/>
      <c r="T9" s="72"/>
      <c r="U9" s="72"/>
    </row>
    <row r="10" spans="1:21">
      <c r="C10" s="13" t="s">
        <v>575</v>
      </c>
      <c r="D10" s="13" t="s">
        <v>576</v>
      </c>
      <c r="E10" s="13" t="s">
        <v>577</v>
      </c>
      <c r="F10" s="13" t="s">
        <v>578</v>
      </c>
      <c r="H10" s="13" t="s">
        <v>575</v>
      </c>
      <c r="I10" s="13" t="s">
        <v>576</v>
      </c>
      <c r="J10" s="13" t="s">
        <v>577</v>
      </c>
      <c r="K10" s="13" t="s">
        <v>578</v>
      </c>
      <c r="M10" s="13" t="s">
        <v>575</v>
      </c>
      <c r="N10" s="13" t="s">
        <v>576</v>
      </c>
      <c r="O10" s="13" t="s">
        <v>577</v>
      </c>
      <c r="P10" s="13" t="s">
        <v>578</v>
      </c>
      <c r="R10" s="53" t="s">
        <v>575</v>
      </c>
      <c r="S10" s="53" t="s">
        <v>576</v>
      </c>
      <c r="T10" s="53" t="s">
        <v>577</v>
      </c>
      <c r="U10" s="53" t="s">
        <v>578</v>
      </c>
    </row>
    <row r="11" spans="1:21">
      <c r="C11" t="s">
        <v>579</v>
      </c>
      <c r="D11" t="s">
        <v>34</v>
      </c>
      <c r="E11" t="s">
        <v>38</v>
      </c>
      <c r="F11" s="12">
        <f>1/0.38</f>
        <v>2.6315789473684212</v>
      </c>
      <c r="G11" s="14"/>
      <c r="H11" t="s">
        <v>313</v>
      </c>
      <c r="I11" t="s">
        <v>34</v>
      </c>
      <c r="J11" t="s">
        <v>286</v>
      </c>
      <c r="K11" s="12">
        <f>1/2</f>
        <v>0.5</v>
      </c>
      <c r="L11" s="15"/>
      <c r="M11" t="s">
        <v>251</v>
      </c>
      <c r="N11" t="s">
        <v>34</v>
      </c>
      <c r="O11" t="s">
        <v>35</v>
      </c>
      <c r="P11" s="12">
        <f>1/1.57</f>
        <v>0.63694267515923564</v>
      </c>
      <c r="Q11" s="14"/>
      <c r="R11" s="49" t="s">
        <v>55</v>
      </c>
      <c r="S11" s="49" t="s">
        <v>34</v>
      </c>
      <c r="T11" s="49" t="s">
        <v>38</v>
      </c>
      <c r="U11" s="51">
        <f>1/0.31</f>
        <v>3.2258064516129035</v>
      </c>
    </row>
    <row r="12" spans="1:21">
      <c r="C12" t="s">
        <v>354</v>
      </c>
      <c r="D12" t="s">
        <v>34</v>
      </c>
      <c r="E12" t="s">
        <v>38</v>
      </c>
      <c r="F12" s="12">
        <f>1/0.26</f>
        <v>3.8461538461538458</v>
      </c>
      <c r="G12" s="14"/>
      <c r="H12" t="s">
        <v>317</v>
      </c>
      <c r="I12" t="s">
        <v>34</v>
      </c>
      <c r="J12" t="s">
        <v>286</v>
      </c>
      <c r="K12" s="12">
        <f>1/1.39</f>
        <v>0.71942446043165476</v>
      </c>
      <c r="L12" s="15"/>
      <c r="M12" t="s">
        <v>152</v>
      </c>
      <c r="N12" t="s">
        <v>34</v>
      </c>
      <c r="O12" t="s">
        <v>35</v>
      </c>
      <c r="P12" s="12">
        <f>1/1.19</f>
        <v>0.84033613445378152</v>
      </c>
      <c r="R12" s="49" t="s">
        <v>44</v>
      </c>
      <c r="S12" s="49" t="s">
        <v>34</v>
      </c>
      <c r="T12" s="49" t="s">
        <v>35</v>
      </c>
      <c r="U12" s="51">
        <f>1/1.14</f>
        <v>0.87719298245614041</v>
      </c>
    </row>
    <row r="13" spans="1:21">
      <c r="C13" t="s">
        <v>45</v>
      </c>
      <c r="D13" t="s">
        <v>34</v>
      </c>
      <c r="E13" t="s">
        <v>35</v>
      </c>
      <c r="F13" s="12">
        <f>1/1.23</f>
        <v>0.81300813008130079</v>
      </c>
      <c r="G13" s="14"/>
      <c r="H13" t="s">
        <v>44</v>
      </c>
      <c r="I13" t="s">
        <v>34</v>
      </c>
      <c r="J13" t="s">
        <v>35</v>
      </c>
      <c r="K13" s="12">
        <f>1/1.23</f>
        <v>0.81300813008130079</v>
      </c>
      <c r="L13" s="15"/>
      <c r="M13" t="s">
        <v>33</v>
      </c>
      <c r="N13" t="s">
        <v>34</v>
      </c>
      <c r="O13" t="s">
        <v>35</v>
      </c>
      <c r="P13" s="12">
        <f>1/1</f>
        <v>1</v>
      </c>
      <c r="R13" s="49" t="s">
        <v>33</v>
      </c>
      <c r="S13" s="49" t="s">
        <v>34</v>
      </c>
      <c r="T13" s="49" t="s">
        <v>35</v>
      </c>
      <c r="U13" s="51">
        <f>1/1.05</f>
        <v>0.95238095238095233</v>
      </c>
    </row>
    <row r="14" spans="1:21">
      <c r="C14" t="s">
        <v>33</v>
      </c>
      <c r="D14" t="s">
        <v>34</v>
      </c>
      <c r="E14" t="s">
        <v>35</v>
      </c>
      <c r="F14" s="12">
        <f>1/1.06</f>
        <v>0.94339622641509424</v>
      </c>
      <c r="H14" t="s">
        <v>33</v>
      </c>
      <c r="I14" t="s">
        <v>34</v>
      </c>
      <c r="J14" t="s">
        <v>35</v>
      </c>
      <c r="K14" s="12">
        <f>1/1.03</f>
        <v>0.970873786407767</v>
      </c>
      <c r="L14" s="15"/>
      <c r="M14" t="s">
        <v>78</v>
      </c>
      <c r="N14" t="s">
        <v>34</v>
      </c>
      <c r="O14" t="s">
        <v>79</v>
      </c>
      <c r="P14" s="12">
        <f>1/1.33</f>
        <v>0.75187969924812026</v>
      </c>
      <c r="R14" s="50" t="s">
        <v>232</v>
      </c>
      <c r="S14" s="50" t="s">
        <v>34</v>
      </c>
      <c r="T14" s="50" t="s">
        <v>79</v>
      </c>
      <c r="U14" s="52">
        <f>1/1.11</f>
        <v>0.9009009009009008</v>
      </c>
    </row>
    <row r="15" spans="1:21">
      <c r="C15" t="s">
        <v>78</v>
      </c>
      <c r="D15" t="s">
        <v>34</v>
      </c>
      <c r="E15" t="s">
        <v>79</v>
      </c>
      <c r="F15" s="12">
        <f>1/1.23</f>
        <v>0.81300813008130079</v>
      </c>
      <c r="H15" t="s">
        <v>321</v>
      </c>
      <c r="I15" t="s">
        <v>34</v>
      </c>
      <c r="J15" t="s">
        <v>79</v>
      </c>
      <c r="K15" s="12">
        <f>1/1.35</f>
        <v>0.7407407407407407</v>
      </c>
      <c r="L15" s="15"/>
      <c r="M15" t="s">
        <v>48</v>
      </c>
      <c r="N15" t="s">
        <v>37</v>
      </c>
      <c r="O15" t="s">
        <v>38</v>
      </c>
      <c r="P15" s="12">
        <f>1/1.06</f>
        <v>0.94339622641509424</v>
      </c>
      <c r="Q15" s="14"/>
      <c r="R15" s="49" t="s">
        <v>53</v>
      </c>
      <c r="S15" s="49" t="s">
        <v>54</v>
      </c>
      <c r="T15" s="49" t="s">
        <v>35</v>
      </c>
      <c r="U15" s="51">
        <f>1/1.06</f>
        <v>0.94339622641509424</v>
      </c>
    </row>
    <row r="16" spans="1:21">
      <c r="C16" t="s">
        <v>85</v>
      </c>
      <c r="D16" t="s">
        <v>34</v>
      </c>
      <c r="E16" t="s">
        <v>79</v>
      </c>
      <c r="F16" s="12">
        <f>1/1.12</f>
        <v>0.89285714285714279</v>
      </c>
      <c r="G16" s="14"/>
      <c r="H16" t="s">
        <v>128</v>
      </c>
      <c r="I16" t="s">
        <v>54</v>
      </c>
      <c r="J16" t="s">
        <v>35</v>
      </c>
      <c r="K16" s="12">
        <f>1/1.05</f>
        <v>0.95238095238095233</v>
      </c>
      <c r="L16" s="15"/>
      <c r="M16" t="s">
        <v>148</v>
      </c>
      <c r="N16" t="s">
        <v>37</v>
      </c>
      <c r="O16" t="s">
        <v>35</v>
      </c>
      <c r="P16" s="12">
        <f>1/1.36</f>
        <v>0.73529411764705876</v>
      </c>
      <c r="R16" s="50" t="s">
        <v>218</v>
      </c>
      <c r="S16" s="50" t="s">
        <v>54</v>
      </c>
      <c r="T16" s="50" t="s">
        <v>35</v>
      </c>
      <c r="U16" s="52">
        <f>1/1.03</f>
        <v>0.970873786407767</v>
      </c>
    </row>
    <row r="17" spans="3:23">
      <c r="C17" t="s">
        <v>403</v>
      </c>
      <c r="D17" t="s">
        <v>54</v>
      </c>
      <c r="E17" t="s">
        <v>35</v>
      </c>
      <c r="F17" s="12">
        <f>1/1.43</f>
        <v>0.69930069930069938</v>
      </c>
      <c r="H17" t="s">
        <v>468</v>
      </c>
      <c r="I17" t="s">
        <v>54</v>
      </c>
      <c r="J17" t="s">
        <v>469</v>
      </c>
      <c r="K17" s="12">
        <f>1/1.01</f>
        <v>0.99009900990099009</v>
      </c>
      <c r="L17" s="15"/>
      <c r="M17" t="s">
        <v>47</v>
      </c>
      <c r="N17" t="s">
        <v>37</v>
      </c>
      <c r="O17" t="s">
        <v>35</v>
      </c>
      <c r="P17" s="12">
        <f>1/1</f>
        <v>1</v>
      </c>
      <c r="R17" s="49" t="s">
        <v>580</v>
      </c>
      <c r="S17" s="49" t="s">
        <v>37</v>
      </c>
      <c r="T17" s="49" t="s">
        <v>38</v>
      </c>
      <c r="U17" s="51">
        <f>1/1</f>
        <v>1</v>
      </c>
    </row>
    <row r="18" spans="3:23">
      <c r="C18" t="s">
        <v>285</v>
      </c>
      <c r="D18" t="s">
        <v>37</v>
      </c>
      <c r="E18" t="s">
        <v>286</v>
      </c>
      <c r="F18" s="12">
        <f>1/1.7</f>
        <v>0.58823529411764708</v>
      </c>
      <c r="H18" t="s">
        <v>158</v>
      </c>
      <c r="I18" t="s">
        <v>37</v>
      </c>
      <c r="J18" t="s">
        <v>38</v>
      </c>
      <c r="K18" s="12">
        <f>1/1</f>
        <v>1</v>
      </c>
      <c r="L18" s="15"/>
      <c r="M18" t="s">
        <v>105</v>
      </c>
      <c r="N18" t="s">
        <v>37</v>
      </c>
      <c r="O18" t="s">
        <v>79</v>
      </c>
      <c r="P18" s="12">
        <f>1/2.06</f>
        <v>0.4854368932038835</v>
      </c>
      <c r="R18" s="50" t="s">
        <v>581</v>
      </c>
      <c r="S18" s="50" t="s">
        <v>37</v>
      </c>
      <c r="T18" s="50" t="s">
        <v>38</v>
      </c>
      <c r="U18" s="52">
        <f>1/0.4</f>
        <v>2.5</v>
      </c>
      <c r="V18" s="12"/>
      <c r="W18" s="12"/>
    </row>
    <row r="19" spans="3:23">
      <c r="C19" t="s">
        <v>48</v>
      </c>
      <c r="D19" t="s">
        <v>37</v>
      </c>
      <c r="E19" t="s">
        <v>38</v>
      </c>
      <c r="F19" s="12">
        <f>1/1.06</f>
        <v>0.94339622641509424</v>
      </c>
      <c r="H19" t="s">
        <v>47</v>
      </c>
      <c r="I19" t="s">
        <v>37</v>
      </c>
      <c r="J19" t="s">
        <v>35</v>
      </c>
      <c r="K19" s="12">
        <f>1/1.18</f>
        <v>0.84745762711864414</v>
      </c>
      <c r="L19" s="15"/>
      <c r="P19" s="12"/>
      <c r="R19" s="50" t="s">
        <v>582</v>
      </c>
      <c r="S19" s="50" t="s">
        <v>37</v>
      </c>
      <c r="T19" s="50" t="s">
        <v>35</v>
      </c>
      <c r="U19" s="52">
        <f>1/1.05</f>
        <v>0.95238095238095233</v>
      </c>
    </row>
    <row r="20" spans="3:23">
      <c r="C20" t="s">
        <v>583</v>
      </c>
      <c r="D20" t="s">
        <v>37</v>
      </c>
      <c r="E20" t="s">
        <v>38</v>
      </c>
      <c r="F20" s="12">
        <f>1/1.02</f>
        <v>0.98039215686274506</v>
      </c>
      <c r="H20" t="s">
        <v>148</v>
      </c>
      <c r="I20" t="s">
        <v>37</v>
      </c>
      <c r="J20" t="s">
        <v>35</v>
      </c>
      <c r="K20" s="12">
        <f>1/1.16</f>
        <v>0.86206896551724144</v>
      </c>
      <c r="L20" s="15"/>
      <c r="P20" s="12"/>
      <c r="R20" s="49" t="s">
        <v>584</v>
      </c>
      <c r="S20" s="49" t="s">
        <v>37</v>
      </c>
      <c r="T20" s="49" t="s">
        <v>79</v>
      </c>
      <c r="U20" s="51">
        <f>1/1.15</f>
        <v>0.86956521739130443</v>
      </c>
    </row>
    <row r="21" spans="3:23">
      <c r="C21" t="s">
        <v>36</v>
      </c>
      <c r="D21" t="s">
        <v>37</v>
      </c>
      <c r="E21" t="s">
        <v>38</v>
      </c>
      <c r="F21" s="12">
        <f>1/0.43</f>
        <v>2.3255813953488373</v>
      </c>
      <c r="K21" s="12"/>
      <c r="L21" s="15"/>
      <c r="P21" s="12"/>
      <c r="U21" s="12"/>
    </row>
    <row r="22" spans="3:23">
      <c r="C22" t="s">
        <v>116</v>
      </c>
      <c r="D22" t="s">
        <v>37</v>
      </c>
      <c r="E22" t="s">
        <v>35</v>
      </c>
      <c r="F22" s="12">
        <f>1/1.39</f>
        <v>0.71942446043165476</v>
      </c>
      <c r="K22" s="12"/>
      <c r="L22" s="15"/>
      <c r="P22" s="12"/>
      <c r="U22" s="12"/>
    </row>
    <row r="23" spans="3:23">
      <c r="C23" t="s">
        <v>111</v>
      </c>
      <c r="D23" t="s">
        <v>37</v>
      </c>
      <c r="E23" t="s">
        <v>35</v>
      </c>
      <c r="F23" s="12">
        <f>1/1.29</f>
        <v>0.77519379844961234</v>
      </c>
      <c r="K23" s="12"/>
      <c r="P23" s="12"/>
      <c r="U23" s="12"/>
    </row>
    <row r="24" spans="3:23">
      <c r="C24" t="s">
        <v>47</v>
      </c>
      <c r="D24" t="s">
        <v>37</v>
      </c>
      <c r="E24" t="s">
        <v>35</v>
      </c>
      <c r="F24" s="12">
        <f>1/1.08</f>
        <v>0.92592592592592582</v>
      </c>
      <c r="K24" s="12"/>
      <c r="P24" s="12"/>
      <c r="U24" s="12"/>
    </row>
    <row r="25" spans="3:23">
      <c r="C25" t="s">
        <v>105</v>
      </c>
      <c r="D25" t="s">
        <v>37</v>
      </c>
      <c r="E25" t="s">
        <v>79</v>
      </c>
      <c r="F25" s="12">
        <f>1/1.96</f>
        <v>0.51020408163265307</v>
      </c>
      <c r="K25" s="12"/>
      <c r="P25" s="12"/>
      <c r="U25" s="12"/>
    </row>
    <row r="26" spans="3:23">
      <c r="F26" s="12"/>
      <c r="K26" s="12"/>
      <c r="P26" s="12"/>
      <c r="U26" s="12"/>
    </row>
    <row r="27" spans="3:23">
      <c r="C27" s="72" t="s">
        <v>585</v>
      </c>
      <c r="D27" s="72"/>
      <c r="E27" s="72"/>
      <c r="F27" s="72"/>
      <c r="H27" s="72" t="s">
        <v>586</v>
      </c>
      <c r="I27" s="72"/>
      <c r="J27" s="72"/>
      <c r="K27" s="72"/>
      <c r="M27" s="72" t="s">
        <v>587</v>
      </c>
      <c r="N27" s="72"/>
      <c r="O27" s="72"/>
      <c r="P27" s="72"/>
      <c r="R27" s="72" t="s">
        <v>588</v>
      </c>
      <c r="S27" s="72"/>
      <c r="T27" s="72"/>
      <c r="U27" s="72"/>
    </row>
    <row r="28" spans="3:23">
      <c r="C28" s="13" t="s">
        <v>575</v>
      </c>
      <c r="D28" s="13" t="s">
        <v>576</v>
      </c>
      <c r="E28" s="13" t="s">
        <v>577</v>
      </c>
      <c r="F28" s="13" t="s">
        <v>578</v>
      </c>
      <c r="H28" s="13" t="s">
        <v>575</v>
      </c>
      <c r="I28" s="13" t="s">
        <v>576</v>
      </c>
      <c r="J28" s="13" t="s">
        <v>577</v>
      </c>
      <c r="K28" s="13" t="s">
        <v>578</v>
      </c>
      <c r="M28" s="13" t="s">
        <v>575</v>
      </c>
      <c r="N28" s="13" t="s">
        <v>576</v>
      </c>
      <c r="O28" s="13" t="s">
        <v>577</v>
      </c>
      <c r="P28" s="13" t="s">
        <v>578</v>
      </c>
      <c r="R28" s="13" t="s">
        <v>575</v>
      </c>
      <c r="S28" s="13" t="s">
        <v>576</v>
      </c>
      <c r="T28" s="13" t="s">
        <v>577</v>
      </c>
      <c r="U28" s="13" t="s">
        <v>578</v>
      </c>
    </row>
    <row r="29" spans="3:23">
      <c r="C29" t="s">
        <v>56</v>
      </c>
      <c r="D29" t="s">
        <v>34</v>
      </c>
      <c r="E29" t="s">
        <v>38</v>
      </c>
      <c r="F29" s="12">
        <f>1/0.36</f>
        <v>2.7777777777777777</v>
      </c>
      <c r="H29" t="s">
        <v>45</v>
      </c>
      <c r="I29" t="s">
        <v>34</v>
      </c>
      <c r="J29" t="s">
        <v>35</v>
      </c>
      <c r="K29" s="12">
        <f>1/1.2</f>
        <v>0.83333333333333337</v>
      </c>
      <c r="M29" t="s">
        <v>44</v>
      </c>
      <c r="N29" t="s">
        <v>34</v>
      </c>
      <c r="O29" t="s">
        <v>35</v>
      </c>
      <c r="P29" s="12">
        <f>1/1.43</f>
        <v>0.69930069930069938</v>
      </c>
      <c r="R29" t="s">
        <v>589</v>
      </c>
      <c r="S29" t="s">
        <v>34</v>
      </c>
      <c r="T29" t="s">
        <v>286</v>
      </c>
      <c r="U29" s="12">
        <f>1/1.25</f>
        <v>0.8</v>
      </c>
    </row>
    <row r="30" spans="3:23">
      <c r="C30" t="s">
        <v>45</v>
      </c>
      <c r="D30" t="s">
        <v>34</v>
      </c>
      <c r="E30" t="s">
        <v>35</v>
      </c>
      <c r="F30" s="12">
        <f>1/1.2</f>
        <v>0.83333333333333337</v>
      </c>
      <c r="H30" t="s">
        <v>164</v>
      </c>
      <c r="I30" t="s">
        <v>34</v>
      </c>
      <c r="J30" t="s">
        <v>35</v>
      </c>
      <c r="K30" s="12">
        <f>1/1.02</f>
        <v>0.98039215686274506</v>
      </c>
      <c r="M30" t="s">
        <v>49</v>
      </c>
      <c r="N30" t="s">
        <v>34</v>
      </c>
      <c r="O30" t="s">
        <v>35</v>
      </c>
      <c r="P30" s="12">
        <f>1/1.18</f>
        <v>0.84745762711864414</v>
      </c>
      <c r="R30" t="s">
        <v>56</v>
      </c>
      <c r="S30" t="s">
        <v>34</v>
      </c>
      <c r="T30" t="s">
        <v>38</v>
      </c>
      <c r="U30" s="12">
        <f>1/0.4</f>
        <v>2.5</v>
      </c>
    </row>
    <row r="31" spans="3:23">
      <c r="C31" t="s">
        <v>39</v>
      </c>
      <c r="D31" t="s">
        <v>34</v>
      </c>
      <c r="E31" t="s">
        <v>35</v>
      </c>
      <c r="F31" s="12">
        <f>1/1.18</f>
        <v>0.84745762711864414</v>
      </c>
      <c r="H31" t="s">
        <v>167</v>
      </c>
      <c r="I31" t="s">
        <v>54</v>
      </c>
      <c r="J31" t="s">
        <v>35</v>
      </c>
      <c r="K31" s="12">
        <f>1/1.05</f>
        <v>0.95238095238095233</v>
      </c>
      <c r="M31" t="s">
        <v>78</v>
      </c>
      <c r="N31" t="s">
        <v>34</v>
      </c>
      <c r="O31" t="s">
        <v>79</v>
      </c>
      <c r="P31" s="12">
        <f>1/1.14</f>
        <v>0.87719298245614041</v>
      </c>
      <c r="R31" t="s">
        <v>44</v>
      </c>
      <c r="S31" t="s">
        <v>34</v>
      </c>
      <c r="T31" t="s">
        <v>35</v>
      </c>
      <c r="U31" s="12">
        <f>1/1.1</f>
        <v>0.90909090909090906</v>
      </c>
    </row>
    <row r="32" spans="3:23">
      <c r="C32" t="s">
        <v>78</v>
      </c>
      <c r="D32" t="s">
        <v>34</v>
      </c>
      <c r="E32" t="s">
        <v>79</v>
      </c>
      <c r="F32" s="12">
        <f>1/1.62</f>
        <v>0.61728395061728392</v>
      </c>
      <c r="G32" s="60"/>
      <c r="H32" t="s">
        <v>470</v>
      </c>
      <c r="I32" t="s">
        <v>54</v>
      </c>
      <c r="J32" t="s">
        <v>469</v>
      </c>
      <c r="K32" s="12">
        <f>1/1.15</f>
        <v>0.86956521739130443</v>
      </c>
      <c r="M32" t="s">
        <v>129</v>
      </c>
      <c r="N32" t="s">
        <v>37</v>
      </c>
      <c r="O32" t="s">
        <v>38</v>
      </c>
      <c r="P32" s="12">
        <f>1/1.03</f>
        <v>0.970873786407767</v>
      </c>
      <c r="R32" t="s">
        <v>33</v>
      </c>
      <c r="S32" t="s">
        <v>34</v>
      </c>
      <c r="T32" t="s">
        <v>35</v>
      </c>
      <c r="U32" s="12">
        <f>1/1.05</f>
        <v>0.95238095238095233</v>
      </c>
    </row>
    <row r="33" spans="3:21">
      <c r="C33" t="s">
        <v>85</v>
      </c>
      <c r="D33" t="s">
        <v>34</v>
      </c>
      <c r="E33" t="s">
        <v>79</v>
      </c>
      <c r="F33" s="12">
        <f>1/1.11</f>
        <v>0.9009009009009008</v>
      </c>
      <c r="H33" t="s">
        <v>129</v>
      </c>
      <c r="I33" t="s">
        <v>37</v>
      </c>
      <c r="J33" t="s">
        <v>38</v>
      </c>
      <c r="K33" s="12">
        <f>1/1</f>
        <v>1</v>
      </c>
      <c r="M33" t="s">
        <v>148</v>
      </c>
      <c r="N33" t="s">
        <v>37</v>
      </c>
      <c r="O33" t="s">
        <v>35</v>
      </c>
      <c r="P33" s="12">
        <f>1/1.43</f>
        <v>0.69930069930069938</v>
      </c>
      <c r="R33" t="s">
        <v>78</v>
      </c>
      <c r="S33" t="s">
        <v>34</v>
      </c>
      <c r="T33" t="s">
        <v>79</v>
      </c>
      <c r="U33" s="12">
        <f>1/1.18</f>
        <v>0.84745762711864414</v>
      </c>
    </row>
    <row r="34" spans="3:21">
      <c r="C34" t="s">
        <v>106</v>
      </c>
      <c r="D34" t="s">
        <v>37</v>
      </c>
      <c r="E34" t="s">
        <v>38</v>
      </c>
      <c r="F34" s="12">
        <f>1/1.11</f>
        <v>0.9009009009009008</v>
      </c>
      <c r="H34" t="s">
        <v>334</v>
      </c>
      <c r="I34" t="s">
        <v>37</v>
      </c>
      <c r="J34" t="s">
        <v>35</v>
      </c>
      <c r="K34" s="12">
        <f>1/1.54</f>
        <v>0.64935064935064934</v>
      </c>
      <c r="M34" t="s">
        <v>47</v>
      </c>
      <c r="N34" t="s">
        <v>37</v>
      </c>
      <c r="O34" t="s">
        <v>35</v>
      </c>
      <c r="P34" s="12">
        <f>1/1.24</f>
        <v>0.80645161290322587</v>
      </c>
      <c r="R34" t="s">
        <v>53</v>
      </c>
      <c r="S34" t="s">
        <v>54</v>
      </c>
      <c r="T34" t="s">
        <v>35</v>
      </c>
      <c r="U34" s="12">
        <f>1/1.06</f>
        <v>0.94339622641509424</v>
      </c>
    </row>
    <row r="35" spans="3:21">
      <c r="C35" t="s">
        <v>288</v>
      </c>
      <c r="D35" t="s">
        <v>37</v>
      </c>
      <c r="E35" t="s">
        <v>38</v>
      </c>
      <c r="F35" s="12">
        <f>1/0.84</f>
        <v>1.1904761904761905</v>
      </c>
      <c r="H35" t="s">
        <v>590</v>
      </c>
      <c r="I35" t="s">
        <v>37</v>
      </c>
      <c r="J35" t="s">
        <v>35</v>
      </c>
      <c r="K35" s="12">
        <f>1/1.18</f>
        <v>0.84745762711864414</v>
      </c>
      <c r="M35" t="s">
        <v>47</v>
      </c>
      <c r="N35" t="s">
        <v>37</v>
      </c>
      <c r="O35" t="s">
        <v>79</v>
      </c>
      <c r="P35" s="12">
        <f>1/1.14</f>
        <v>0.87719298245614041</v>
      </c>
      <c r="R35" t="s">
        <v>218</v>
      </c>
      <c r="S35" t="s">
        <v>54</v>
      </c>
      <c r="T35" t="s">
        <v>35</v>
      </c>
      <c r="U35" s="12">
        <f>1/1.03</f>
        <v>0.970873786407767</v>
      </c>
    </row>
    <row r="36" spans="3:21">
      <c r="C36" t="s">
        <v>108</v>
      </c>
      <c r="D36" t="s">
        <v>37</v>
      </c>
      <c r="E36" t="s">
        <v>35</v>
      </c>
      <c r="F36" s="12">
        <f>1/1.35</f>
        <v>0.7407407407407407</v>
      </c>
      <c r="H36" t="s">
        <v>591</v>
      </c>
      <c r="I36" t="s">
        <v>37</v>
      </c>
      <c r="J36" t="s">
        <v>35</v>
      </c>
      <c r="K36" s="12">
        <f>1/1.02</f>
        <v>0.98039215686274506</v>
      </c>
      <c r="M36" t="s">
        <v>149</v>
      </c>
      <c r="N36" t="s">
        <v>37</v>
      </c>
      <c r="O36" t="s">
        <v>150</v>
      </c>
      <c r="P36" s="12">
        <v>0.68</v>
      </c>
      <c r="R36" t="s">
        <v>592</v>
      </c>
      <c r="S36" t="s">
        <v>37</v>
      </c>
      <c r="T36" t="s">
        <v>38</v>
      </c>
      <c r="U36" s="12">
        <f>1/1.02</f>
        <v>0.98039215686274506</v>
      </c>
    </row>
    <row r="37" spans="3:21">
      <c r="C37" t="s">
        <v>47</v>
      </c>
      <c r="D37" t="s">
        <v>37</v>
      </c>
      <c r="E37" t="s">
        <v>35</v>
      </c>
      <c r="F37" s="12">
        <f>1/1.08</f>
        <v>0.92592592592592582</v>
      </c>
      <c r="G37" s="14"/>
      <c r="L37" s="15"/>
      <c r="Q37" s="14"/>
      <c r="R37" t="s">
        <v>593</v>
      </c>
      <c r="S37" t="s">
        <v>37</v>
      </c>
      <c r="T37" t="s">
        <v>38</v>
      </c>
      <c r="U37" s="12">
        <f>1/0.4</f>
        <v>2.5</v>
      </c>
    </row>
    <row r="38" spans="3:21">
      <c r="C38" t="s">
        <v>47</v>
      </c>
      <c r="D38" t="s">
        <v>37</v>
      </c>
      <c r="E38" t="s">
        <v>79</v>
      </c>
      <c r="F38" s="12">
        <f>1/1.63</f>
        <v>0.61349693251533743</v>
      </c>
      <c r="G38" s="14"/>
      <c r="L38" s="15"/>
      <c r="R38" t="s">
        <v>148</v>
      </c>
      <c r="S38" t="s">
        <v>37</v>
      </c>
      <c r="T38" t="s">
        <v>35</v>
      </c>
      <c r="U38" s="12">
        <f>1/1.1</f>
        <v>0.90909090909090906</v>
      </c>
    </row>
    <row r="39" spans="3:21">
      <c r="C39" t="s">
        <v>112</v>
      </c>
      <c r="D39" t="s">
        <v>37</v>
      </c>
      <c r="E39" t="s">
        <v>79</v>
      </c>
      <c r="F39" s="12">
        <f>1/1.17</f>
        <v>0.85470085470085477</v>
      </c>
      <c r="G39" s="14"/>
      <c r="L39" s="15"/>
      <c r="R39" t="s">
        <v>582</v>
      </c>
      <c r="S39" t="s">
        <v>37</v>
      </c>
      <c r="T39" t="s">
        <v>35</v>
      </c>
      <c r="U39" s="12">
        <f>1/1.05</f>
        <v>0.95238095238095233</v>
      </c>
    </row>
    <row r="40" spans="3:21">
      <c r="C40" t="s">
        <v>149</v>
      </c>
      <c r="D40" t="s">
        <v>37</v>
      </c>
      <c r="E40" t="s">
        <v>150</v>
      </c>
      <c r="F40" s="12">
        <v>0.68</v>
      </c>
      <c r="L40" s="15"/>
    </row>
    <row r="41" spans="3:21">
      <c r="L41" s="15"/>
      <c r="Q41" s="14"/>
    </row>
    <row r="42" spans="3:21">
      <c r="L42" s="15"/>
    </row>
    <row r="43" spans="3:21">
      <c r="G43" s="14"/>
      <c r="L43" s="15"/>
    </row>
    <row r="44" spans="3:21">
      <c r="K44" s="12"/>
      <c r="L44" s="15"/>
      <c r="P44" s="12"/>
    </row>
    <row r="45" spans="3:21">
      <c r="K45" s="12"/>
      <c r="L45" s="15"/>
      <c r="P45" s="12"/>
    </row>
    <row r="46" spans="3:21">
      <c r="K46" s="12"/>
      <c r="L46" s="15"/>
      <c r="P46" s="12"/>
    </row>
    <row r="47" spans="3:21">
      <c r="K47" s="12"/>
      <c r="L47" s="15"/>
      <c r="P47" s="12"/>
    </row>
    <row r="48" spans="3:21">
      <c r="K48" s="12"/>
      <c r="L48" s="15"/>
    </row>
    <row r="49" spans="21:21">
      <c r="U49" s="12"/>
    </row>
    <row r="50" spans="21:21">
      <c r="U50" s="12"/>
    </row>
  </sheetData>
  <mergeCells count="8">
    <mergeCell ref="C9:F9"/>
    <mergeCell ref="H9:K9"/>
    <mergeCell ref="M9:P9"/>
    <mergeCell ref="R9:U9"/>
    <mergeCell ref="C27:F27"/>
    <mergeCell ref="H27:K27"/>
    <mergeCell ref="M27:P27"/>
    <mergeCell ref="R27:U27"/>
  </mergeCells>
  <phoneticPr fontId="7" type="noConversion"/>
  <dataValidations count="2">
    <dataValidation type="list" allowBlank="1" showInputMessage="1" showErrorMessage="1" sqref="N11:N12 S11:S12 S29:S30 S14:S26 I11:I26 D11:D26 D29:D56 N14:N26 I29:I36 I44:I48 N29:N36 N44:N47 S32:S39 S49:S50" xr:uid="{2E6F6BC8-6CCB-4D07-9243-8CD254FF3EE6}">
      <formula1>Dimension_types</formula1>
    </dataValidation>
    <dataValidation type="list" allowBlank="1" showInputMessage="1" showErrorMessage="1" sqref="O11:O12 T11:T12 T29:T30 T14:T26 J11:J26 E11:E26 E29:E40 O14:O26 J29:J36 J44:J48 O29:O36 O44:O47 T32:T39 T49:T50" xr:uid="{038F5B7F-98D2-464A-BC00-AFDF5DA7C9AB}">
      <formula1>Fuel_types</formula1>
    </dataValidation>
  </dataValidations>
  <pageMargins left="0.7" right="0.7" top="0.75" bottom="0.75" header="0.3" footer="0.3"/>
  <legacyDrawing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87439525B98843AEACCB5EA812C390" ma:contentTypeVersion="14" ma:contentTypeDescription="Create a new document." ma:contentTypeScope="" ma:versionID="1689c8fac00b9870ebca6d84b254a74a">
  <xsd:schema xmlns:xsd="http://www.w3.org/2001/XMLSchema" xmlns:xs="http://www.w3.org/2001/XMLSchema" xmlns:p="http://schemas.microsoft.com/office/2006/metadata/properties" xmlns:ns3="811ea15a-9728-40f2-a9cb-0fdd90610a04" xmlns:ns4="43508de0-56d7-466c-9608-992522876b20" targetNamespace="http://schemas.microsoft.com/office/2006/metadata/properties" ma:root="true" ma:fieldsID="e723d82f58290726a03c0447d085e87d" ns3:_="" ns4:_="">
    <xsd:import namespace="811ea15a-9728-40f2-a9cb-0fdd90610a04"/>
    <xsd:import namespace="43508de0-56d7-466c-9608-992522876b2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1ea15a-9728-40f2-a9cb-0fdd90610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508de0-56d7-466c-9608-992522876b2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3A1832-E80C-4E7E-92A5-8298295A888B}">
  <ds:schemaRefs>
    <ds:schemaRef ds:uri="http://schemas.microsoft.com/office/2006/documentManagement/types"/>
    <ds:schemaRef ds:uri="811ea15a-9728-40f2-a9cb-0fdd90610a04"/>
    <ds:schemaRef ds:uri="http://www.w3.org/XML/1998/namespace"/>
    <ds:schemaRef ds:uri="43508de0-56d7-466c-9608-992522876b20"/>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2FAC1AF-5028-4E82-A839-E4A801980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1ea15a-9728-40f2-a9cb-0fdd90610a04"/>
    <ds:schemaRef ds:uri="43508de0-56d7-466c-9608-992522876b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2021AA-2EF4-42E1-B317-EF499831BA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10</vt:i4>
      </vt:variant>
    </vt:vector>
  </HeadingPairs>
  <TitlesOfParts>
    <vt:vector size="12" baseType="lpstr">
      <vt:lpstr>Energy_Systems_DB</vt:lpstr>
      <vt:lpstr>Systems_list_data</vt:lpstr>
      <vt:lpstr>DHW_systems_G1</vt:lpstr>
      <vt:lpstr>DHW_systems_G2</vt:lpstr>
      <vt:lpstr>DHW_systems_G3</vt:lpstr>
      <vt:lpstr>DHW_systems_G4</vt:lpstr>
      <vt:lpstr>Dimension_types</vt:lpstr>
      <vt:lpstr>Fuel_types</vt:lpstr>
      <vt:lpstr>Heating_systems_G1</vt:lpstr>
      <vt:lpstr>Heating_systems_G2</vt:lpstr>
      <vt:lpstr>Heating_systems_G3</vt:lpstr>
      <vt:lpstr>Heating_systems_G4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Jankovic</dc:creator>
  <cp:keywords/>
  <dc:description/>
  <cp:lastModifiedBy>Microsoft Office User</cp:lastModifiedBy>
  <cp:revision/>
  <dcterms:created xsi:type="dcterms:W3CDTF">2021-07-15T23:10:49Z</dcterms:created>
  <dcterms:modified xsi:type="dcterms:W3CDTF">2023-04-24T10:37:17Z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0x010100DA87439525B98843AEACCB5EA812C390</vt:lpwstr>
  </property>
  <property fmtid="{D5CDD505-2E9C-101B-9397-08002B2CF9AE}" pid="3" name="document status">
    <vt:lpwstr/>
  </property>
  <property fmtid="{D5CDD505-2E9C-101B-9397-08002B2CF9AE}" pid="4" name="Work packages">
    <vt:lpwstr>28;#WP4|d7011b97-0284-4c9d-89db-c04413701e85</vt:lpwstr>
  </property>
  <property fmtid="{D5CDD505-2E9C-101B-9397-08002B2CF9AE}" pid="5" name="Document type">
    <vt:lpwstr>25;#Tool|45541538-81a2-48c5-a3fb-fe08c96264e0</vt:lpwstr>
  </property>
  <property fmtid="{D5CDD505-2E9C-101B-9397-08002B2CF9AE}" pid="6" name="p0d8e8f002cf4aa0b1be8c688fa59aed">
    <vt:lpwstr/>
  </property>
  <property fmtid="{D5CDD505-2E9C-101B-9397-08002B2CF9AE}" pid="7" name="ef5918871aac4949adbf9c1884f810c2">
    <vt:lpwstr/>
  </property>
  <property fmtid="{D5CDD505-2E9C-101B-9397-08002B2CF9AE}" pid="8" name="hd7464b74e444de1aa82028733c08f6d">
    <vt:lpwstr/>
  </property>
</Properties>
</file>
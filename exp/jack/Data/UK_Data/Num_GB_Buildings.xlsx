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Lynch/CUBES/exp/jack/Data/UK_Data/"/>
    </mc:Choice>
  </mc:AlternateContent>
  <xr:revisionPtr revIDLastSave="0" documentId="13_ncr:1_{E2BE4F89-0ED5-E74B-A2C5-C3B4A4C06184}" xr6:coauthVersionLast="47" xr6:coauthVersionMax="47" xr10:uidLastSave="{00000000-0000-0000-0000-000000000000}"/>
  <bookViews>
    <workbookView xWindow="0" yWindow="460" windowWidth="25600" windowHeight="14060" activeTab="2" xr2:uid="{688A4600-F5B2-CE49-BAEC-B19C1EF7E076}"/>
  </bookViews>
  <sheets>
    <sheet name="Hotmaps" sheetId="1" r:id="rId1"/>
    <sheet name="Modifcation" sheetId="2" r:id="rId2"/>
    <sheet name="Ambi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4" i="2"/>
  <c r="J25" i="2"/>
  <c r="M23" i="2"/>
  <c r="J18" i="2"/>
  <c r="J19" i="2"/>
  <c r="J20" i="2"/>
  <c r="M18" i="2"/>
  <c r="J21" i="2"/>
  <c r="J22" i="2"/>
  <c r="M21" i="2"/>
  <c r="J17" i="2"/>
  <c r="J16" i="2"/>
  <c r="J15" i="2"/>
  <c r="J14" i="2"/>
  <c r="J13" i="2"/>
  <c r="J12" i="2"/>
  <c r="J11" i="2"/>
  <c r="J10" i="2"/>
  <c r="J2" i="2"/>
  <c r="J9" i="2"/>
  <c r="J4" i="2"/>
  <c r="J5" i="2"/>
  <c r="J6" i="2"/>
  <c r="J7" i="2"/>
  <c r="J8" i="2"/>
  <c r="J3" i="2"/>
</calcChain>
</file>

<file path=xl/sharedStrings.xml><?xml version="1.0" encoding="utf-8"?>
<sst xmlns="http://schemas.openxmlformats.org/spreadsheetml/2006/main" count="198" uniqueCount="67">
  <si>
    <t>country_code</t>
  </si>
  <si>
    <t>subsector</t>
  </si>
  <si>
    <t>bage</t>
  </si>
  <si>
    <t>type</t>
  </si>
  <si>
    <t>value</t>
  </si>
  <si>
    <t>building_start</t>
  </si>
  <si>
    <t>building_end</t>
  </si>
  <si>
    <t>building_rate</t>
  </si>
  <si>
    <t>age_range</t>
  </si>
  <si>
    <t>uk</t>
  </si>
  <si>
    <t>Single family- Terraced houses</t>
  </si>
  <si>
    <t>Before 1945</t>
  </si>
  <si>
    <t>Number of dwellings/units [Mil.]</t>
  </si>
  <si>
    <t>1850-1944</t>
  </si>
  <si>
    <t>1945 - 1969</t>
  </si>
  <si>
    <t>1945-1969</t>
  </si>
  <si>
    <t>1970 - 1979</t>
  </si>
  <si>
    <t>1970-1979</t>
  </si>
  <si>
    <t>1980 - 1989</t>
  </si>
  <si>
    <t>1980-1989</t>
  </si>
  <si>
    <t>1990 - 1999</t>
  </si>
  <si>
    <t>1990-1999</t>
  </si>
  <si>
    <t>2000 - 2010</t>
  </si>
  <si>
    <t>2000-2009</t>
  </si>
  <si>
    <t>Post 2010</t>
  </si>
  <si>
    <t>2010-2022</t>
  </si>
  <si>
    <t>Multifamily houses</t>
  </si>
  <si>
    <t>Appartment blocks</t>
  </si>
  <si>
    <t>Hotmaps_building_rate</t>
  </si>
  <si>
    <t>Type</t>
  </si>
  <si>
    <t>Number of buildings</t>
  </si>
  <si>
    <t>Tabula Start</t>
  </si>
  <si>
    <t>Tabula End</t>
  </si>
  <si>
    <t>Hotmaps Start</t>
  </si>
  <si>
    <t>Hotmaps End</t>
  </si>
  <si>
    <t>Before</t>
  </si>
  <si>
    <t>During</t>
  </si>
  <si>
    <t>After</t>
  </si>
  <si>
    <t>GB.ENG.AB.03.Gen.ReEx.001.001</t>
  </si>
  <si>
    <t>GB.ENG.AB.04.Gen.ReEx.001.001</t>
  </si>
  <si>
    <t>GB.ENG.AB.07.Gen.ReEx.001.001</t>
  </si>
  <si>
    <t>GB.ENG.MFH.01.Gen.ReEx.001.001</t>
  </si>
  <si>
    <t>GB.ENG.MFH.02.Gen.ReEx.001.001</t>
  </si>
  <si>
    <t>GB.ENG.MFH.03.Gen.ReEx.001.001</t>
  </si>
  <si>
    <t>GB.ENG.MFH.04.Gen.ReEx.001.001</t>
  </si>
  <si>
    <t>GB.ENG.MFH.05.Gen.ReEx.001.001</t>
  </si>
  <si>
    <t>GB.ENG.MFH.06.Gen.ReEx.001.001</t>
  </si>
  <si>
    <t>GB.ENG.MFH.07.Gen.ReEx.001.001</t>
  </si>
  <si>
    <t>GB.ENG.MFH.08.Gen.ReEx.001.001</t>
  </si>
  <si>
    <t>GB.ENG.SFH.01.Gen.ReEx.001.001</t>
  </si>
  <si>
    <t>GB.ENG.SFH.02.Gen.ReEx.001.001</t>
  </si>
  <si>
    <t>GB.ENG.SFH.03.Gen.ReEx.001.001</t>
  </si>
  <si>
    <t>GB.ENG.SFH.04.Gen.ReEx.001.001</t>
  </si>
  <si>
    <t>GB.ENG.SFH.05.Gen.ReEx.001.001</t>
  </si>
  <si>
    <t>GB.ENG.SFH.06.Gen.ReEx.001.001</t>
  </si>
  <si>
    <t>GB.ENG.SFH.07.Gen.ReEx.001.001</t>
  </si>
  <si>
    <t>GB.ENG.SFH.08.Gen.ReEx.001.001</t>
  </si>
  <si>
    <t>GB.ENG.TH.01.Gen.ReEx.001.001</t>
  </si>
  <si>
    <t>GB.ENG.TH.02.Gen.ReEx.001.001</t>
  </si>
  <si>
    <t>GB.ENG.TH.03.Gen.ReEx.001.001</t>
  </si>
  <si>
    <t>GB.ENG.TH.04.Gen.ReEx.001.001</t>
  </si>
  <si>
    <t>GB.ENG.TH.05.Gen.ReEx.001.001</t>
  </si>
  <si>
    <t>GB.ENG.TH.06.Gen.ReEx.001.001</t>
  </si>
  <si>
    <t>GB.ENG.TH.07.Gen.ReEx.001.001</t>
  </si>
  <si>
    <t>GB.ENG.TH.08.Gen.ReEx.001.001</t>
  </si>
  <si>
    <t>Number Of Buildings</t>
  </si>
  <si>
    <t>Code_BuildingVariant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</si>
</sst>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78EE-603F-9745-88FA-1124B7276F85}">
  <dimension ref="A1:I31"/>
  <sheetViews>
    <sheetView topLeftCell="A5" workbookViewId="0">
      <selection activeCell="H27" sqref="H27"/>
    </sheetView>
  </sheetViews>
  <sheetFormatPr baseColWidth="10" defaultRowHeight="16" x14ac:dyDescent="0.2"/>
  <cols>
    <col min="3" max="3" width="11.1640625" bestFit="1" customWidth="1"/>
    <col min="4" max="4" width="28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7.1170234294221046</v>
      </c>
      <c r="F2">
        <v>1850</v>
      </c>
      <c r="G2">
        <v>1944</v>
      </c>
      <c r="H2">
        <v>7.4916036099180044E-2</v>
      </c>
      <c r="I2" t="s">
        <v>13</v>
      </c>
    </row>
    <row r="3" spans="1:9" x14ac:dyDescent="0.2">
      <c r="A3" t="s">
        <v>9</v>
      </c>
      <c r="B3" t="s">
        <v>10</v>
      </c>
      <c r="C3" t="s">
        <v>14</v>
      </c>
      <c r="D3" t="s">
        <v>12</v>
      </c>
      <c r="E3">
        <v>5.0424485941507022</v>
      </c>
      <c r="F3">
        <v>1945</v>
      </c>
      <c r="G3">
        <v>1969</v>
      </c>
      <c r="H3">
        <v>0.20169794376602809</v>
      </c>
      <c r="I3" t="s">
        <v>15</v>
      </c>
    </row>
    <row r="4" spans="1:9" x14ac:dyDescent="0.2">
      <c r="A4" t="s">
        <v>9</v>
      </c>
      <c r="B4" t="s">
        <v>10</v>
      </c>
      <c r="C4" t="s">
        <v>16</v>
      </c>
      <c r="D4" t="s">
        <v>12</v>
      </c>
      <c r="E4">
        <v>1.910040669815751</v>
      </c>
      <c r="F4">
        <v>1970</v>
      </c>
      <c r="G4">
        <v>1979</v>
      </c>
      <c r="H4">
        <v>0.1910040669815751</v>
      </c>
      <c r="I4" t="s">
        <v>17</v>
      </c>
    </row>
    <row r="5" spans="1:9" x14ac:dyDescent="0.2">
      <c r="A5" t="s">
        <v>9</v>
      </c>
      <c r="B5" t="s">
        <v>10</v>
      </c>
      <c r="C5" t="s">
        <v>18</v>
      </c>
      <c r="D5" t="s">
        <v>12</v>
      </c>
      <c r="E5">
        <v>1.382744239650282</v>
      </c>
      <c r="F5">
        <v>1980</v>
      </c>
      <c r="G5">
        <v>1989</v>
      </c>
      <c r="H5">
        <v>0.13827442396502829</v>
      </c>
      <c r="I5" t="s">
        <v>19</v>
      </c>
    </row>
    <row r="6" spans="1:9" x14ac:dyDescent="0.2">
      <c r="A6" t="s">
        <v>9</v>
      </c>
      <c r="B6" t="s">
        <v>10</v>
      </c>
      <c r="C6" t="s">
        <v>20</v>
      </c>
      <c r="D6" t="s">
        <v>12</v>
      </c>
      <c r="E6">
        <v>1.368008351980379</v>
      </c>
      <c r="F6">
        <v>1990</v>
      </c>
      <c r="G6">
        <v>1999</v>
      </c>
      <c r="H6">
        <v>0.1368008351980379</v>
      </c>
      <c r="I6" t="s">
        <v>21</v>
      </c>
    </row>
    <row r="7" spans="1:9" x14ac:dyDescent="0.2">
      <c r="A7" t="s">
        <v>9</v>
      </c>
      <c r="B7" t="s">
        <v>10</v>
      </c>
      <c r="C7" t="s">
        <v>22</v>
      </c>
      <c r="D7" t="s">
        <v>12</v>
      </c>
      <c r="E7">
        <v>3.9875221909432819</v>
      </c>
      <c r="F7">
        <v>2000</v>
      </c>
      <c r="G7">
        <v>2009</v>
      </c>
      <c r="H7">
        <v>0.39875221909432818</v>
      </c>
      <c r="I7" t="s">
        <v>23</v>
      </c>
    </row>
    <row r="8" spans="1:9" x14ac:dyDescent="0.2">
      <c r="A8" t="s">
        <v>9</v>
      </c>
      <c r="B8" t="s">
        <v>10</v>
      </c>
      <c r="C8" t="s">
        <v>24</v>
      </c>
      <c r="D8" t="s">
        <v>12</v>
      </c>
      <c r="E8">
        <v>3.088733993674984</v>
      </c>
      <c r="F8">
        <v>2010</v>
      </c>
      <c r="G8">
        <v>2022</v>
      </c>
      <c r="H8">
        <v>0.2375949225903834</v>
      </c>
      <c r="I8" t="s">
        <v>25</v>
      </c>
    </row>
    <row r="9" spans="1:9" x14ac:dyDescent="0.2">
      <c r="A9" t="s">
        <v>9</v>
      </c>
      <c r="B9" t="s">
        <v>26</v>
      </c>
      <c r="C9" t="s">
        <v>11</v>
      </c>
      <c r="D9" t="s">
        <v>12</v>
      </c>
      <c r="E9">
        <v>1.600165012666743</v>
      </c>
      <c r="F9">
        <v>1850</v>
      </c>
      <c r="G9">
        <v>1944</v>
      </c>
      <c r="H9">
        <v>1.6843842238597289E-2</v>
      </c>
      <c r="I9" t="s">
        <v>13</v>
      </c>
    </row>
    <row r="10" spans="1:9" x14ac:dyDescent="0.2">
      <c r="A10" t="s">
        <v>9</v>
      </c>
      <c r="B10" t="s">
        <v>26</v>
      </c>
      <c r="C10" t="s">
        <v>14</v>
      </c>
      <c r="D10" t="s">
        <v>12</v>
      </c>
      <c r="E10">
        <v>0.54460096439864059</v>
      </c>
      <c r="F10">
        <v>1945</v>
      </c>
      <c r="G10">
        <v>1969</v>
      </c>
      <c r="H10">
        <v>2.178403857594562E-2</v>
      </c>
      <c r="I10" t="s">
        <v>15</v>
      </c>
    </row>
    <row r="11" spans="1:9" x14ac:dyDescent="0.2">
      <c r="A11" t="s">
        <v>9</v>
      </c>
      <c r="B11" t="s">
        <v>26</v>
      </c>
      <c r="C11" t="s">
        <v>16</v>
      </c>
      <c r="D11" t="s">
        <v>12</v>
      </c>
      <c r="E11">
        <v>0.53861233369007455</v>
      </c>
      <c r="F11">
        <v>1970</v>
      </c>
      <c r="G11">
        <v>1979</v>
      </c>
      <c r="H11">
        <v>5.3861233369007458E-2</v>
      </c>
      <c r="I11" t="s">
        <v>17</v>
      </c>
    </row>
    <row r="12" spans="1:9" x14ac:dyDescent="0.2">
      <c r="A12" t="s">
        <v>9</v>
      </c>
      <c r="B12" t="s">
        <v>26</v>
      </c>
      <c r="C12" t="s">
        <v>18</v>
      </c>
      <c r="D12" t="s">
        <v>12</v>
      </c>
      <c r="E12">
        <v>0.35006737879612659</v>
      </c>
      <c r="F12">
        <v>1980</v>
      </c>
      <c r="G12">
        <v>1989</v>
      </c>
      <c r="H12">
        <v>3.5006737879612657E-2</v>
      </c>
      <c r="I12" t="s">
        <v>19</v>
      </c>
    </row>
    <row r="13" spans="1:9" x14ac:dyDescent="0.2">
      <c r="A13" t="s">
        <v>9</v>
      </c>
      <c r="B13" t="s">
        <v>26</v>
      </c>
      <c r="C13" t="s">
        <v>20</v>
      </c>
      <c r="D13" t="s">
        <v>12</v>
      </c>
      <c r="E13">
        <v>0.3242301163755778</v>
      </c>
      <c r="F13">
        <v>1990</v>
      </c>
      <c r="G13">
        <v>1999</v>
      </c>
      <c r="H13">
        <v>3.2423011637557779E-2</v>
      </c>
      <c r="I13" t="s">
        <v>21</v>
      </c>
    </row>
    <row r="14" spans="1:9" x14ac:dyDescent="0.2">
      <c r="A14" t="s">
        <v>9</v>
      </c>
      <c r="B14" t="s">
        <v>26</v>
      </c>
      <c r="C14" t="s">
        <v>22</v>
      </c>
      <c r="D14" t="s">
        <v>12</v>
      </c>
      <c r="E14">
        <v>0.70913690976167632</v>
      </c>
      <c r="F14">
        <v>2000</v>
      </c>
      <c r="G14">
        <v>2009</v>
      </c>
      <c r="H14">
        <v>7.0913690976167634E-2</v>
      </c>
      <c r="I14" t="s">
        <v>23</v>
      </c>
    </row>
    <row r="15" spans="1:9" x14ac:dyDescent="0.2">
      <c r="A15" t="s">
        <v>9</v>
      </c>
      <c r="B15" t="s">
        <v>26</v>
      </c>
      <c r="C15" t="s">
        <v>24</v>
      </c>
      <c r="D15" t="s">
        <v>12</v>
      </c>
      <c r="E15">
        <v>0.40666581467367091</v>
      </c>
      <c r="F15">
        <v>2010</v>
      </c>
      <c r="G15">
        <v>2022</v>
      </c>
      <c r="H15">
        <v>3.1281985744128528E-2</v>
      </c>
      <c r="I15" t="s">
        <v>25</v>
      </c>
    </row>
    <row r="16" spans="1:9" x14ac:dyDescent="0.2">
      <c r="A16" t="s">
        <v>9</v>
      </c>
      <c r="B16" t="s">
        <v>27</v>
      </c>
      <c r="C16" t="s">
        <v>11</v>
      </c>
      <c r="D16" t="s">
        <v>12</v>
      </c>
      <c r="E16">
        <v>0.59664289243643831</v>
      </c>
      <c r="F16">
        <v>1850</v>
      </c>
      <c r="G16">
        <v>1944</v>
      </c>
      <c r="H16">
        <v>6.2804514993309293E-3</v>
      </c>
      <c r="I16" t="s">
        <v>13</v>
      </c>
    </row>
    <row r="17" spans="1:9" x14ac:dyDescent="0.2">
      <c r="A17" t="s">
        <v>9</v>
      </c>
      <c r="B17" t="s">
        <v>27</v>
      </c>
      <c r="C17" t="s">
        <v>14</v>
      </c>
      <c r="D17" t="s">
        <v>12</v>
      </c>
      <c r="E17">
        <v>0.40422209882004639</v>
      </c>
      <c r="F17">
        <v>1945</v>
      </c>
      <c r="G17">
        <v>1969</v>
      </c>
      <c r="H17">
        <v>1.616888395280186E-2</v>
      </c>
      <c r="I17" t="s">
        <v>15</v>
      </c>
    </row>
    <row r="18" spans="1:9" x14ac:dyDescent="0.2">
      <c r="A18" t="s">
        <v>9</v>
      </c>
      <c r="B18" t="s">
        <v>27</v>
      </c>
      <c r="C18" t="s">
        <v>16</v>
      </c>
      <c r="D18" t="s">
        <v>12</v>
      </c>
      <c r="E18">
        <v>0.1807924866640345</v>
      </c>
      <c r="F18">
        <v>1970</v>
      </c>
      <c r="G18">
        <v>1979</v>
      </c>
      <c r="H18">
        <v>1.8079248666403449E-2</v>
      </c>
      <c r="I18" t="s">
        <v>17</v>
      </c>
    </row>
    <row r="19" spans="1:9" x14ac:dyDescent="0.2">
      <c r="A19" t="s">
        <v>9</v>
      </c>
      <c r="B19" t="s">
        <v>27</v>
      </c>
      <c r="C19" t="s">
        <v>18</v>
      </c>
      <c r="D19" t="s">
        <v>12</v>
      </c>
      <c r="E19">
        <v>0.1605813817230321</v>
      </c>
      <c r="F19">
        <v>1980</v>
      </c>
      <c r="G19">
        <v>1989</v>
      </c>
      <c r="H19">
        <v>1.6058138172303209E-2</v>
      </c>
      <c r="I19" t="s">
        <v>19</v>
      </c>
    </row>
    <row r="20" spans="1:9" x14ac:dyDescent="0.2">
      <c r="A20" t="s">
        <v>9</v>
      </c>
      <c r="B20" t="s">
        <v>27</v>
      </c>
      <c r="C20" t="s">
        <v>20</v>
      </c>
      <c r="D20" t="s">
        <v>12</v>
      </c>
      <c r="E20">
        <v>0.1107457804986428</v>
      </c>
      <c r="F20">
        <v>1990</v>
      </c>
      <c r="G20">
        <v>1999</v>
      </c>
      <c r="H20">
        <v>1.1074578049864279E-2</v>
      </c>
      <c r="I20" t="s">
        <v>21</v>
      </c>
    </row>
    <row r="21" spans="1:9" x14ac:dyDescent="0.2">
      <c r="A21" t="s">
        <v>9</v>
      </c>
      <c r="B21" t="s">
        <v>27</v>
      </c>
      <c r="C21" t="s">
        <v>22</v>
      </c>
      <c r="D21" t="s">
        <v>12</v>
      </c>
      <c r="E21">
        <v>0.34940293747321821</v>
      </c>
      <c r="F21">
        <v>2000</v>
      </c>
      <c r="G21">
        <v>2009</v>
      </c>
      <c r="H21">
        <v>3.494029374732182E-2</v>
      </c>
      <c r="I21" t="s">
        <v>23</v>
      </c>
    </row>
    <row r="22" spans="1:9" x14ac:dyDescent="0.2">
      <c r="A22" t="s">
        <v>9</v>
      </c>
      <c r="B22" t="s">
        <v>27</v>
      </c>
      <c r="C22" t="s">
        <v>24</v>
      </c>
      <c r="D22" t="s">
        <v>12</v>
      </c>
      <c r="E22">
        <v>0.21618047022902201</v>
      </c>
      <c r="F22">
        <v>2010</v>
      </c>
      <c r="G22">
        <v>2022</v>
      </c>
      <c r="H22">
        <v>1.6629266940693999E-2</v>
      </c>
      <c r="I22" t="s">
        <v>25</v>
      </c>
    </row>
    <row r="25" spans="1:9" x14ac:dyDescent="0.2">
      <c r="D25" s="6">
        <v>1.6001650126667426</v>
      </c>
      <c r="E25" s="6">
        <v>0.7</v>
      </c>
    </row>
    <row r="26" spans="1:9" x14ac:dyDescent="0.2">
      <c r="D26" s="6">
        <v>0.54460096439864059</v>
      </c>
      <c r="E26" s="6">
        <v>0.25</v>
      </c>
    </row>
    <row r="27" spans="1:9" x14ac:dyDescent="0.2">
      <c r="D27" s="6">
        <v>0.53861233369007455</v>
      </c>
      <c r="E27" s="6">
        <v>0.15</v>
      </c>
    </row>
    <row r="28" spans="1:9" x14ac:dyDescent="0.2">
      <c r="D28" s="6">
        <v>0.35006737879612665</v>
      </c>
      <c r="E28" s="6">
        <v>0.08</v>
      </c>
    </row>
    <row r="29" spans="1:9" x14ac:dyDescent="0.2">
      <c r="D29" s="6">
        <v>0.3242301163755778</v>
      </c>
      <c r="E29" s="6">
        <v>7.0000000000000007E-2</v>
      </c>
    </row>
    <row r="30" spans="1:9" x14ac:dyDescent="0.2">
      <c r="D30" s="6">
        <v>0.70913690976167632</v>
      </c>
      <c r="E30" s="6">
        <v>0.3</v>
      </c>
    </row>
    <row r="31" spans="1:9" x14ac:dyDescent="0.2">
      <c r="D31" s="6">
        <v>0.40666581467367091</v>
      </c>
      <c r="E31" s="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1A6B-C215-5844-A8BE-C1C6C5C7FA63}">
  <dimension ref="A1:P25"/>
  <sheetViews>
    <sheetView workbookViewId="0">
      <selection activeCell="J2" sqref="J2:J9"/>
    </sheetView>
  </sheetViews>
  <sheetFormatPr baseColWidth="10" defaultRowHeight="16" x14ac:dyDescent="0.2"/>
  <cols>
    <col min="1" max="1" width="26.83203125" bestFit="1" customWidth="1"/>
    <col min="6" max="6" width="20.5" bestFit="1" customWidth="1"/>
  </cols>
  <sheetData>
    <row r="1" spans="1:16" x14ac:dyDescent="0.2">
      <c r="A1" t="s">
        <v>29</v>
      </c>
      <c r="B1" t="s">
        <v>31</v>
      </c>
      <c r="C1" t="s">
        <v>32</v>
      </c>
      <c r="D1" t="s">
        <v>33</v>
      </c>
      <c r="E1" t="s">
        <v>34</v>
      </c>
      <c r="F1" t="s">
        <v>28</v>
      </c>
      <c r="G1" t="s">
        <v>35</v>
      </c>
      <c r="H1" t="s">
        <v>36</v>
      </c>
      <c r="I1" t="s">
        <v>37</v>
      </c>
      <c r="J1" t="s">
        <v>30</v>
      </c>
    </row>
    <row r="2" spans="1:16" x14ac:dyDescent="0.2">
      <c r="A2" t="s">
        <v>10</v>
      </c>
      <c r="B2">
        <v>1850</v>
      </c>
      <c r="C2">
        <v>1918</v>
      </c>
      <c r="F2">
        <v>0</v>
      </c>
      <c r="G2">
        <v>0</v>
      </c>
      <c r="H2">
        <v>0</v>
      </c>
      <c r="I2">
        <v>69</v>
      </c>
      <c r="J2" s="3">
        <f>I2*F3</f>
        <v>3.1158947368421059</v>
      </c>
    </row>
    <row r="3" spans="1:16" x14ac:dyDescent="0.2">
      <c r="A3" t="s">
        <v>10</v>
      </c>
      <c r="B3">
        <v>1919</v>
      </c>
      <c r="C3">
        <v>1944</v>
      </c>
      <c r="D3">
        <v>1850</v>
      </c>
      <c r="E3">
        <v>1944</v>
      </c>
      <c r="F3">
        <v>4.5157894736842112E-2</v>
      </c>
      <c r="G3">
        <v>0</v>
      </c>
      <c r="H3">
        <v>26</v>
      </c>
      <c r="I3">
        <v>0</v>
      </c>
      <c r="J3" s="3">
        <f>(F2*G3)+(H3*F3)+(I3*F4)</f>
        <v>1.174105263157895</v>
      </c>
      <c r="O3" t="s">
        <v>10</v>
      </c>
      <c r="P3">
        <v>4.5157894736842112E-2</v>
      </c>
    </row>
    <row r="4" spans="1:16" x14ac:dyDescent="0.2">
      <c r="A4" t="s">
        <v>10</v>
      </c>
      <c r="B4">
        <v>1945</v>
      </c>
      <c r="C4">
        <v>1964</v>
      </c>
      <c r="D4">
        <v>1945</v>
      </c>
      <c r="E4">
        <v>1969</v>
      </c>
      <c r="F4">
        <v>0.12479999999999999</v>
      </c>
      <c r="G4">
        <v>0</v>
      </c>
      <c r="H4">
        <v>20</v>
      </c>
      <c r="I4">
        <v>0</v>
      </c>
      <c r="J4" s="3">
        <f t="shared" ref="J4:J8" si="0">(F3*G4)+(H4*F4)+(I4*F5)</f>
        <v>2.496</v>
      </c>
      <c r="O4" t="s">
        <v>10</v>
      </c>
      <c r="P4">
        <v>0.12479999999999999</v>
      </c>
    </row>
    <row r="5" spans="1:16" x14ac:dyDescent="0.2">
      <c r="A5" t="s">
        <v>10</v>
      </c>
      <c r="B5">
        <v>1965</v>
      </c>
      <c r="C5">
        <v>1980</v>
      </c>
      <c r="D5">
        <v>1970</v>
      </c>
      <c r="E5">
        <v>1979</v>
      </c>
      <c r="F5">
        <v>0.13600000000000001</v>
      </c>
      <c r="G5">
        <v>5</v>
      </c>
      <c r="H5">
        <v>10</v>
      </c>
      <c r="I5">
        <v>1</v>
      </c>
      <c r="J5" s="3">
        <f t="shared" si="0"/>
        <v>2.09</v>
      </c>
      <c r="O5" t="s">
        <v>10</v>
      </c>
      <c r="P5">
        <v>0.13600000000000001</v>
      </c>
    </row>
    <row r="6" spans="1:16" x14ac:dyDescent="0.2">
      <c r="A6" t="s">
        <v>10</v>
      </c>
      <c r="B6">
        <v>1981</v>
      </c>
      <c r="C6">
        <v>1990</v>
      </c>
      <c r="D6">
        <v>1980</v>
      </c>
      <c r="E6">
        <v>1989</v>
      </c>
      <c r="F6">
        <v>0.106</v>
      </c>
      <c r="G6">
        <v>0</v>
      </c>
      <c r="H6">
        <v>9</v>
      </c>
      <c r="I6">
        <v>1</v>
      </c>
      <c r="J6" s="3">
        <f t="shared" si="0"/>
        <v>1.0589999999999999</v>
      </c>
      <c r="O6" t="s">
        <v>10</v>
      </c>
      <c r="P6">
        <v>0.106</v>
      </c>
    </row>
    <row r="7" spans="1:16" x14ac:dyDescent="0.2">
      <c r="A7" t="s">
        <v>10</v>
      </c>
      <c r="B7">
        <v>1991</v>
      </c>
      <c r="C7">
        <v>2003</v>
      </c>
      <c r="D7">
        <v>1990</v>
      </c>
      <c r="E7">
        <v>1999</v>
      </c>
      <c r="F7">
        <v>0.105</v>
      </c>
      <c r="G7">
        <v>0</v>
      </c>
      <c r="H7">
        <v>9</v>
      </c>
      <c r="I7">
        <v>4</v>
      </c>
      <c r="J7" s="3">
        <f t="shared" si="0"/>
        <v>1.9529999999999998</v>
      </c>
      <c r="O7" t="s">
        <v>10</v>
      </c>
      <c r="P7">
        <v>0.105</v>
      </c>
    </row>
    <row r="8" spans="1:16" x14ac:dyDescent="0.2">
      <c r="A8" t="s">
        <v>10</v>
      </c>
      <c r="B8">
        <v>2004</v>
      </c>
      <c r="C8">
        <v>2009</v>
      </c>
      <c r="D8">
        <v>2000</v>
      </c>
      <c r="E8">
        <v>2009</v>
      </c>
      <c r="F8">
        <v>0.252</v>
      </c>
      <c r="G8">
        <v>0</v>
      </c>
      <c r="H8">
        <v>6</v>
      </c>
      <c r="I8">
        <v>0</v>
      </c>
      <c r="J8" s="3">
        <f t="shared" si="0"/>
        <v>1.512</v>
      </c>
      <c r="O8" t="s">
        <v>10</v>
      </c>
      <c r="P8">
        <v>0.252</v>
      </c>
    </row>
    <row r="9" spans="1:16" x14ac:dyDescent="0.2">
      <c r="A9" t="s">
        <v>10</v>
      </c>
      <c r="B9">
        <v>2010</v>
      </c>
      <c r="C9">
        <v>2022</v>
      </c>
      <c r="D9">
        <v>2010</v>
      </c>
      <c r="E9">
        <v>2022</v>
      </c>
      <c r="F9">
        <v>0.1553846153846154</v>
      </c>
      <c r="G9">
        <v>0</v>
      </c>
      <c r="H9">
        <v>13</v>
      </c>
      <c r="I9">
        <v>0</v>
      </c>
      <c r="J9" s="3">
        <f>(F8*G9)+(H9*F9)</f>
        <v>2.02</v>
      </c>
      <c r="O9" t="s">
        <v>10</v>
      </c>
      <c r="P9">
        <v>0.1553846153846154</v>
      </c>
    </row>
    <row r="10" spans="1:16" x14ac:dyDescent="0.2">
      <c r="A10" t="s">
        <v>26</v>
      </c>
      <c r="B10">
        <v>1850</v>
      </c>
      <c r="C10">
        <v>1918</v>
      </c>
      <c r="F10">
        <v>0</v>
      </c>
      <c r="G10">
        <v>0</v>
      </c>
      <c r="H10">
        <v>0</v>
      </c>
      <c r="I10">
        <v>69</v>
      </c>
      <c r="J10" s="3">
        <f>I10*F11</f>
        <v>0.50842105263157888</v>
      </c>
      <c r="O10" t="s">
        <v>26</v>
      </c>
      <c r="P10">
        <v>7.3684210526315788E-3</v>
      </c>
    </row>
    <row r="11" spans="1:16" x14ac:dyDescent="0.2">
      <c r="A11" t="s">
        <v>26</v>
      </c>
      <c r="B11">
        <v>1919</v>
      </c>
      <c r="C11">
        <v>1944</v>
      </c>
      <c r="D11">
        <v>1850</v>
      </c>
      <c r="E11">
        <v>1944</v>
      </c>
      <c r="F11">
        <v>7.3684210526315788E-3</v>
      </c>
      <c r="G11">
        <v>0</v>
      </c>
      <c r="H11">
        <v>26</v>
      </c>
      <c r="I11">
        <v>0</v>
      </c>
      <c r="J11" s="3">
        <f>(F10*G11)+(H11*F11)+(I11*F12)</f>
        <v>0.19157894736842104</v>
      </c>
      <c r="O11" t="s">
        <v>26</v>
      </c>
      <c r="P11">
        <v>0.01</v>
      </c>
    </row>
    <row r="12" spans="1:16" x14ac:dyDescent="0.2">
      <c r="A12" t="s">
        <v>26</v>
      </c>
      <c r="B12">
        <v>1945</v>
      </c>
      <c r="C12">
        <v>1964</v>
      </c>
      <c r="D12">
        <v>1945</v>
      </c>
      <c r="E12">
        <v>1969</v>
      </c>
      <c r="F12">
        <v>0.01</v>
      </c>
      <c r="G12">
        <v>0</v>
      </c>
      <c r="H12">
        <v>20</v>
      </c>
      <c r="I12">
        <v>0</v>
      </c>
      <c r="J12" s="3">
        <f t="shared" ref="J12:J16" si="1">(F11*G12)+(H12*F12)+(I12*F13)</f>
        <v>0.2</v>
      </c>
      <c r="O12" t="s">
        <v>26</v>
      </c>
      <c r="P12">
        <v>1.4999999999999999E-2</v>
      </c>
    </row>
    <row r="13" spans="1:16" x14ac:dyDescent="0.2">
      <c r="A13" t="s">
        <v>26</v>
      </c>
      <c r="B13">
        <v>1965</v>
      </c>
      <c r="C13">
        <v>1980</v>
      </c>
      <c r="D13">
        <v>1970</v>
      </c>
      <c r="E13">
        <v>1979</v>
      </c>
      <c r="F13">
        <v>1.4999999999999999E-2</v>
      </c>
      <c r="G13">
        <v>5</v>
      </c>
      <c r="H13">
        <v>10</v>
      </c>
      <c r="I13">
        <v>1</v>
      </c>
      <c r="J13" s="3">
        <f t="shared" si="1"/>
        <v>0.20800000000000002</v>
      </c>
      <c r="O13" t="s">
        <v>26</v>
      </c>
      <c r="P13">
        <v>8.0000000000000002E-3</v>
      </c>
    </row>
    <row r="14" spans="1:16" x14ac:dyDescent="0.2">
      <c r="A14" t="s">
        <v>26</v>
      </c>
      <c r="B14">
        <v>1981</v>
      </c>
      <c r="C14">
        <v>1990</v>
      </c>
      <c r="D14">
        <v>1980</v>
      </c>
      <c r="E14">
        <v>1989</v>
      </c>
      <c r="F14">
        <v>8.0000000000000002E-3</v>
      </c>
      <c r="G14">
        <v>0</v>
      </c>
      <c r="H14">
        <v>9</v>
      </c>
      <c r="I14">
        <v>1</v>
      </c>
      <c r="J14" s="3">
        <f t="shared" si="1"/>
        <v>7.9000000000000015E-2</v>
      </c>
      <c r="O14" t="s">
        <v>26</v>
      </c>
      <c r="P14">
        <v>7.000000000000001E-3</v>
      </c>
    </row>
    <row r="15" spans="1:16" x14ac:dyDescent="0.2">
      <c r="A15" t="s">
        <v>26</v>
      </c>
      <c r="B15">
        <v>1991</v>
      </c>
      <c r="C15">
        <v>2003</v>
      </c>
      <c r="D15">
        <v>1990</v>
      </c>
      <c r="E15">
        <v>1999</v>
      </c>
      <c r="F15">
        <v>7.000000000000001E-3</v>
      </c>
      <c r="G15">
        <v>0</v>
      </c>
      <c r="H15">
        <v>9</v>
      </c>
      <c r="I15">
        <v>4</v>
      </c>
      <c r="J15" s="3">
        <f t="shared" si="1"/>
        <v>0.183</v>
      </c>
      <c r="O15" t="s">
        <v>26</v>
      </c>
      <c r="P15">
        <v>0.03</v>
      </c>
    </row>
    <row r="16" spans="1:16" x14ac:dyDescent="0.2">
      <c r="A16" t="s">
        <v>26</v>
      </c>
      <c r="B16">
        <v>2004</v>
      </c>
      <c r="C16">
        <v>2009</v>
      </c>
      <c r="D16">
        <v>2000</v>
      </c>
      <c r="E16">
        <v>2009</v>
      </c>
      <c r="F16">
        <v>0.03</v>
      </c>
      <c r="G16">
        <v>0</v>
      </c>
      <c r="H16">
        <v>6</v>
      </c>
      <c r="I16">
        <v>0</v>
      </c>
      <c r="J16" s="3">
        <f t="shared" si="1"/>
        <v>0.18</v>
      </c>
      <c r="O16" t="s">
        <v>26</v>
      </c>
      <c r="P16">
        <v>1.5384615384615391E-2</v>
      </c>
    </row>
    <row r="17" spans="1:16" x14ac:dyDescent="0.2">
      <c r="A17" t="s">
        <v>26</v>
      </c>
      <c r="B17">
        <v>2010</v>
      </c>
      <c r="C17">
        <v>2022</v>
      </c>
      <c r="D17">
        <v>2010</v>
      </c>
      <c r="E17">
        <v>2022</v>
      </c>
      <c r="F17">
        <v>1.5384615384615391E-2</v>
      </c>
      <c r="G17">
        <v>0</v>
      </c>
      <c r="H17">
        <v>13</v>
      </c>
      <c r="I17">
        <v>0</v>
      </c>
      <c r="J17" s="3">
        <f>(F16*G17)+(H17*F17)</f>
        <v>0.20000000000000007</v>
      </c>
      <c r="O17" t="s">
        <v>27</v>
      </c>
      <c r="P17">
        <v>1.4736842105263161E-3</v>
      </c>
    </row>
    <row r="18" spans="1:16" x14ac:dyDescent="0.2">
      <c r="A18" t="s">
        <v>27</v>
      </c>
      <c r="B18">
        <v>1850</v>
      </c>
      <c r="C18">
        <v>1918</v>
      </c>
      <c r="F18">
        <v>0</v>
      </c>
      <c r="G18">
        <v>0</v>
      </c>
      <c r="H18">
        <v>0</v>
      </c>
      <c r="I18">
        <v>69</v>
      </c>
      <c r="J18" s="3">
        <f>I18*F19</f>
        <v>0.10168421052631581</v>
      </c>
      <c r="K18">
        <v>1</v>
      </c>
      <c r="L18" s="5">
        <v>3</v>
      </c>
      <c r="M18" s="3">
        <f>SUM(J18:J20)</f>
        <v>0.22000000000000003</v>
      </c>
      <c r="O18" t="s">
        <v>27</v>
      </c>
      <c r="P18">
        <v>4.0000000000000001E-3</v>
      </c>
    </row>
    <row r="19" spans="1:16" x14ac:dyDescent="0.2">
      <c r="A19" t="s">
        <v>27</v>
      </c>
      <c r="B19">
        <v>1919</v>
      </c>
      <c r="C19">
        <v>1944</v>
      </c>
      <c r="D19">
        <v>1850</v>
      </c>
      <c r="E19">
        <v>1944</v>
      </c>
      <c r="F19">
        <v>1.4736842105263161E-3</v>
      </c>
      <c r="G19">
        <v>0</v>
      </c>
      <c r="H19">
        <v>26</v>
      </c>
      <c r="I19">
        <v>0</v>
      </c>
      <c r="J19" s="3">
        <f>(F18*G19)+(H19*F19)+(I19*F20)</f>
        <v>3.831578947368422E-2</v>
      </c>
      <c r="K19">
        <v>2</v>
      </c>
      <c r="L19" s="5"/>
      <c r="O19" t="s">
        <v>27</v>
      </c>
      <c r="P19">
        <v>4.0000000000000001E-3</v>
      </c>
    </row>
    <row r="20" spans="1:16" x14ac:dyDescent="0.2">
      <c r="A20" t="s">
        <v>27</v>
      </c>
      <c r="B20">
        <v>1945</v>
      </c>
      <c r="C20">
        <v>1964</v>
      </c>
      <c r="D20">
        <v>1945</v>
      </c>
      <c r="E20">
        <v>1969</v>
      </c>
      <c r="F20">
        <v>4.0000000000000001E-3</v>
      </c>
      <c r="G20">
        <v>0</v>
      </c>
      <c r="H20">
        <v>20</v>
      </c>
      <c r="I20">
        <v>0</v>
      </c>
      <c r="J20" s="3">
        <f t="shared" ref="J20:J24" si="2">(F19*G20)+(H20*F20)+(I20*F21)</f>
        <v>0.08</v>
      </c>
      <c r="K20">
        <v>3</v>
      </c>
      <c r="L20" s="5"/>
      <c r="O20" t="s">
        <v>27</v>
      </c>
      <c r="P20">
        <v>3.0000000000000001E-3</v>
      </c>
    </row>
    <row r="21" spans="1:16" x14ac:dyDescent="0.2">
      <c r="A21" t="s">
        <v>27</v>
      </c>
      <c r="B21">
        <v>1965</v>
      </c>
      <c r="C21">
        <v>1980</v>
      </c>
      <c r="D21">
        <v>1970</v>
      </c>
      <c r="E21">
        <v>1979</v>
      </c>
      <c r="F21">
        <v>4.0000000000000001E-3</v>
      </c>
      <c r="G21">
        <v>5</v>
      </c>
      <c r="H21">
        <v>10</v>
      </c>
      <c r="I21">
        <v>1</v>
      </c>
      <c r="J21" s="3">
        <f t="shared" si="2"/>
        <v>6.3E-2</v>
      </c>
      <c r="K21">
        <v>4</v>
      </c>
      <c r="L21" s="5">
        <v>4</v>
      </c>
      <c r="M21" s="3">
        <f>SUM(J21:J22)</f>
        <v>9.1999999999999998E-2</v>
      </c>
      <c r="O21" t="s">
        <v>27</v>
      </c>
      <c r="P21">
        <v>2E-3</v>
      </c>
    </row>
    <row r="22" spans="1:16" x14ac:dyDescent="0.2">
      <c r="A22" t="s">
        <v>27</v>
      </c>
      <c r="B22">
        <v>1981</v>
      </c>
      <c r="C22">
        <v>1990</v>
      </c>
      <c r="D22">
        <v>1980</v>
      </c>
      <c r="E22">
        <v>1989</v>
      </c>
      <c r="F22">
        <v>3.0000000000000001E-3</v>
      </c>
      <c r="G22">
        <v>0</v>
      </c>
      <c r="H22">
        <v>9</v>
      </c>
      <c r="I22">
        <v>1</v>
      </c>
      <c r="J22" s="3">
        <f t="shared" si="2"/>
        <v>2.8999999999999998E-2</v>
      </c>
      <c r="K22">
        <v>5</v>
      </c>
      <c r="L22" s="5"/>
      <c r="O22" t="s">
        <v>27</v>
      </c>
      <c r="P22">
        <v>8.0000000000000002E-3</v>
      </c>
    </row>
    <row r="23" spans="1:16" x14ac:dyDescent="0.2">
      <c r="A23" t="s">
        <v>27</v>
      </c>
      <c r="B23">
        <v>1991</v>
      </c>
      <c r="C23">
        <v>2003</v>
      </c>
      <c r="D23">
        <v>1990</v>
      </c>
      <c r="E23">
        <v>1999</v>
      </c>
      <c r="F23">
        <v>2E-3</v>
      </c>
      <c r="G23">
        <v>0</v>
      </c>
      <c r="H23">
        <v>9</v>
      </c>
      <c r="I23">
        <v>4</v>
      </c>
      <c r="J23" s="3">
        <f t="shared" si="2"/>
        <v>0.05</v>
      </c>
      <c r="K23">
        <v>6</v>
      </c>
      <c r="L23" s="5">
        <v>7</v>
      </c>
      <c r="M23" s="3">
        <f>SUM(J23:J25)</f>
        <v>0.14799999999999999</v>
      </c>
      <c r="O23" t="s">
        <v>27</v>
      </c>
      <c r="P23">
        <v>3.8461538461538459E-3</v>
      </c>
    </row>
    <row r="24" spans="1:16" x14ac:dyDescent="0.2">
      <c r="A24" t="s">
        <v>27</v>
      </c>
      <c r="B24">
        <v>2004</v>
      </c>
      <c r="C24">
        <v>2009</v>
      </c>
      <c r="D24">
        <v>2000</v>
      </c>
      <c r="E24">
        <v>2009</v>
      </c>
      <c r="F24">
        <v>8.0000000000000002E-3</v>
      </c>
      <c r="G24">
        <v>0</v>
      </c>
      <c r="H24">
        <v>6</v>
      </c>
      <c r="I24">
        <v>0</v>
      </c>
      <c r="J24" s="3">
        <f t="shared" si="2"/>
        <v>4.8000000000000001E-2</v>
      </c>
      <c r="K24">
        <v>7</v>
      </c>
      <c r="L24" s="5"/>
    </row>
    <row r="25" spans="1:16" x14ac:dyDescent="0.2">
      <c r="A25" t="s">
        <v>27</v>
      </c>
      <c r="B25">
        <v>2010</v>
      </c>
      <c r="C25">
        <v>2022</v>
      </c>
      <c r="D25">
        <v>2010</v>
      </c>
      <c r="E25">
        <v>2022</v>
      </c>
      <c r="F25">
        <v>3.8461538461538459E-3</v>
      </c>
      <c r="G25">
        <v>0</v>
      </c>
      <c r="H25">
        <v>13</v>
      </c>
      <c r="I25">
        <v>0</v>
      </c>
      <c r="J25" s="3">
        <f>(F24*G25)+(H25*F25)</f>
        <v>4.9999999999999996E-2</v>
      </c>
      <c r="K25">
        <v>8</v>
      </c>
      <c r="L25" s="5"/>
    </row>
  </sheetData>
  <mergeCells count="3">
    <mergeCell ref="L18:L20"/>
    <mergeCell ref="L21:L22"/>
    <mergeCell ref="L23:L2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5E4D-4D61-A84E-A7AC-9908EEF4EC2A}">
  <dimension ref="A1:B28"/>
  <sheetViews>
    <sheetView tabSelected="1" workbookViewId="0">
      <selection activeCell="F24" sqref="F24"/>
    </sheetView>
  </sheetViews>
  <sheetFormatPr baseColWidth="10" defaultRowHeight="16" x14ac:dyDescent="0.2"/>
  <sheetData>
    <row r="1" spans="1:2" x14ac:dyDescent="0.2">
      <c r="A1" t="s">
        <v>66</v>
      </c>
      <c r="B1" t="s">
        <v>65</v>
      </c>
    </row>
    <row r="2" spans="1:2" x14ac:dyDescent="0.2">
      <c r="A2" s="4" t="s">
        <v>38</v>
      </c>
      <c r="B2">
        <v>0.22000000000000003</v>
      </c>
    </row>
    <row r="3" spans="1:2" x14ac:dyDescent="0.2">
      <c r="A3" s="4" t="s">
        <v>39</v>
      </c>
      <c r="B3">
        <v>9.1999999999999998E-2</v>
      </c>
    </row>
    <row r="4" spans="1:2" x14ac:dyDescent="0.2">
      <c r="A4" s="4" t="s">
        <v>40</v>
      </c>
      <c r="B4">
        <v>0.14799999999999999</v>
      </c>
    </row>
    <row r="5" spans="1:2" x14ac:dyDescent="0.2">
      <c r="A5" s="4" t="s">
        <v>41</v>
      </c>
      <c r="B5" s="2">
        <v>0.50842105263157888</v>
      </c>
    </row>
    <row r="6" spans="1:2" x14ac:dyDescent="0.2">
      <c r="A6" s="4" t="s">
        <v>42</v>
      </c>
      <c r="B6" s="2">
        <v>0.19157894736842104</v>
      </c>
    </row>
    <row r="7" spans="1:2" x14ac:dyDescent="0.2">
      <c r="A7" s="4" t="s">
        <v>43</v>
      </c>
      <c r="B7" s="2">
        <v>0.2</v>
      </c>
    </row>
    <row r="8" spans="1:2" x14ac:dyDescent="0.2">
      <c r="A8" s="4" t="s">
        <v>44</v>
      </c>
      <c r="B8" s="2">
        <v>0.20800000000000002</v>
      </c>
    </row>
    <row r="9" spans="1:2" x14ac:dyDescent="0.2">
      <c r="A9" s="4" t="s">
        <v>45</v>
      </c>
      <c r="B9" s="2">
        <v>7.9000000000000015E-2</v>
      </c>
    </row>
    <row r="10" spans="1:2" x14ac:dyDescent="0.2">
      <c r="A10" s="4" t="s">
        <v>46</v>
      </c>
      <c r="B10" s="2">
        <v>0.183</v>
      </c>
    </row>
    <row r="11" spans="1:2" x14ac:dyDescent="0.2">
      <c r="A11" s="4" t="s">
        <v>47</v>
      </c>
      <c r="B11" s="2">
        <v>0.18</v>
      </c>
    </row>
    <row r="12" spans="1:2" x14ac:dyDescent="0.2">
      <c r="A12" s="4" t="s">
        <v>48</v>
      </c>
      <c r="B12" s="2">
        <v>0.20000000000000007</v>
      </c>
    </row>
    <row r="13" spans="1:2" x14ac:dyDescent="0.2">
      <c r="A13" s="4" t="s">
        <v>49</v>
      </c>
      <c r="B13" s="2">
        <v>1.557947368421053</v>
      </c>
    </row>
    <row r="14" spans="1:2" x14ac:dyDescent="0.2">
      <c r="A14" s="4" t="s">
        <v>50</v>
      </c>
      <c r="B14" s="2">
        <v>0.58705263157894749</v>
      </c>
    </row>
    <row r="15" spans="1:2" x14ac:dyDescent="0.2">
      <c r="A15" s="4" t="s">
        <v>51</v>
      </c>
      <c r="B15" s="2">
        <v>1.248</v>
      </c>
    </row>
    <row r="16" spans="1:2" x14ac:dyDescent="0.2">
      <c r="A16" s="4" t="s">
        <v>52</v>
      </c>
      <c r="B16" s="2">
        <v>1.0449999999999999</v>
      </c>
    </row>
    <row r="17" spans="1:2" x14ac:dyDescent="0.2">
      <c r="A17" s="4" t="s">
        <v>53</v>
      </c>
      <c r="B17" s="2">
        <v>0.52949999999999997</v>
      </c>
    </row>
    <row r="18" spans="1:2" x14ac:dyDescent="0.2">
      <c r="A18" s="4" t="s">
        <v>54</v>
      </c>
      <c r="B18" s="2">
        <v>0.97649999999999992</v>
      </c>
    </row>
    <row r="19" spans="1:2" x14ac:dyDescent="0.2">
      <c r="A19" s="4" t="s">
        <v>55</v>
      </c>
      <c r="B19" s="2">
        <v>0.75600000000000001</v>
      </c>
    </row>
    <row r="20" spans="1:2" x14ac:dyDescent="0.2">
      <c r="A20" s="4" t="s">
        <v>56</v>
      </c>
      <c r="B20" s="2">
        <v>1.01</v>
      </c>
    </row>
    <row r="21" spans="1:2" x14ac:dyDescent="0.2">
      <c r="A21" s="4" t="s">
        <v>57</v>
      </c>
      <c r="B21" s="2">
        <v>1.557947368421053</v>
      </c>
    </row>
    <row r="22" spans="1:2" x14ac:dyDescent="0.2">
      <c r="A22" s="4" t="s">
        <v>58</v>
      </c>
      <c r="B22" s="2">
        <v>0.58705263157894749</v>
      </c>
    </row>
    <row r="23" spans="1:2" x14ac:dyDescent="0.2">
      <c r="A23" s="4" t="s">
        <v>59</v>
      </c>
      <c r="B23" s="2">
        <v>1.248</v>
      </c>
    </row>
    <row r="24" spans="1:2" x14ac:dyDescent="0.2">
      <c r="A24" s="4" t="s">
        <v>60</v>
      </c>
      <c r="B24" s="2">
        <v>1.0449999999999999</v>
      </c>
    </row>
    <row r="25" spans="1:2" x14ac:dyDescent="0.2">
      <c r="A25" s="4" t="s">
        <v>61</v>
      </c>
      <c r="B25" s="2">
        <v>0.52949999999999997</v>
      </c>
    </row>
    <row r="26" spans="1:2" x14ac:dyDescent="0.2">
      <c r="A26" s="4" t="s">
        <v>62</v>
      </c>
      <c r="B26" s="2">
        <v>0.97649999999999992</v>
      </c>
    </row>
    <row r="27" spans="1:2" x14ac:dyDescent="0.2">
      <c r="A27" s="4" t="s">
        <v>63</v>
      </c>
      <c r="B27" s="2">
        <v>0.75600000000000001</v>
      </c>
    </row>
    <row r="28" spans="1:2" x14ac:dyDescent="0.2">
      <c r="A28" s="4" t="s">
        <v>64</v>
      </c>
      <c r="B28" s="2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Hotmaps</vt:lpstr>
      <vt:lpstr>Modifcation</vt:lpstr>
      <vt:lpstr>Ambience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Lynch</dc:creator>
  <cp:lastModifiedBy>Jack Lynch</cp:lastModifiedBy>
  <dcterms:created xsi:type="dcterms:W3CDTF">2023-02-13T10:53:00Z</dcterms:created>
  <dcterms:modified xsi:type="dcterms:W3CDTF">2023-02-27T19:53:44Z</dcterms:modified>
</cp:coreProperties>
</file>